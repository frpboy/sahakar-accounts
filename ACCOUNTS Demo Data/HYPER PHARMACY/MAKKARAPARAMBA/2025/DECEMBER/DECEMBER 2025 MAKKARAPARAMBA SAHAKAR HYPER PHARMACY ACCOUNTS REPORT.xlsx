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TEMPLATE" sheetId="1" r:id="rId4"/>
    <sheet state="visible" name="011225" sheetId="2" r:id="rId5"/>
    <sheet state="hidden" name="Meta" sheetId="3" r:id="rId6"/>
    <sheet state="hidden" name="Summary" sheetId="4" r:id="rId7"/>
    <sheet state="visible" name="021225" sheetId="5" r:id="rId8"/>
    <sheet state="visible" name="031225" sheetId="6" r:id="rId9"/>
    <sheet state="visible" name="041225" sheetId="7" r:id="rId10"/>
    <sheet state="visible" name="051225" sheetId="8" r:id="rId11"/>
    <sheet state="visible" name="061225" sheetId="9" r:id="rId12"/>
    <sheet state="visible" name="071225" sheetId="10" r:id="rId13"/>
    <sheet state="visible" name="081225" sheetId="11" r:id="rId14"/>
    <sheet state="visible" name="091225" sheetId="12" r:id="rId15"/>
    <sheet state="visible" name="101225" sheetId="13" r:id="rId16"/>
    <sheet state="visible" name="111225" sheetId="14" r:id="rId17"/>
    <sheet state="visible" name="121225" sheetId="15" r:id="rId18"/>
    <sheet state="visible" name="131225" sheetId="16" r:id="rId19"/>
    <sheet state="visible" name="141225" sheetId="17" r:id="rId20"/>
    <sheet state="visible" name="151225" sheetId="18" r:id="rId21"/>
    <sheet state="visible" name="161225" sheetId="19" r:id="rId22"/>
    <sheet state="visible" name="171225" sheetId="20" r:id="rId23"/>
    <sheet state="visible" name="181225" sheetId="21" r:id="rId24"/>
    <sheet state="visible" name="191225" sheetId="22" r:id="rId25"/>
    <sheet state="visible" name="201225" sheetId="23" r:id="rId26"/>
    <sheet state="visible" name="211225" sheetId="24" r:id="rId27"/>
    <sheet state="visible" name="221225" sheetId="25" r:id="rId28"/>
    <sheet state="visible" name="231225" sheetId="26" r:id="rId29"/>
    <sheet state="visible" name="241225" sheetId="27" r:id="rId30"/>
    <sheet state="visible" name="251225" sheetId="28" r:id="rId31"/>
    <sheet state="visible" name="261225" sheetId="29" r:id="rId32"/>
    <sheet state="visible" name="271225" sheetId="30" r:id="rId33"/>
    <sheet state="visible" name="281225" sheetId="31" r:id="rId34"/>
    <sheet state="visible" name="291225" sheetId="32" r:id="rId35"/>
    <sheet state="visible" name="301225" sheetId="33" r:id="rId36"/>
    <sheet state="visible" name="311225" sheetId="34" r:id="rId37"/>
  </sheets>
  <definedNames/>
  <calcPr/>
</workbook>
</file>

<file path=xl/sharedStrings.xml><?xml version="1.0" encoding="utf-8"?>
<sst xmlns="http://schemas.openxmlformats.org/spreadsheetml/2006/main" count="1958" uniqueCount="151">
  <si>
    <t>Date</t>
  </si>
  <si>
    <t>SM FLAGSHIP STORE MELATTUR</t>
  </si>
  <si>
    <t>Opening Cash</t>
  </si>
  <si>
    <t>SALE</t>
  </si>
  <si>
    <t>CREDIT AMOUNT RECIEVED</t>
  </si>
  <si>
    <t>PURCHASE</t>
  </si>
  <si>
    <t>Sales Return</t>
  </si>
  <si>
    <t>Opening UPI Balance</t>
  </si>
  <si>
    <t>OPENING CREDIT BALANCE</t>
  </si>
  <si>
    <t>CASH FROM HEAD OFFICE</t>
  </si>
  <si>
    <t>No.</t>
  </si>
  <si>
    <t>Sales</t>
  </si>
  <si>
    <t>Cash</t>
  </si>
  <si>
    <t>UPI</t>
  </si>
  <si>
    <t>Credit</t>
  </si>
  <si>
    <t>Remarks</t>
  </si>
  <si>
    <t>Particulars</t>
  </si>
  <si>
    <t>Voucher</t>
  </si>
  <si>
    <t>Total Sale</t>
  </si>
  <si>
    <t>Cash Sale</t>
  </si>
  <si>
    <t>UPI Sale</t>
  </si>
  <si>
    <t>Credit Sale</t>
  </si>
  <si>
    <t>Cash From Credit Sale</t>
  </si>
  <si>
    <t>UPI From Credit Sale</t>
  </si>
  <si>
    <t>SALES RETURN</t>
  </si>
  <si>
    <t>Total Expenses</t>
  </si>
  <si>
    <t>Cash Expenses</t>
  </si>
  <si>
    <t>Upi Expenses</t>
  </si>
  <si>
    <t>Credit Expenses</t>
  </si>
  <si>
    <t>Closing Credit Balance</t>
  </si>
  <si>
    <t>Closing UPI Balance</t>
  </si>
  <si>
    <t>Closing Cash</t>
  </si>
  <si>
    <t>Physical Cash</t>
  </si>
  <si>
    <t>Difference</t>
  </si>
  <si>
    <t>TOTAL BILL AMOUNT</t>
  </si>
  <si>
    <t>NUMBER OF BILLS</t>
  </si>
  <si>
    <t>AVERAGE BILL AMOUNT</t>
  </si>
  <si>
    <t>CASH Deposit</t>
  </si>
  <si>
    <t>UPI SETTLEMENT</t>
  </si>
  <si>
    <t>Total Outfow</t>
  </si>
  <si>
    <t>DAILY DEPOSIT</t>
  </si>
  <si>
    <t>SM FLAGSHIP STORE MAKKARAPARAMBA</t>
  </si>
  <si>
    <t xml:space="preserve"> </t>
  </si>
  <si>
    <t>rent</t>
  </si>
  <si>
    <t xml:space="preserve">rashid </t>
  </si>
  <si>
    <t>Key</t>
  </si>
  <si>
    <t>Value</t>
  </si>
  <si>
    <t>Report Title</t>
  </si>
  <si>
    <t>SAHAKAR HYPER PHARMACY ACCOUNTS REPORT</t>
  </si>
  <si>
    <t>Month (Upper)</t>
  </si>
  <si>
    <t>DECEMBER</t>
  </si>
  <si>
    <t>Year</t>
  </si>
  <si>
    <t>Outlet</t>
  </si>
  <si>
    <t>MAKKARAPARAMBA</t>
  </si>
  <si>
    <t>Locale</t>
  </si>
  <si>
    <t>en-IN</t>
  </si>
  <si>
    <t>Timezone</t>
  </si>
  <si>
    <t>Asia/Kolkata</t>
  </si>
  <si>
    <t>Date Format (Cells)</t>
  </si>
  <si>
    <t>dd/mm/yy</t>
  </si>
  <si>
    <t>Date Format (Names)</t>
  </si>
  <si>
    <t>dd/MM/yy</t>
  </si>
  <si>
    <t>Created At</t>
  </si>
  <si>
    <t>Template File ID</t>
  </si>
  <si>
    <t>1mA_aPQuVrBDtC_DUihDGp7BMgONZKdQI_18Ri2QbKO8</t>
  </si>
  <si>
    <t>Daily Template Tab</t>
  </si>
  <si>
    <t>TEMPLATE</t>
  </si>
  <si>
    <t>Metric</t>
  </si>
  <si>
    <t>Days in Month</t>
  </si>
  <si>
    <t>Generated At</t>
  </si>
  <si>
    <t>RENT</t>
  </si>
  <si>
    <t>cremaffin plus</t>
  </si>
  <si>
    <t>petrol</t>
  </si>
  <si>
    <t>smart clinic 150/-</t>
  </si>
  <si>
    <t>shop rent</t>
  </si>
  <si>
    <t>ABI</t>
  </si>
  <si>
    <t>NISAM</t>
  </si>
  <si>
    <t>PETROL</t>
  </si>
  <si>
    <t>GIREESH</t>
  </si>
  <si>
    <t>smart clinic 400/-</t>
  </si>
  <si>
    <t>rashid staff crd amonut</t>
  </si>
  <si>
    <t>RASHID</t>
  </si>
  <si>
    <t>cred/damodARAN</t>
  </si>
  <si>
    <t>card3325</t>
  </si>
  <si>
    <t>cred</t>
  </si>
  <si>
    <t>abhiraj</t>
  </si>
  <si>
    <t>SMART CLINIC 370/-</t>
  </si>
  <si>
    <t>DONATION</t>
  </si>
  <si>
    <t>card</t>
  </si>
  <si>
    <t>YSTRDAY TDY PETROL</t>
  </si>
  <si>
    <t>invoice 47</t>
  </si>
  <si>
    <t>SMART CLINIC 1150</t>
  </si>
  <si>
    <t>news paper insert</t>
  </si>
  <si>
    <t xml:space="preserve">petrol </t>
  </si>
  <si>
    <t>card3646</t>
  </si>
  <si>
    <t>CARD</t>
  </si>
  <si>
    <t>card3673</t>
  </si>
  <si>
    <t>drinking waTER</t>
  </si>
  <si>
    <t>donation</t>
  </si>
  <si>
    <t>HOME DEL 2</t>
  </si>
  <si>
    <t>credit</t>
  </si>
  <si>
    <t>card3728</t>
  </si>
  <si>
    <t>SMART CLINIC 3800/-</t>
  </si>
  <si>
    <t>smart clinic 270/-</t>
  </si>
  <si>
    <t xml:space="preserve">3751 FIT &amp; FINE </t>
  </si>
  <si>
    <t>rafi sir3755</t>
  </si>
  <si>
    <t>bill enterd 11/25</t>
  </si>
  <si>
    <t xml:space="preserve"> delivery expense ( petrol) </t>
  </si>
  <si>
    <t>yesrtdy paid3796</t>
  </si>
  <si>
    <r>
      <rPr>
        <rFont val="Arial"/>
        <color rgb="FF000000"/>
      </rPr>
      <t>smart clinic</t>
    </r>
    <r>
      <rPr>
        <rFont val="Arial"/>
        <color rgb="FF000000"/>
        <sz val="22.0"/>
      </rPr>
      <t xml:space="preserve"> 390/-</t>
    </r>
  </si>
  <si>
    <t>card  3817</t>
  </si>
  <si>
    <t>keyboard battery</t>
  </si>
  <si>
    <t>credit/sugesh</t>
  </si>
  <si>
    <t>TRNSFER TO HO</t>
  </si>
  <si>
    <t>SHOP RENT</t>
  </si>
  <si>
    <t>credit/abhiraj</t>
  </si>
  <si>
    <t>CRED</t>
  </si>
  <si>
    <t>card 3864</t>
  </si>
  <si>
    <t>amina/cred</t>
  </si>
  <si>
    <t>levipil 500</t>
  </si>
  <si>
    <t>jamshad</t>
  </si>
  <si>
    <t>card      4021</t>
  </si>
  <si>
    <t>4026rashid</t>
  </si>
  <si>
    <t>3998 lumbo sacaral belt</t>
  </si>
  <si>
    <t>sanju</t>
  </si>
  <si>
    <t>4086 sunscreen</t>
  </si>
  <si>
    <t>petrol exp/delivery</t>
  </si>
  <si>
    <t>sales return blnc</t>
  </si>
  <si>
    <t>credit/ubaid</t>
  </si>
  <si>
    <t>sanjAY</t>
  </si>
  <si>
    <t>madhu</t>
  </si>
  <si>
    <t>SMART CLINIC  40/-</t>
  </si>
  <si>
    <t>CARD4342</t>
  </si>
  <si>
    <t>haridakaramasena</t>
  </si>
  <si>
    <t>ystrdy petrol</t>
  </si>
  <si>
    <t>SCALE</t>
  </si>
  <si>
    <t>ARSHU</t>
  </si>
  <si>
    <t>MRKING PETROL DLERY</t>
  </si>
  <si>
    <t>NISAM REWARD</t>
  </si>
  <si>
    <t>mop and liquid</t>
  </si>
  <si>
    <t>POSTAGAD</t>
  </si>
  <si>
    <t>DONATOIN</t>
  </si>
  <si>
    <t>CARD4444</t>
  </si>
  <si>
    <t>petrol( 7 dlvery)</t>
  </si>
  <si>
    <t>CARD4470</t>
  </si>
  <si>
    <t>SMART CLINICK  370</t>
  </si>
  <si>
    <t>CARD 4571</t>
  </si>
  <si>
    <t>abinshan</t>
  </si>
  <si>
    <t>TP NAANI/SAMAD</t>
  </si>
  <si>
    <t>cred/vinod pothund</t>
  </si>
  <si>
    <t>SMART CLINIC 285/-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</si>
</sst>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/&quot;mm&quot;/&quot;yy"/>
    <numFmt numFmtId="165" formatCode="dd/mm/yy"/>
    <numFmt numFmtId="166" formatCode="dd/mm/yy hh:mm"/>
    <numFmt numFmtId="167" formatCode="dd/mm/yy hh:mm:ss"/>
  </numFmts>
  <fonts count="35">
    <font>
      <sz val="11.0"/>
      <color theme="1"/>
      <name val="Calibri"/>
      <scheme val="minor"/>
    </font>
    <font>
      <sz val="11.0"/>
      <color rgb="FF000000"/>
      <name val="Calibri"/>
    </font>
    <font>
      <b/>
      <sz val="13.0"/>
      <color theme="1"/>
      <name val="Calibri"/>
    </font>
    <font>
      <b/>
      <sz val="17.0"/>
      <color theme="1"/>
      <name val="Calibri"/>
    </font>
    <font/>
    <font>
      <b/>
      <sz val="11.0"/>
      <color rgb="FF000000"/>
      <name val="&quot;Calibri Light&quot;"/>
    </font>
    <font>
      <b/>
      <sz val="11.0"/>
      <color rgb="FF000000"/>
      <name val="Arial"/>
    </font>
    <font>
      <b/>
      <sz val="32.0"/>
      <color rgb="FF000000"/>
      <name val="Arial"/>
    </font>
    <font>
      <b/>
      <sz val="16.0"/>
      <color rgb="FF000000"/>
      <name val="Arial"/>
    </font>
    <font>
      <b/>
      <sz val="12.0"/>
      <color rgb="FF000000"/>
      <name val="&quot;Calibri Light&quot;"/>
    </font>
    <font>
      <b/>
      <sz val="19.0"/>
      <color rgb="FF000000"/>
      <name val="Arial"/>
    </font>
    <font>
      <color rgb="FF000000"/>
      <name val="&quot;Calibri Light&quot;"/>
    </font>
    <font>
      <b/>
      <sz val="10.0"/>
      <color rgb="FF000000"/>
      <name val="Arial"/>
    </font>
    <font>
      <b/>
      <color rgb="FF000000"/>
      <name val="&quot;Calibri Light&quot;"/>
    </font>
    <font>
      <b/>
      <color rgb="FF000000"/>
      <name val="Arial"/>
    </font>
    <font>
      <b/>
      <sz val="12.0"/>
      <color rgb="FF000000"/>
      <name val="Arial"/>
    </font>
    <font>
      <sz val="11.0"/>
      <color rgb="FF000000"/>
      <name val="&quot;Calibri Light&quot;"/>
    </font>
    <font>
      <color rgb="FF000000"/>
      <name val="Arial"/>
    </font>
    <font>
      <color theme="1"/>
      <name val="Arial"/>
    </font>
    <font>
      <color theme="1"/>
      <name val="&quot;Calibri Light&quot;"/>
    </font>
    <font>
      <sz val="9.0"/>
      <color rgb="FF000000"/>
      <name val="&quot;Calibri Light&quot;"/>
    </font>
    <font>
      <sz val="11.0"/>
      <color rgb="FF000000"/>
      <name val="Arial"/>
    </font>
    <font>
      <sz val="11.0"/>
      <color theme="0"/>
      <name val="Arial"/>
    </font>
    <font>
      <sz val="11.0"/>
      <color theme="0"/>
      <name val="Calibri"/>
    </font>
    <font>
      <b/>
      <sz val="11.0"/>
      <color rgb="FFFF0000"/>
      <name val="&quot;Calibri Light&quot;"/>
    </font>
    <font>
      <b/>
      <color rgb="FFFF0000"/>
      <name val="&quot;Calibri Light&quot;"/>
    </font>
    <font>
      <b/>
      <sz val="11.0"/>
      <color rgb="FF000000"/>
      <name val="Calibri"/>
    </font>
    <font>
      <b/>
      <sz val="18.0"/>
      <color rgb="FF000000"/>
      <name val="Calibri"/>
    </font>
    <font>
      <color rgb="FF000000"/>
      <name val="&quot;Times New Roman&quot;"/>
    </font>
    <font>
      <sz val="12.0"/>
      <color rgb="FF000000"/>
      <name val="&quot;Times New Roman&quot;"/>
    </font>
    <font>
      <b/>
      <sz val="11.0"/>
      <color rgb="FF666666"/>
      <name val="Arial"/>
    </font>
    <font>
      <color theme="1"/>
      <name val="Calibri"/>
      <scheme val="minor"/>
    </font>
    <font>
      <b/>
      <color rgb="FF666666"/>
      <name val="Arial"/>
    </font>
    <font>
      <color rgb="FF666666"/>
      <name val="Arial"/>
    </font>
    <font>
      <color rgb="FF666666"/>
      <name val="&quot;Calibri Light&quot;"/>
    </font>
  </fonts>
  <fills count="16">
    <fill>
      <patternFill patternType="none"/>
    </fill>
    <fill>
      <patternFill patternType="lightGray"/>
    </fill>
    <fill>
      <patternFill patternType="solid">
        <fgColor rgb="FFB4C6E7"/>
        <bgColor rgb="FFB4C6E7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EDEDED"/>
        <bgColor rgb="FFEDEDED"/>
      </patternFill>
    </fill>
    <fill>
      <patternFill patternType="solid">
        <fgColor rgb="FFFFD966"/>
        <bgColor rgb="FFFFD966"/>
      </patternFill>
    </fill>
    <fill>
      <patternFill patternType="solid">
        <fgColor rgb="FFD9D9D9"/>
        <bgColor rgb="FFD9D9D9"/>
      </patternFill>
    </fill>
    <fill>
      <patternFill patternType="solid">
        <fgColor theme="4"/>
        <bgColor theme="4"/>
      </patternFill>
    </fill>
    <fill>
      <patternFill patternType="solid">
        <fgColor rgb="FF000000"/>
        <bgColor rgb="FF0000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</fills>
  <borders count="1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</border>
    <border>
      <right style="thin">
        <color rgb="FFDEE2E6"/>
      </right>
      <top style="thin">
        <color rgb="FFDEE2E6"/>
      </top>
      <bottom style="thin">
        <color rgb="FFDEE2E6"/>
      </bottom>
    </border>
  </borders>
  <cellStyleXfs count="1">
    <xf borderId="0" fillId="0" fontId="0" numFmtId="0" applyAlignment="1" applyFont="1"/>
  </cellStyleXfs>
  <cellXfs count="17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 shrinkToFit="0" wrapText="0"/>
    </xf>
    <xf borderId="2" fillId="0" fontId="2" numFmtId="164" xfId="0" applyAlignment="1" applyBorder="1" applyFont="1" applyNumberFormat="1">
      <alignment horizontal="center" readingOrder="0" shrinkToFit="0" wrapText="0"/>
    </xf>
    <xf borderId="0" fillId="0" fontId="1" numFmtId="0" xfId="0" applyAlignment="1" applyFont="1">
      <alignment shrinkToFit="0" vertical="bottom" wrapText="0"/>
    </xf>
    <xf borderId="1" fillId="2" fontId="3" numFmtId="0" xfId="0" applyAlignment="1" applyBorder="1" applyFill="1" applyFont="1">
      <alignment horizontal="center" readingOrder="0" shrinkToFit="0" wrapText="0"/>
    </xf>
    <xf borderId="3" fillId="0" fontId="4" numFmtId="0" xfId="0" applyBorder="1" applyFont="1"/>
    <xf borderId="4" fillId="0" fontId="4" numFmtId="0" xfId="0" applyBorder="1" applyFont="1"/>
    <xf borderId="0" fillId="3" fontId="1" numFmtId="0" xfId="0" applyAlignment="1" applyFill="1" applyFont="1">
      <alignment shrinkToFit="0" vertical="bottom" wrapText="0"/>
    </xf>
    <xf borderId="0" fillId="4" fontId="1" numFmtId="0" xfId="0" applyAlignment="1" applyFill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2" fillId="5" fontId="5" numFmtId="0" xfId="0" applyAlignment="1" applyBorder="1" applyFill="1" applyFont="1">
      <alignment horizontal="left" readingOrder="0" shrinkToFit="0" wrapText="0"/>
    </xf>
    <xf borderId="4" fillId="5" fontId="6" numFmtId="4" xfId="0" applyAlignment="1" applyBorder="1" applyFont="1" applyNumberFormat="1">
      <alignment horizontal="right" readingOrder="0" shrinkToFit="0" wrapText="0"/>
    </xf>
    <xf borderId="5" fillId="6" fontId="7" numFmtId="0" xfId="0" applyAlignment="1" applyBorder="1" applyFill="1" applyFont="1">
      <alignment horizontal="center" readingOrder="0" vertical="center"/>
    </xf>
    <xf borderId="6" fillId="0" fontId="4" numFmtId="0" xfId="0" applyBorder="1" applyFont="1"/>
    <xf borderId="7" fillId="0" fontId="4" numFmtId="0" xfId="0" applyBorder="1" applyFont="1"/>
    <xf borderId="5" fillId="6" fontId="8" numFmtId="0" xfId="0" applyAlignment="1" applyBorder="1" applyFont="1">
      <alignment horizontal="center" readingOrder="0" shrinkToFit="0" vertical="center" wrapText="0"/>
    </xf>
    <xf borderId="0" fillId="4" fontId="9" numFmtId="0" xfId="0" applyAlignment="1" applyFont="1">
      <alignment horizontal="center" readingOrder="0" shrinkToFit="0" wrapText="0"/>
    </xf>
    <xf borderId="5" fillId="6" fontId="7" numFmtId="0" xfId="0" applyAlignment="1" applyBorder="1" applyFont="1">
      <alignment horizontal="center" readingOrder="0" shrinkToFit="0" vertical="center" wrapText="0"/>
    </xf>
    <xf borderId="5" fillId="6" fontId="10" numFmtId="0" xfId="0" applyAlignment="1" applyBorder="1" applyFont="1">
      <alignment horizontal="center" readingOrder="0" shrinkToFit="0" vertical="center" wrapText="0"/>
    </xf>
    <xf borderId="8" fillId="5" fontId="5" numFmtId="0" xfId="0" applyAlignment="1" applyBorder="1" applyFont="1">
      <alignment readingOrder="0" shrinkToFit="0" wrapText="0"/>
    </xf>
    <xf borderId="9" fillId="5" fontId="6" numFmtId="4" xfId="0" applyAlignment="1" applyBorder="1" applyFont="1" applyNumberFormat="1">
      <alignment readingOrder="0" shrinkToFit="0" wrapText="0"/>
    </xf>
    <xf borderId="10" fillId="0" fontId="4" numFmtId="0" xfId="0" applyBorder="1" applyFont="1"/>
    <xf borderId="11" fillId="0" fontId="4" numFmtId="0" xfId="0" applyBorder="1" applyFont="1"/>
    <xf borderId="0" fillId="0" fontId="11" numFmtId="0" xfId="0" applyAlignment="1" applyFont="1">
      <alignment shrinkToFit="0" vertical="bottom" wrapText="0"/>
    </xf>
    <xf borderId="8" fillId="5" fontId="12" numFmtId="0" xfId="0" applyAlignment="1" applyBorder="1" applyFont="1">
      <alignment horizontal="left" readingOrder="0" shrinkToFit="0" wrapText="0"/>
    </xf>
    <xf borderId="12" fillId="0" fontId="4" numFmtId="0" xfId="0" applyBorder="1" applyFont="1"/>
    <xf borderId="13" fillId="0" fontId="4" numFmtId="0" xfId="0" applyBorder="1" applyFont="1"/>
    <xf borderId="9" fillId="0" fontId="4" numFmtId="0" xfId="0" applyBorder="1" applyFont="1"/>
    <xf borderId="14" fillId="6" fontId="13" numFmtId="0" xfId="0" applyAlignment="1" applyBorder="1" applyFont="1">
      <alignment horizontal="center" readingOrder="0"/>
    </xf>
    <xf borderId="14" fillId="6" fontId="14" numFmtId="0" xfId="0" applyAlignment="1" applyBorder="1" applyFont="1">
      <alignment horizontal="center" readingOrder="0"/>
    </xf>
    <xf borderId="14" fillId="6" fontId="14" numFmtId="0" xfId="0" applyAlignment="1" applyBorder="1" applyFont="1">
      <alignment readingOrder="0" shrinkToFit="0" vertical="bottom" wrapText="0"/>
    </xf>
    <xf borderId="14" fillId="6" fontId="15" numFmtId="0" xfId="0" applyAlignment="1" applyBorder="1" applyFont="1">
      <alignment horizontal="center" readingOrder="0" shrinkToFit="0" wrapText="0"/>
    </xf>
    <xf borderId="14" fillId="6" fontId="9" numFmtId="0" xfId="0" applyAlignment="1" applyBorder="1" applyFont="1">
      <alignment horizontal="center" readingOrder="0" shrinkToFit="0" vertical="center" wrapText="0"/>
    </xf>
    <xf borderId="14" fillId="6" fontId="9" numFmtId="0" xfId="0" applyAlignment="1" applyBorder="1" applyFont="1">
      <alignment horizontal="center" readingOrder="0" vertical="center"/>
    </xf>
    <xf borderId="14" fillId="6" fontId="9" numFmtId="0" xfId="0" applyAlignment="1" applyBorder="1" applyFont="1">
      <alignment horizontal="center" readingOrder="0" vertical="center"/>
    </xf>
    <xf borderId="14" fillId="6" fontId="15" numFmtId="0" xfId="0" applyAlignment="1" applyBorder="1" applyFont="1">
      <alignment horizontal="center" readingOrder="0" vertical="center"/>
    </xf>
    <xf borderId="8" fillId="7" fontId="5" numFmtId="0" xfId="0" applyAlignment="1" applyBorder="1" applyFill="1" applyFont="1">
      <alignment horizontal="left" readingOrder="0" shrinkToFit="0" wrapText="0"/>
    </xf>
    <xf borderId="9" fillId="7" fontId="5" numFmtId="4" xfId="0" applyAlignment="1" applyBorder="1" applyFont="1" applyNumberFormat="1">
      <alignment horizontal="right" readingOrder="0" shrinkToFit="0" wrapText="0"/>
    </xf>
    <xf borderId="8" fillId="0" fontId="4" numFmtId="0" xfId="0" applyBorder="1" applyFont="1"/>
    <xf borderId="15" fillId="0" fontId="4" numFmtId="0" xfId="0" applyBorder="1" applyFont="1"/>
    <xf borderId="8" fillId="3" fontId="16" numFmtId="0" xfId="0" applyAlignment="1" applyBorder="1" applyFont="1">
      <alignment horizontal="left" readingOrder="0" shrinkToFit="0" wrapText="0"/>
    </xf>
    <xf borderId="9" fillId="3" fontId="16" numFmtId="4" xfId="0" applyAlignment="1" applyBorder="1" applyFont="1" applyNumberFormat="1">
      <alignment horizontal="right" readingOrder="0" shrinkToFit="0" wrapText="0"/>
    </xf>
    <xf borderId="12" fillId="0" fontId="11" numFmtId="0" xfId="0" applyAlignment="1" applyBorder="1" applyFont="1">
      <alignment horizontal="center" readingOrder="0" shrinkToFit="0" wrapText="0"/>
    </xf>
    <xf borderId="2" fillId="4" fontId="17" numFmtId="4" xfId="0" applyAlignment="1" applyBorder="1" applyFont="1" applyNumberFormat="1">
      <alignment horizontal="center" readingOrder="0" shrinkToFit="0" wrapText="0"/>
    </xf>
    <xf borderId="11" fillId="4" fontId="17" numFmtId="4" xfId="0" applyAlignment="1" applyBorder="1" applyFont="1" applyNumberFormat="1">
      <alignment horizontal="center" readingOrder="0" shrinkToFit="0" vertical="bottom" wrapText="0"/>
    </xf>
    <xf borderId="2" fillId="4" fontId="11" numFmtId="0" xfId="0" applyAlignment="1" applyBorder="1" applyFont="1">
      <alignment shrinkToFit="0" vertical="bottom" wrapText="0"/>
    </xf>
    <xf borderId="2" fillId="4" fontId="15" numFmtId="0" xfId="0" applyAlignment="1" applyBorder="1" applyFont="1">
      <alignment horizontal="center" readingOrder="0" shrinkToFit="0" wrapText="0"/>
    </xf>
    <xf borderId="2" fillId="4" fontId="9" numFmtId="0" xfId="0" applyAlignment="1" applyBorder="1" applyFont="1">
      <alignment horizontal="center" readingOrder="0" shrinkToFit="0" wrapText="0"/>
    </xf>
    <xf borderId="0" fillId="4" fontId="11" numFmtId="0" xfId="0" applyAlignment="1" applyFont="1">
      <alignment horizontal="left" readingOrder="0" shrinkToFit="0" wrapText="0"/>
    </xf>
    <xf borderId="2" fillId="0" fontId="11" numFmtId="0" xfId="0" applyAlignment="1" applyBorder="1" applyFont="1">
      <alignment horizontal="left" readingOrder="0" shrinkToFit="0" wrapText="0"/>
    </xf>
    <xf borderId="9" fillId="0" fontId="11" numFmtId="0" xfId="0" applyAlignment="1" applyBorder="1" applyFont="1">
      <alignment shrinkToFit="0" vertical="bottom" wrapText="0"/>
    </xf>
    <xf borderId="9" fillId="0" fontId="17" numFmtId="4" xfId="0" applyAlignment="1" applyBorder="1" applyFont="1" applyNumberFormat="1">
      <alignment readingOrder="0" shrinkToFit="0" vertical="bottom" wrapText="0"/>
    </xf>
    <xf borderId="9" fillId="0" fontId="11" numFmtId="4" xfId="0" applyAlignment="1" applyBorder="1" applyFont="1" applyNumberFormat="1">
      <alignment shrinkToFit="0" vertical="bottom" wrapText="0"/>
    </xf>
    <xf borderId="9" fillId="0" fontId="17" numFmtId="4" xfId="0" applyAlignment="1" applyBorder="1" applyFont="1" applyNumberFormat="1">
      <alignment horizontal="center" readingOrder="0" shrinkToFit="0" wrapText="0"/>
    </xf>
    <xf borderId="9" fillId="0" fontId="11" numFmtId="0" xfId="0" applyBorder="1" applyFont="1"/>
    <xf borderId="8" fillId="4" fontId="18" numFmtId="4" xfId="0" applyAlignment="1" applyBorder="1" applyFont="1" applyNumberFormat="1">
      <alignment horizontal="center" readingOrder="0" shrinkToFit="0" wrapText="0"/>
    </xf>
    <xf borderId="4" fillId="4" fontId="18" numFmtId="4" xfId="0" applyAlignment="1" applyBorder="1" applyFont="1" applyNumberFormat="1">
      <alignment horizontal="center" readingOrder="0" shrinkToFit="0" wrapText="0"/>
    </xf>
    <xf borderId="4" fillId="4" fontId="17" numFmtId="4" xfId="0" applyAlignment="1" applyBorder="1" applyFont="1" applyNumberFormat="1">
      <alignment horizontal="center" readingOrder="0" shrinkToFit="0" wrapText="0"/>
    </xf>
    <xf borderId="4" fillId="4" fontId="19" numFmtId="4" xfId="0" applyAlignment="1" applyBorder="1" applyFont="1" applyNumberFormat="1">
      <alignment horizontal="center" shrinkToFit="0" wrapText="0"/>
    </xf>
    <xf borderId="8" fillId="0" fontId="11" numFmtId="0" xfId="0" applyAlignment="1" applyBorder="1" applyFont="1">
      <alignment horizontal="left" readingOrder="0" shrinkToFit="0" wrapText="0"/>
    </xf>
    <xf borderId="9" fillId="0" fontId="11" numFmtId="4" xfId="0" applyAlignment="1" applyBorder="1" applyFont="1" applyNumberFormat="1">
      <alignment horizontal="center" shrinkToFit="0" wrapText="0"/>
    </xf>
    <xf borderId="9" fillId="0" fontId="20" numFmtId="0" xfId="0" applyBorder="1" applyFont="1"/>
    <xf borderId="8" fillId="4" fontId="17" numFmtId="4" xfId="0" applyAlignment="1" applyBorder="1" applyFont="1" applyNumberFormat="1">
      <alignment horizontal="center" readingOrder="0" shrinkToFit="0" wrapText="0"/>
    </xf>
    <xf borderId="9" fillId="4" fontId="18" numFmtId="4" xfId="0" applyAlignment="1" applyBorder="1" applyFont="1" applyNumberFormat="1">
      <alignment horizontal="center" readingOrder="0" shrinkToFit="0" wrapText="0"/>
    </xf>
    <xf borderId="9" fillId="4" fontId="19" numFmtId="4" xfId="0" applyAlignment="1" applyBorder="1" applyFont="1" applyNumberFormat="1">
      <alignment horizontal="center" shrinkToFit="0" wrapText="0"/>
    </xf>
    <xf borderId="8" fillId="8" fontId="21" numFmtId="0" xfId="0" applyAlignment="1" applyBorder="1" applyFill="1" applyFont="1">
      <alignment horizontal="left" readingOrder="0" shrinkToFit="0" wrapText="0"/>
    </xf>
    <xf borderId="2" fillId="8" fontId="16" numFmtId="4" xfId="0" applyAlignment="1" applyBorder="1" applyFont="1" applyNumberFormat="1">
      <alignment horizontal="right" readingOrder="0" shrinkToFit="0" wrapText="0"/>
    </xf>
    <xf borderId="8" fillId="9" fontId="22" numFmtId="0" xfId="0" applyAlignment="1" applyBorder="1" applyFill="1" applyFont="1">
      <alignment horizontal="left" readingOrder="0" shrinkToFit="0" wrapText="0"/>
    </xf>
    <xf borderId="2" fillId="9" fontId="23" numFmtId="4" xfId="0" applyAlignment="1" applyBorder="1" applyFont="1" applyNumberFormat="1">
      <alignment horizontal="right" readingOrder="0" shrinkToFit="0" vertical="bottom" wrapText="0"/>
    </xf>
    <xf borderId="11" fillId="7" fontId="5" numFmtId="4" xfId="0" applyAlignment="1" applyBorder="1" applyFont="1" applyNumberFormat="1">
      <alignment horizontal="right" readingOrder="0" shrinkToFit="0" wrapText="0"/>
    </xf>
    <xf borderId="7" fillId="3" fontId="16" numFmtId="4" xfId="0" applyAlignment="1" applyBorder="1" applyFont="1" applyNumberFormat="1">
      <alignment horizontal="right" readingOrder="0" shrinkToFit="0" wrapText="0"/>
    </xf>
    <xf borderId="8" fillId="0" fontId="17" numFmtId="0" xfId="0" applyAlignment="1" applyBorder="1" applyFont="1">
      <alignment horizontal="left" readingOrder="0" shrinkToFit="0" wrapText="0"/>
    </xf>
    <xf borderId="0" fillId="4" fontId="11" numFmtId="0" xfId="0" applyAlignment="1" applyFont="1">
      <alignment horizontal="left" shrinkToFit="0" wrapText="0"/>
    </xf>
    <xf borderId="2" fillId="5" fontId="6" numFmtId="0" xfId="0" applyAlignment="1" applyBorder="1" applyFont="1">
      <alignment horizontal="left" readingOrder="0" shrinkToFit="0" wrapText="0"/>
    </xf>
    <xf borderId="7" fillId="5" fontId="16" numFmtId="4" xfId="0" applyAlignment="1" applyBorder="1" applyFont="1" applyNumberFormat="1">
      <alignment horizontal="right" readingOrder="0" shrinkToFit="0" wrapText="0"/>
    </xf>
    <xf borderId="8" fillId="0" fontId="11" numFmtId="0" xfId="0" applyAlignment="1" applyBorder="1" applyFont="1">
      <alignment horizontal="left" shrinkToFit="0" wrapText="0"/>
    </xf>
    <xf borderId="2" fillId="5" fontId="5" numFmtId="0" xfId="0" applyAlignment="1" applyBorder="1" applyFont="1">
      <alignment horizontal="left" readingOrder="0" shrinkToFit="0" wrapText="0"/>
    </xf>
    <xf borderId="4" fillId="5" fontId="16" numFmtId="4" xfId="0" applyAlignment="1" applyBorder="1" applyFont="1" applyNumberFormat="1">
      <alignment horizontal="right" readingOrder="0" shrinkToFit="0" wrapText="0"/>
    </xf>
    <xf borderId="8" fillId="5" fontId="5" numFmtId="0" xfId="0" applyAlignment="1" applyBorder="1" applyFont="1">
      <alignment horizontal="left" readingOrder="0" shrinkToFit="0" wrapText="0"/>
    </xf>
    <xf borderId="9" fillId="5" fontId="16" numFmtId="4" xfId="0" applyAlignment="1" applyBorder="1" applyFont="1" applyNumberFormat="1">
      <alignment horizontal="right" readingOrder="0" shrinkToFit="0" wrapText="0"/>
    </xf>
    <xf borderId="8" fillId="7" fontId="5" numFmtId="0" xfId="0" applyAlignment="1" applyBorder="1" applyFont="1">
      <alignment horizontal="left" readingOrder="0" shrinkToFit="0" wrapText="0"/>
    </xf>
    <xf borderId="9" fillId="7" fontId="16" numFmtId="4" xfId="0" applyAlignment="1" applyBorder="1" applyFont="1" applyNumberFormat="1">
      <alignment horizontal="right" readingOrder="0" shrinkToFit="0" wrapText="0"/>
    </xf>
    <xf borderId="8" fillId="3" fontId="24" numFmtId="0" xfId="0" applyAlignment="1" applyBorder="1" applyFont="1">
      <alignment horizontal="left" readingOrder="0" shrinkToFit="0" wrapText="0"/>
    </xf>
    <xf borderId="9" fillId="3" fontId="24" numFmtId="4" xfId="0" applyAlignment="1" applyBorder="1" applyFont="1" applyNumberFormat="1">
      <alignment horizontal="right" readingOrder="0" shrinkToFit="0" wrapText="0"/>
    </xf>
    <xf borderId="2" fillId="0" fontId="17" numFmtId="0" xfId="0" applyAlignment="1" applyBorder="1" applyFont="1">
      <alignment horizontal="left" readingOrder="0" shrinkToFit="0" wrapText="0"/>
    </xf>
    <xf borderId="2" fillId="0" fontId="1" numFmtId="4" xfId="0" applyAlignment="1" applyBorder="1" applyFont="1" applyNumberFormat="1">
      <alignment readingOrder="0" shrinkToFit="0" vertical="bottom" wrapText="0"/>
    </xf>
    <xf borderId="2" fillId="0" fontId="1" numFmtId="0" xfId="0" applyAlignment="1" applyBorder="1" applyFont="1">
      <alignment readingOrder="0" shrinkToFit="0" vertical="bottom" wrapText="0"/>
    </xf>
    <xf borderId="2" fillId="0" fontId="21" numFmtId="0" xfId="0" applyAlignment="1" applyBorder="1" applyFont="1">
      <alignment readingOrder="0" shrinkToFit="0" vertical="bottom" wrapText="0"/>
    </xf>
    <xf borderId="2" fillId="0" fontId="1" numFmtId="4" xfId="0" applyAlignment="1" applyBorder="1" applyFont="1" applyNumberFormat="1">
      <alignment shrinkToFit="0" vertical="bottom" wrapText="0"/>
    </xf>
    <xf borderId="14" fillId="0" fontId="17" numFmtId="0" xfId="0" applyAlignment="1" applyBorder="1" applyFont="1">
      <alignment horizontal="left" readingOrder="0" shrinkToFit="0" wrapText="0"/>
    </xf>
    <xf borderId="4" fillId="0" fontId="1" numFmtId="4" xfId="0" applyAlignment="1" applyBorder="1" applyFont="1" applyNumberFormat="1">
      <alignment horizontal="right" readingOrder="0" shrinkToFit="0" vertical="bottom" wrapText="0"/>
    </xf>
    <xf borderId="9" fillId="4" fontId="11" numFmtId="4" xfId="0" applyAlignment="1" applyBorder="1" applyFont="1" applyNumberFormat="1">
      <alignment horizontal="center" shrinkToFit="0" wrapText="0"/>
    </xf>
    <xf borderId="9" fillId="4" fontId="17" numFmtId="4" xfId="0" applyAlignment="1" applyBorder="1" applyFont="1" applyNumberFormat="1">
      <alignment horizontal="center" readingOrder="0" shrinkToFit="0" wrapText="0"/>
    </xf>
    <xf borderId="0" fillId="4" fontId="25" numFmtId="0" xfId="0" applyAlignment="1" applyFont="1">
      <alignment horizontal="center" readingOrder="0" shrinkToFit="0" wrapText="0"/>
    </xf>
    <xf borderId="1" fillId="5" fontId="25" numFmtId="0" xfId="0" applyAlignment="1" applyBorder="1" applyFont="1">
      <alignment horizontal="center" readingOrder="0" shrinkToFit="0" wrapText="0"/>
    </xf>
    <xf borderId="4" fillId="5" fontId="25" numFmtId="4" xfId="0" applyAlignment="1" applyBorder="1" applyFont="1" applyNumberFormat="1">
      <alignment horizontal="center" readingOrder="0" shrinkToFit="0" wrapText="0"/>
    </xf>
    <xf borderId="4" fillId="5" fontId="11" numFmtId="0" xfId="0" applyBorder="1" applyFont="1"/>
    <xf borderId="0" fillId="4" fontId="17" numFmtId="0" xfId="0" applyAlignment="1" applyFont="1">
      <alignment horizontal="left" readingOrder="0" shrinkToFit="0" wrapText="0"/>
    </xf>
    <xf borderId="9" fillId="0" fontId="17" numFmtId="4" xfId="0" applyAlignment="1" applyBorder="1" applyFont="1" applyNumberFormat="1">
      <alignment horizontal="right" readingOrder="0" shrinkToFit="0" vertical="bottom" wrapText="0"/>
    </xf>
    <xf borderId="9" fillId="10" fontId="11" numFmtId="4" xfId="0" applyAlignment="1" applyBorder="1" applyFill="1" applyFont="1" applyNumberFormat="1">
      <alignment shrinkToFit="0" vertical="bottom" wrapText="0"/>
    </xf>
    <xf borderId="9" fillId="10" fontId="11" numFmtId="4" xfId="0" applyAlignment="1" applyBorder="1" applyFont="1" applyNumberFormat="1">
      <alignment horizontal="center" shrinkToFit="0" wrapText="0"/>
    </xf>
    <xf borderId="0" fillId="4" fontId="26" numFmtId="0" xfId="0" applyAlignment="1" applyFont="1">
      <alignment readingOrder="0" shrinkToFit="0" vertical="bottom" wrapText="0"/>
    </xf>
    <xf borderId="0" fillId="4" fontId="26" numFmtId="0" xfId="0" applyAlignment="1" applyFont="1">
      <alignment shrinkToFit="0" vertical="bottom" wrapText="0"/>
    </xf>
    <xf borderId="2" fillId="5" fontId="9" numFmtId="0" xfId="0" applyAlignment="1" applyBorder="1" applyFont="1">
      <alignment horizontal="center" readingOrder="0" shrinkToFit="0" wrapText="0"/>
    </xf>
    <xf borderId="0" fillId="0" fontId="17" numFmtId="0" xfId="0" applyAlignment="1" applyFont="1">
      <alignment horizontal="left" readingOrder="0" shrinkToFit="0" wrapText="0"/>
    </xf>
    <xf borderId="0" fillId="0" fontId="11" numFmtId="0" xfId="0" applyAlignment="1" applyFont="1">
      <alignment horizontal="left" shrinkToFit="0" wrapText="0"/>
    </xf>
    <xf borderId="2" fillId="0" fontId="11" numFmtId="0" xfId="0" applyAlignment="1" applyBorder="1" applyFont="1">
      <alignment shrinkToFit="0" vertical="bottom" wrapText="0"/>
    </xf>
    <xf borderId="2" fillId="0" fontId="11" numFmtId="4" xfId="0" applyAlignment="1" applyBorder="1" applyFont="1" applyNumberFormat="1">
      <alignment shrinkToFit="0" vertical="bottom" wrapText="0"/>
    </xf>
    <xf borderId="2" fillId="10" fontId="11" numFmtId="4" xfId="0" applyAlignment="1" applyBorder="1" applyFont="1" applyNumberFormat="1">
      <alignment shrinkToFit="0" vertical="bottom" wrapText="0"/>
    </xf>
    <xf borderId="2" fillId="10" fontId="11" numFmtId="4" xfId="0" applyAlignment="1" applyBorder="1" applyFont="1" applyNumberFormat="1">
      <alignment horizontal="center" shrinkToFit="0" wrapText="0"/>
    </xf>
    <xf borderId="2" fillId="0" fontId="11" numFmtId="0" xfId="0" applyBorder="1" applyFont="1"/>
    <xf borderId="0" fillId="0" fontId="11" numFmtId="0" xfId="0" applyAlignment="1" applyFont="1">
      <alignment horizontal="right" shrinkToFit="0" wrapText="0"/>
    </xf>
    <xf borderId="0" fillId="0" fontId="11" numFmtId="0" xfId="0" applyAlignment="1" applyFont="1">
      <alignment horizontal="center" shrinkToFit="0" wrapText="0"/>
    </xf>
    <xf borderId="0" fillId="0" fontId="11" numFmtId="4" xfId="0" applyAlignment="1" applyFont="1" applyNumberFormat="1">
      <alignment horizontal="center" shrinkToFit="0" wrapText="0"/>
    </xf>
    <xf borderId="0" fillId="0" fontId="11" numFmtId="0" xfId="0" applyFont="1"/>
    <xf borderId="0" fillId="0" fontId="27" numFmtId="0" xfId="0" applyAlignment="1" applyFont="1">
      <alignment horizontal="center" readingOrder="0" shrinkToFit="0" vertical="bottom" wrapText="0"/>
    </xf>
    <xf borderId="0" fillId="0" fontId="17" numFmtId="0" xfId="0" applyAlignment="1" applyFont="1">
      <alignment horizontal="right" readingOrder="0" shrinkToFit="0" wrapText="0"/>
    </xf>
    <xf borderId="0" fillId="0" fontId="1" numFmtId="0" xfId="0" applyAlignment="1" applyFont="1">
      <alignment readingOrder="0" shrinkToFit="0" vertical="bottom" wrapText="0"/>
    </xf>
    <xf borderId="0" fillId="0" fontId="17" numFmtId="4" xfId="0" applyAlignment="1" applyFont="1" applyNumberFormat="1">
      <alignment horizontal="center" readingOrder="0" shrinkToFit="0" wrapText="0"/>
    </xf>
    <xf borderId="8" fillId="4" fontId="19" numFmtId="4" xfId="0" applyAlignment="1" applyBorder="1" applyFont="1" applyNumberFormat="1">
      <alignment horizontal="center" shrinkToFit="0" wrapText="0"/>
    </xf>
    <xf borderId="8" fillId="0" fontId="19" numFmtId="4" xfId="0" applyAlignment="1" applyBorder="1" applyFont="1" applyNumberFormat="1">
      <alignment horizontal="center" shrinkToFit="0" wrapText="0"/>
    </xf>
    <xf borderId="12" fillId="3" fontId="13" numFmtId="0" xfId="0" applyAlignment="1" applyBorder="1" applyFont="1">
      <alignment horizontal="center" shrinkToFit="0" wrapText="0"/>
    </xf>
    <xf borderId="2" fillId="5" fontId="13" numFmtId="4" xfId="0" applyAlignment="1" applyBorder="1" applyFont="1" applyNumberFormat="1">
      <alignment horizontal="center" readingOrder="0" shrinkToFit="0" wrapText="0"/>
    </xf>
    <xf borderId="0" fillId="3" fontId="28" numFmtId="0" xfId="0" applyAlignment="1" applyFont="1">
      <alignment shrinkToFit="0" wrapText="0"/>
    </xf>
    <xf borderId="0" fillId="3" fontId="29" numFmtId="0" xfId="0" applyAlignment="1" applyFont="1">
      <alignment horizontal="center" shrinkToFit="0" wrapText="0"/>
    </xf>
    <xf borderId="16" fillId="3" fontId="30" numFmtId="0" xfId="0" applyAlignment="1" applyBorder="1" applyFont="1">
      <alignment horizontal="right"/>
    </xf>
    <xf borderId="17" fillId="3" fontId="30" numFmtId="0" xfId="0" applyAlignment="1" applyBorder="1" applyFont="1">
      <alignment horizontal="right"/>
    </xf>
    <xf borderId="2" fillId="0" fontId="2" numFmtId="165" xfId="0" applyAlignment="1" applyBorder="1" applyFont="1" applyNumberFormat="1">
      <alignment horizontal="center" readingOrder="0" shrinkToFit="0" wrapText="0"/>
    </xf>
    <xf borderId="2" fillId="4" fontId="17" numFmtId="0" xfId="0" applyAlignment="1" applyBorder="1" applyFont="1">
      <alignment readingOrder="0" shrinkToFit="0" vertical="bottom" wrapText="0"/>
    </xf>
    <xf borderId="2" fillId="0" fontId="17" numFmtId="4" xfId="0" applyAlignment="1" applyBorder="1" applyFont="1" applyNumberFormat="1">
      <alignment readingOrder="0" shrinkToFit="0" vertical="bottom" wrapText="0"/>
    </xf>
    <xf borderId="0" fillId="0" fontId="31" numFmtId="0" xfId="0" applyAlignment="1" applyFont="1">
      <alignment readingOrder="0"/>
    </xf>
    <xf borderId="0" fillId="0" fontId="31" numFmtId="0" xfId="0" applyAlignment="1" applyFont="1">
      <alignment readingOrder="0"/>
    </xf>
    <xf borderId="0" fillId="0" fontId="31" numFmtId="166" xfId="0" applyAlignment="1" applyFont="1" applyNumberFormat="1">
      <alignment readingOrder="0"/>
    </xf>
    <xf borderId="0" fillId="0" fontId="31" numFmtId="167" xfId="0" applyAlignment="1" applyFont="1" applyNumberFormat="1">
      <alignment readingOrder="0"/>
    </xf>
    <xf borderId="0" fillId="0" fontId="6" numFmtId="0" xfId="0" applyAlignment="1" applyFont="1">
      <alignment readingOrder="0" shrinkToFit="0" vertical="bottom" wrapText="0"/>
    </xf>
    <xf borderId="0" fillId="0" fontId="17" numFmtId="0" xfId="0" applyAlignment="1" applyFont="1">
      <alignment readingOrder="0" shrinkToFit="0" vertical="bottom" wrapText="0"/>
    </xf>
    <xf borderId="2" fillId="5" fontId="15" numFmtId="0" xfId="0" applyAlignment="1" applyBorder="1" applyFont="1">
      <alignment horizontal="center" readingOrder="0" shrinkToFit="0" wrapText="0"/>
    </xf>
    <xf borderId="9" fillId="5" fontId="18" numFmtId="4" xfId="0" applyAlignment="1" applyBorder="1" applyFont="1" applyNumberFormat="1">
      <alignment horizontal="center" readingOrder="0" shrinkToFit="0" wrapText="0"/>
    </xf>
    <xf borderId="9" fillId="7" fontId="21" numFmtId="4" xfId="0" applyAlignment="1" applyBorder="1" applyFont="1" applyNumberFormat="1">
      <alignment horizontal="right" readingOrder="0" shrinkToFit="0" wrapText="0"/>
    </xf>
    <xf borderId="0" fillId="5" fontId="11" numFmtId="0" xfId="0" applyAlignment="1" applyFont="1">
      <alignment horizontal="right" shrinkToFit="0" wrapText="0"/>
    </xf>
    <xf borderId="0" fillId="5" fontId="17" numFmtId="0" xfId="0" applyAlignment="1" applyFont="1">
      <alignment horizontal="right" readingOrder="0" shrinkToFit="0" wrapText="0"/>
    </xf>
    <xf borderId="0" fillId="5" fontId="11" numFmtId="0" xfId="0" applyAlignment="1" applyFont="1">
      <alignment shrinkToFit="0" vertical="bottom" wrapText="0"/>
    </xf>
    <xf borderId="9" fillId="4" fontId="32" numFmtId="4" xfId="0" applyAlignment="1" applyBorder="1" applyFont="1" applyNumberFormat="1">
      <alignment horizontal="center" readingOrder="0" shrinkToFit="0" wrapText="0"/>
    </xf>
    <xf borderId="9" fillId="4" fontId="33" numFmtId="4" xfId="0" applyAlignment="1" applyBorder="1" applyFont="1" applyNumberFormat="1">
      <alignment horizontal="center" readingOrder="0" shrinkToFit="0" wrapText="0"/>
    </xf>
    <xf borderId="9" fillId="4" fontId="34" numFmtId="4" xfId="0" applyAlignment="1" applyBorder="1" applyFont="1" applyNumberFormat="1">
      <alignment horizontal="center" shrinkToFit="0" wrapText="0"/>
    </xf>
    <xf borderId="9" fillId="5" fontId="17" numFmtId="4" xfId="0" applyAlignment="1" applyBorder="1" applyFont="1" applyNumberFormat="1">
      <alignment horizontal="center" readingOrder="0" shrinkToFit="0" wrapText="0"/>
    </xf>
    <xf borderId="9" fillId="3" fontId="24" numFmtId="0" xfId="0" applyAlignment="1" applyBorder="1" applyFont="1">
      <alignment horizontal="right" readingOrder="0" shrinkToFit="0" wrapText="0"/>
    </xf>
    <xf borderId="0" fillId="5" fontId="14" numFmtId="0" xfId="0" applyAlignment="1" applyFont="1">
      <alignment horizontal="right" readingOrder="0" shrinkToFit="0" wrapText="0"/>
    </xf>
    <xf borderId="9" fillId="11" fontId="18" numFmtId="4" xfId="0" applyAlignment="1" applyBorder="1" applyFill="1" applyFont="1" applyNumberFormat="1">
      <alignment horizontal="center" readingOrder="0" shrinkToFit="0" wrapText="0"/>
    </xf>
    <xf borderId="0" fillId="12" fontId="17" numFmtId="0" xfId="0" applyAlignment="1" applyFill="1" applyFont="1">
      <alignment horizontal="right" readingOrder="0" shrinkToFit="0" wrapText="0"/>
    </xf>
    <xf borderId="0" fillId="12" fontId="11" numFmtId="0" xfId="0" applyAlignment="1" applyFont="1">
      <alignment horizontal="right" shrinkToFit="0" wrapText="0"/>
    </xf>
    <xf borderId="8" fillId="0" fontId="18" numFmtId="4" xfId="0" applyAlignment="1" applyBorder="1" applyFont="1" applyNumberFormat="1">
      <alignment horizontal="center" readingOrder="0" shrinkToFit="0" wrapText="0"/>
    </xf>
    <xf borderId="9" fillId="11" fontId="17" numFmtId="4" xfId="0" applyAlignment="1" applyBorder="1" applyFont="1" applyNumberFormat="1">
      <alignment horizontal="center" readingOrder="0" shrinkToFit="0" wrapText="0"/>
    </xf>
    <xf borderId="9" fillId="13" fontId="18" numFmtId="4" xfId="0" applyAlignment="1" applyBorder="1" applyFill="1" applyFont="1" applyNumberFormat="1">
      <alignment horizontal="center" readingOrder="0" shrinkToFit="0" wrapText="0"/>
    </xf>
    <xf borderId="0" fillId="4" fontId="31" numFmtId="0" xfId="0" applyAlignment="1" applyFont="1">
      <alignment readingOrder="0"/>
    </xf>
    <xf borderId="0" fillId="14" fontId="8" numFmtId="0" xfId="0" applyAlignment="1" applyFill="1" applyFont="1">
      <alignment horizontal="right" readingOrder="0" shrinkToFit="0" wrapText="0"/>
    </xf>
    <xf borderId="0" fillId="14" fontId="17" numFmtId="0" xfId="0" applyAlignment="1" applyFont="1">
      <alignment horizontal="right" readingOrder="0" shrinkToFit="0" wrapText="0"/>
    </xf>
    <xf borderId="9" fillId="13" fontId="17" numFmtId="4" xfId="0" applyAlignment="1" applyBorder="1" applyFont="1" applyNumberFormat="1">
      <alignment horizontal="center" readingOrder="0" shrinkToFit="0" wrapText="0"/>
    </xf>
    <xf borderId="0" fillId="7" fontId="11" numFmtId="0" xfId="0" applyAlignment="1" applyFont="1">
      <alignment horizontal="right" readingOrder="0" shrinkToFit="0" wrapText="0"/>
    </xf>
    <xf borderId="11" fillId="3" fontId="17" numFmtId="0" xfId="0" applyAlignment="1" applyBorder="1" applyFont="1">
      <alignment readingOrder="0" shrinkToFit="0" vertical="bottom" wrapText="0"/>
    </xf>
    <xf borderId="4" fillId="3" fontId="17" numFmtId="0" xfId="0" applyAlignment="1" applyBorder="1" applyFont="1">
      <alignment readingOrder="0" shrinkToFit="0" vertical="bottom" wrapText="0"/>
    </xf>
    <xf borderId="9" fillId="0" fontId="17" numFmtId="0" xfId="0" applyAlignment="1" applyBorder="1" applyFont="1">
      <alignment readingOrder="0" shrinkToFit="0" vertical="bottom" wrapText="0"/>
    </xf>
    <xf borderId="2" fillId="3" fontId="17" numFmtId="0" xfId="0" applyAlignment="1" applyBorder="1" applyFont="1">
      <alignment readingOrder="0" shrinkToFit="0" vertical="bottom" wrapText="0"/>
    </xf>
    <xf borderId="9" fillId="10" fontId="17" numFmtId="4" xfId="0" applyAlignment="1" applyBorder="1" applyFont="1" applyNumberFormat="1">
      <alignment readingOrder="0" shrinkToFit="0" vertical="bottom" wrapText="0"/>
    </xf>
    <xf borderId="2" fillId="12" fontId="15" numFmtId="0" xfId="0" applyAlignment="1" applyBorder="1" applyFont="1">
      <alignment horizontal="center" readingOrder="0" shrinkToFit="0" wrapText="0"/>
    </xf>
    <xf borderId="9" fillId="12" fontId="17" numFmtId="4" xfId="0" applyAlignment="1" applyBorder="1" applyFont="1" applyNumberFormat="1">
      <alignment horizontal="center" readingOrder="0" shrinkToFit="0" wrapText="0"/>
    </xf>
    <xf borderId="9" fillId="3" fontId="17" numFmtId="4" xfId="0" applyAlignment="1" applyBorder="1" applyFont="1" applyNumberFormat="1">
      <alignment horizontal="center" readingOrder="0" shrinkToFit="0" wrapText="0"/>
    </xf>
    <xf borderId="0" fillId="6" fontId="7" numFmtId="0" xfId="0" applyAlignment="1" applyFont="1">
      <alignment horizontal="center" readingOrder="0" vertical="center"/>
    </xf>
    <xf borderId="0" fillId="6" fontId="13" numFmtId="0" xfId="0" applyAlignment="1" applyFont="1">
      <alignment horizontal="center" readingOrder="0"/>
    </xf>
    <xf borderId="0" fillId="0" fontId="11" numFmtId="0" xfId="0" applyAlignment="1" applyFont="1">
      <alignment horizontal="center" readingOrder="0" shrinkToFit="0" wrapText="0"/>
    </xf>
    <xf borderId="2" fillId="12" fontId="9" numFmtId="0" xfId="0" applyAlignment="1" applyBorder="1" applyFont="1">
      <alignment horizontal="center" readingOrder="0" shrinkToFit="0" wrapText="0"/>
    </xf>
    <xf borderId="12" fillId="0" fontId="17" numFmtId="0" xfId="0" applyAlignment="1" applyBorder="1" applyFont="1">
      <alignment horizontal="center" readingOrder="0" shrinkToFit="0" wrapText="0"/>
    </xf>
    <xf borderId="0" fillId="3" fontId="13" numFmtId="0" xfId="0" applyAlignment="1" applyFont="1">
      <alignment horizontal="center" shrinkToFit="0" wrapText="0"/>
    </xf>
    <xf borderId="4" fillId="5" fontId="17" numFmtId="4" xfId="0" applyAlignment="1" applyBorder="1" applyFont="1" applyNumberFormat="1">
      <alignment horizontal="center" readingOrder="0" shrinkToFit="0" wrapText="0"/>
    </xf>
    <xf borderId="9" fillId="15" fontId="18" numFmtId="4" xfId="0" applyAlignment="1" applyBorder="1" applyFill="1" applyFont="1" applyNumberFormat="1">
      <alignment horizontal="center" readingOrder="0" shrinkToFit="0" wrapText="0"/>
    </xf>
    <xf borderId="2" fillId="0" fontId="31" numFmtId="0" xfId="0" applyAlignment="1" applyBorder="1" applyFont="1">
      <alignment readingOrder="0"/>
    </xf>
    <xf borderId="0" fillId="0" fontId="13" numFmtId="0" xfId="0" applyAlignment="1" applyFont="1">
      <alignment horizontal="righ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col"/>
        <c:ser>
          <c:idx val="0"/>
          <c:order val="0"/>
          <c:cat>
            <c:strRef>
              <c:f>Summary!$B$1</c:f>
            </c:strRef>
          </c:cat>
          <c:val>
            <c:numRef>
              <c:f>Summary!$B$1</c:f>
              <c:numCache/>
            </c:numRef>
          </c:val>
        </c:ser>
        <c:axId val="1223336300"/>
        <c:axId val="1759364379"/>
      </c:barChart>
      <c:catAx>
        <c:axId val="12233363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9364379"/>
      </c:catAx>
      <c:valAx>
        <c:axId val="1759364379"/>
        <c:scaling>
          <c:orientation val="minMax"/>
        </c:scaling>
        <c:delete val="0"/>
        <c:axPos val="l"/>
        <c:tickLblPos val="nextTo"/>
        <c:spPr>
          <a:ln>
            <a:noFill/>
          </a:ln>
        </c:spPr>
        <c:crossAx val="12233363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0</xdr:rowOff>
    </xdr:from>
    <xdr:ext cx="5715000" cy="353377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3">
        <v>45870.0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18">
        <v>838.0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54505.0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8385.0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31273.0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16023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8750</v>
      </c>
      <c r="D10" s="24"/>
      <c r="E10" s="43">
        <v>1.0</v>
      </c>
      <c r="F10" s="44">
        <v>107.0</v>
      </c>
      <c r="G10" s="45" t="s">
        <v>42</v>
      </c>
      <c r="H10" s="45">
        <v>107.0</v>
      </c>
      <c r="I10" s="45"/>
      <c r="J10" s="129">
        <v>3114.0</v>
      </c>
      <c r="K10" s="24"/>
      <c r="L10" s="47" t="s">
        <v>42</v>
      </c>
      <c r="M10" s="47"/>
      <c r="N10" s="48"/>
      <c r="O10" s="49"/>
      <c r="P10" s="85" t="s">
        <v>43</v>
      </c>
      <c r="Q10" s="51"/>
      <c r="R10" s="52">
        <v>2000.0</v>
      </c>
      <c r="S10" s="53"/>
      <c r="T10" s="54"/>
      <c r="U10" s="55"/>
      <c r="V10" s="24"/>
      <c r="W10" s="47" t="s">
        <v>42</v>
      </c>
      <c r="X10" s="47"/>
      <c r="Y10" s="47" t="s">
        <v>42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6822</v>
      </c>
      <c r="D11" s="24"/>
      <c r="E11" s="43">
        <v>2.0</v>
      </c>
      <c r="F11" s="56">
        <v>132.0</v>
      </c>
      <c r="G11" s="57">
        <v>132.0</v>
      </c>
      <c r="H11" s="58"/>
      <c r="I11" s="59"/>
      <c r="J11" s="129">
        <v>3115.0</v>
      </c>
      <c r="K11" s="24"/>
      <c r="L11" s="48"/>
      <c r="M11" s="48"/>
      <c r="N11" s="48"/>
      <c r="O11" s="49"/>
      <c r="P11" s="72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451</v>
      </c>
      <c r="D12" s="24"/>
      <c r="E12" s="43">
        <v>3.0</v>
      </c>
      <c r="F12" s="63">
        <v>35.0</v>
      </c>
      <c r="G12" s="64">
        <v>35.0</v>
      </c>
      <c r="H12" s="64"/>
      <c r="I12" s="65"/>
      <c r="J12" s="129">
        <v>3116.0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153.0</v>
      </c>
      <c r="G13" s="64" t="s">
        <v>42</v>
      </c>
      <c r="H13" s="64">
        <v>153.0</v>
      </c>
      <c r="I13" s="65"/>
      <c r="J13" s="129">
        <v>3117.0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226.0</v>
      </c>
      <c r="G14" s="64">
        <v>226.0</v>
      </c>
      <c r="H14" s="65"/>
      <c r="I14" s="65"/>
      <c r="J14" s="129">
        <v>3118.0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361.0</v>
      </c>
      <c r="G15" s="64">
        <v>361.0</v>
      </c>
      <c r="H15" s="64"/>
      <c r="I15" s="65"/>
      <c r="J15" s="129">
        <v>3119.0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2000</v>
      </c>
      <c r="D16" s="24"/>
      <c r="E16" s="43">
        <v>7.0</v>
      </c>
      <c r="F16" s="56">
        <v>26.0</v>
      </c>
      <c r="G16" s="64">
        <v>26.0</v>
      </c>
      <c r="H16" s="64"/>
      <c r="I16" s="65"/>
      <c r="J16" s="129">
        <v>3120.0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2000</v>
      </c>
      <c r="D17" s="24"/>
      <c r="E17" s="43">
        <v>8.0</v>
      </c>
      <c r="F17" s="56">
        <v>115.0</v>
      </c>
      <c r="G17" s="65"/>
      <c r="H17" s="64">
        <v>115.0</v>
      </c>
      <c r="I17" s="65"/>
      <c r="J17" s="129">
        <v>3121.0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358.0</v>
      </c>
      <c r="G18" s="64">
        <v>358.0</v>
      </c>
      <c r="H18" s="64"/>
      <c r="I18" s="65"/>
      <c r="J18" s="129">
        <v>3122.0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160.0</v>
      </c>
      <c r="G19" s="64">
        <v>160.0</v>
      </c>
      <c r="H19" s="65"/>
      <c r="I19" s="65"/>
      <c r="J19" s="129">
        <v>3123.0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31724</v>
      </c>
      <c r="D20" s="24"/>
      <c r="E20" s="43">
        <v>11.0</v>
      </c>
      <c r="F20" s="56">
        <v>100.0</v>
      </c>
      <c r="G20" s="64">
        <v>100.0</v>
      </c>
      <c r="H20" s="64"/>
      <c r="I20" s="65"/>
      <c r="J20" s="129">
        <v>3124.0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6822</v>
      </c>
      <c r="D21" s="24"/>
      <c r="E21" s="43">
        <v>12.0</v>
      </c>
      <c r="F21" s="56">
        <v>35.0</v>
      </c>
      <c r="G21" s="64">
        <v>35.0</v>
      </c>
      <c r="H21" s="64"/>
      <c r="I21" s="65"/>
      <c r="J21" s="129">
        <v>3125.0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57755</v>
      </c>
      <c r="D22" s="24"/>
      <c r="E22" s="43">
        <v>13.0</v>
      </c>
      <c r="F22" s="56">
        <v>512.0</v>
      </c>
      <c r="G22" s="64">
        <v>512.0</v>
      </c>
      <c r="H22" s="64"/>
      <c r="I22" s="65"/>
      <c r="J22" s="129">
        <v>3126.0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>
        <v>83.0</v>
      </c>
      <c r="G23" s="64">
        <v>83.0</v>
      </c>
      <c r="H23" s="65"/>
      <c r="I23" s="65"/>
      <c r="J23" s="129">
        <v>3127.0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57755</v>
      </c>
      <c r="D24" s="24"/>
      <c r="E24" s="43">
        <v>15.0</v>
      </c>
      <c r="F24" s="56">
        <v>235.0</v>
      </c>
      <c r="G24" s="64">
        <v>235.0</v>
      </c>
      <c r="H24" s="65"/>
      <c r="I24" s="65"/>
      <c r="J24" s="129">
        <v>3128.0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93.0</v>
      </c>
      <c r="G25" s="64">
        <v>93.0</v>
      </c>
      <c r="H25" s="65"/>
      <c r="I25" s="65"/>
      <c r="J25" s="129">
        <v>3129.0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16023</v>
      </c>
      <c r="D26" s="24"/>
      <c r="E26" s="43">
        <v>17.0</v>
      </c>
      <c r="F26" s="56">
        <v>197.0</v>
      </c>
      <c r="G26" s="64">
        <v>197.0</v>
      </c>
      <c r="H26" s="65"/>
      <c r="I26" s="65"/>
      <c r="J26" s="129">
        <v>3130.0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62.0</v>
      </c>
      <c r="D27" s="24"/>
      <c r="E27" s="43">
        <v>18.0</v>
      </c>
      <c r="F27" s="56">
        <v>115.0</v>
      </c>
      <c r="G27" s="64">
        <v>115.0</v>
      </c>
      <c r="H27" s="65"/>
      <c r="I27" s="65"/>
      <c r="J27" s="129">
        <v>3131.0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258.4354839</v>
      </c>
      <c r="D28" s="24"/>
      <c r="E28" s="43">
        <v>19.0</v>
      </c>
      <c r="F28" s="56">
        <v>99.0</v>
      </c>
      <c r="G28" s="64"/>
      <c r="H28" s="65"/>
      <c r="I28" s="64">
        <v>99.0</v>
      </c>
      <c r="J28" s="129">
        <v>3132.0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296.0</v>
      </c>
      <c r="G29" s="64"/>
      <c r="H29" s="64">
        <v>296.0</v>
      </c>
      <c r="I29" s="65"/>
      <c r="J29" s="129">
        <v>3133.0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108.0</v>
      </c>
      <c r="G30" s="93">
        <v>108.0</v>
      </c>
      <c r="H30" s="92"/>
      <c r="I30" s="93"/>
      <c r="J30" s="129">
        <v>3134.0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8385</v>
      </c>
      <c r="D31" s="24"/>
      <c r="E31" s="43">
        <v>22.0</v>
      </c>
      <c r="F31" s="56">
        <v>110.0</v>
      </c>
      <c r="G31" s="93">
        <v>110.0</v>
      </c>
      <c r="H31" s="92"/>
      <c r="I31" s="92"/>
      <c r="J31" s="129">
        <v>3135.0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2000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92.0</v>
      </c>
      <c r="G32" s="93">
        <v>92.0</v>
      </c>
      <c r="H32" s="92"/>
      <c r="I32" s="92"/>
      <c r="J32" s="129">
        <v>3136.0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40.0</v>
      </c>
      <c r="G33" s="93" t="s">
        <v>42</v>
      </c>
      <c r="H33" s="93">
        <v>40.0</v>
      </c>
      <c r="I33" s="92"/>
      <c r="J33" s="129">
        <v>3137.0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8385.0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602.0</v>
      </c>
      <c r="G34" s="93"/>
      <c r="H34" s="93">
        <v>602.0</v>
      </c>
      <c r="I34" s="92"/>
      <c r="J34" s="129">
        <v>3138.0</v>
      </c>
      <c r="K34" s="24"/>
      <c r="L34" s="106"/>
      <c r="M34" s="106"/>
      <c r="N34" s="106"/>
      <c r="O34" s="106"/>
      <c r="P34" s="85" t="s">
        <v>40</v>
      </c>
      <c r="Q34" s="107"/>
      <c r="R34" s="130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90.0</v>
      </c>
      <c r="G35" s="93">
        <v>90.0</v>
      </c>
      <c r="H35" s="93"/>
      <c r="I35" s="92"/>
      <c r="J35" s="129">
        <v>3139.0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617.0</v>
      </c>
      <c r="G36" s="93">
        <v>617.0</v>
      </c>
      <c r="H36" s="93"/>
      <c r="I36" s="92"/>
      <c r="J36" s="129">
        <v>3140.0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116.0</v>
      </c>
      <c r="G37" s="93">
        <v>116.0</v>
      </c>
      <c r="H37" s="92"/>
      <c r="I37" s="92"/>
      <c r="J37" s="129">
        <v>3141.0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77.0</v>
      </c>
      <c r="G38" s="93"/>
      <c r="H38" s="93">
        <v>77.0</v>
      </c>
      <c r="I38" s="92"/>
      <c r="J38" s="129">
        <v>3142.0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518.0</v>
      </c>
      <c r="G39" s="93"/>
      <c r="H39" s="93">
        <v>518.0</v>
      </c>
      <c r="I39" s="92"/>
      <c r="J39" s="129">
        <v>3143.0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267.0</v>
      </c>
      <c r="G40" s="93" t="s">
        <v>42</v>
      </c>
      <c r="H40" s="93">
        <v>267.0</v>
      </c>
      <c r="I40" s="92"/>
      <c r="J40" s="129">
        <v>3144.0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240.0</v>
      </c>
      <c r="G41" s="93">
        <v>240.0</v>
      </c>
      <c r="H41" s="93"/>
      <c r="I41" s="92"/>
      <c r="J41" s="129">
        <v>3145.0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465.0</v>
      </c>
      <c r="G42" s="93"/>
      <c r="H42" s="93">
        <v>465.0</v>
      </c>
      <c r="I42" s="92"/>
      <c r="J42" s="129">
        <v>3146.0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200.0</v>
      </c>
      <c r="G43" s="93"/>
      <c r="H43" s="93">
        <v>200.0</v>
      </c>
      <c r="I43" s="92"/>
      <c r="J43" s="129">
        <v>3147.0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100.0</v>
      </c>
      <c r="G44" s="92"/>
      <c r="H44" s="93">
        <v>100.0</v>
      </c>
      <c r="I44" s="92"/>
      <c r="J44" s="129">
        <v>3148.0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89.0</v>
      </c>
      <c r="G45" s="93">
        <v>89.0</v>
      </c>
      <c r="H45" s="92"/>
      <c r="I45" s="92"/>
      <c r="J45" s="129">
        <v>3149.0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387.0</v>
      </c>
      <c r="G46" s="93">
        <v>387.0</v>
      </c>
      <c r="H46" s="92"/>
      <c r="I46" s="92"/>
      <c r="J46" s="129">
        <v>3150.0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18.0</v>
      </c>
      <c r="G47" s="93">
        <v>18.0</v>
      </c>
      <c r="H47" s="93"/>
      <c r="I47" s="92"/>
      <c r="J47" s="129">
        <v>3151.0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99.0</v>
      </c>
      <c r="G48" s="93">
        <v>99.0</v>
      </c>
      <c r="H48" s="92"/>
      <c r="I48" s="92"/>
      <c r="J48" s="129">
        <v>3152.0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514.0</v>
      </c>
      <c r="G49" s="93">
        <v>514.0</v>
      </c>
      <c r="H49" s="92"/>
      <c r="I49" s="92"/>
      <c r="J49" s="129">
        <v>3153.0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351.0</v>
      </c>
      <c r="G50" s="92"/>
      <c r="H50" s="93">
        <v>351.0</v>
      </c>
      <c r="I50" s="92"/>
      <c r="J50" s="129">
        <v>3154.0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1493.0</v>
      </c>
      <c r="G51" s="92"/>
      <c r="H51" s="93">
        <v>1493.0</v>
      </c>
      <c r="I51" s="92"/>
      <c r="J51" s="129">
        <v>3155.0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245.0</v>
      </c>
      <c r="G52" s="93">
        <v>245.0</v>
      </c>
      <c r="H52" s="92"/>
      <c r="I52" s="92"/>
      <c r="J52" s="129">
        <v>3156.0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365.0</v>
      </c>
      <c r="G53" s="92"/>
      <c r="H53" s="93">
        <v>365.0</v>
      </c>
      <c r="I53" s="92"/>
      <c r="J53" s="129">
        <v>3157.0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49.0</v>
      </c>
      <c r="G54" s="93">
        <v>49.0</v>
      </c>
      <c r="H54" s="92"/>
      <c r="I54" s="92"/>
      <c r="J54" s="129">
        <v>3158.0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286.0</v>
      </c>
      <c r="G55" s="92"/>
      <c r="H55" s="93">
        <v>286.0</v>
      </c>
      <c r="I55" s="92"/>
      <c r="J55" s="129">
        <v>3159.0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10.0</v>
      </c>
      <c r="G56" s="93"/>
      <c r="H56" s="93">
        <v>10.0</v>
      </c>
      <c r="I56" s="92"/>
      <c r="J56" s="129">
        <v>3160.0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102.0</v>
      </c>
      <c r="G57" s="93"/>
      <c r="H57" s="93">
        <v>102.0</v>
      </c>
      <c r="I57" s="92"/>
      <c r="J57" s="129">
        <v>3161.0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285.0</v>
      </c>
      <c r="G58" s="93">
        <v>285.0</v>
      </c>
      <c r="H58" s="92"/>
      <c r="I58" s="92"/>
      <c r="J58" s="129">
        <v>3162.0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1723.0</v>
      </c>
      <c r="G59" s="93">
        <v>1723.0</v>
      </c>
      <c r="H59" s="92"/>
      <c r="I59" s="92"/>
      <c r="J59" s="129">
        <v>3163.0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57.0</v>
      </c>
      <c r="G60" s="92"/>
      <c r="H60" s="93">
        <v>57.0</v>
      </c>
      <c r="I60" s="92"/>
      <c r="J60" s="129">
        <v>3164.0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937.0</v>
      </c>
      <c r="G61" s="92"/>
      <c r="H61" s="93">
        <v>937.0</v>
      </c>
      <c r="I61" s="92"/>
      <c r="J61" s="129">
        <v>3165.0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223.0</v>
      </c>
      <c r="G62" s="93">
        <v>223.0</v>
      </c>
      <c r="H62" s="92"/>
      <c r="I62" s="92"/>
      <c r="J62" s="129">
        <v>3166.0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220.0</v>
      </c>
      <c r="G63" s="93">
        <v>220.0</v>
      </c>
      <c r="H63" s="92"/>
      <c r="I63" s="92"/>
      <c r="J63" s="129">
        <v>3167.0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319.0</v>
      </c>
      <c r="G64" s="93">
        <v>319.0</v>
      </c>
      <c r="H64" s="92"/>
      <c r="I64" s="92"/>
      <c r="J64" s="129">
        <v>3168.0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30.0</v>
      </c>
      <c r="G65" s="93" t="s">
        <v>42</v>
      </c>
      <c r="H65" s="93">
        <v>30.0</v>
      </c>
      <c r="I65" s="92"/>
      <c r="J65" s="129">
        <v>3169.0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196.0</v>
      </c>
      <c r="G66" s="93">
        <v>196.0</v>
      </c>
      <c r="H66" s="92"/>
      <c r="I66" s="92"/>
      <c r="J66" s="129">
        <v>3170.0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21.0</v>
      </c>
      <c r="G67" s="93">
        <v>21.0</v>
      </c>
      <c r="H67" s="92"/>
      <c r="I67" s="92"/>
      <c r="J67" s="129">
        <v>3171.0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61.0</v>
      </c>
      <c r="G68" s="93">
        <v>61.0</v>
      </c>
      <c r="H68" s="92"/>
      <c r="I68" s="92"/>
      <c r="J68" s="129">
        <v>3172.0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260.0</v>
      </c>
      <c r="G69" s="93">
        <v>260.0</v>
      </c>
      <c r="H69" s="92"/>
      <c r="I69" s="92"/>
      <c r="J69" s="129">
        <v>3173.0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191.0</v>
      </c>
      <c r="G70" s="92"/>
      <c r="H70" s="93">
        <v>191.0</v>
      </c>
      <c r="I70" s="92"/>
      <c r="J70" s="129">
        <v>3174.0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352.0</v>
      </c>
      <c r="G71" s="92"/>
      <c r="H71" s="92"/>
      <c r="I71" s="93">
        <v>352.0</v>
      </c>
      <c r="J71" s="129" t="s">
        <v>44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60.0</v>
      </c>
      <c r="G72" s="92"/>
      <c r="H72" s="93">
        <v>60.0</v>
      </c>
      <c r="I72" s="92"/>
      <c r="J72" s="129">
        <v>3176.0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129">
        <v>3177.0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16023</v>
      </c>
      <c r="G97" s="123">
        <f t="shared" si="4"/>
        <v>8750</v>
      </c>
      <c r="H97" s="123">
        <f t="shared" si="4"/>
        <v>6822</v>
      </c>
      <c r="I97" s="123">
        <f t="shared" si="4"/>
        <v>451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1" t="s">
        <v>45</v>
      </c>
      <c r="B1" s="131" t="s">
        <v>46</v>
      </c>
    </row>
    <row r="2">
      <c r="A2" s="131" t="s">
        <v>47</v>
      </c>
      <c r="B2" s="131" t="s">
        <v>48</v>
      </c>
    </row>
    <row r="3">
      <c r="A3" s="131" t="s">
        <v>49</v>
      </c>
      <c r="B3" s="131" t="s">
        <v>50</v>
      </c>
    </row>
    <row r="4">
      <c r="A4" s="131" t="s">
        <v>51</v>
      </c>
      <c r="B4" s="132">
        <v>2025.0</v>
      </c>
    </row>
    <row r="5">
      <c r="A5" s="131" t="s">
        <v>52</v>
      </c>
      <c r="B5" s="131" t="s">
        <v>53</v>
      </c>
    </row>
    <row r="6">
      <c r="A6" s="131" t="s">
        <v>54</v>
      </c>
      <c r="B6" s="131" t="s">
        <v>55</v>
      </c>
    </row>
    <row r="7">
      <c r="A7" s="131" t="s">
        <v>56</v>
      </c>
      <c r="B7" s="131" t="s">
        <v>57</v>
      </c>
    </row>
    <row r="8">
      <c r="A8" s="131" t="s">
        <v>58</v>
      </c>
      <c r="B8" s="131" t="s">
        <v>59</v>
      </c>
    </row>
    <row r="9">
      <c r="A9" s="131" t="s">
        <v>60</v>
      </c>
      <c r="B9" s="131" t="s">
        <v>61</v>
      </c>
    </row>
    <row r="10">
      <c r="A10" s="131" t="s">
        <v>62</v>
      </c>
      <c r="B10" s="133">
        <v>45992.32708333333</v>
      </c>
    </row>
    <row r="11">
      <c r="A11" s="131" t="s">
        <v>63</v>
      </c>
      <c r="B11" s="131" t="s">
        <v>64</v>
      </c>
    </row>
    <row r="12">
      <c r="A12" s="131" t="s">
        <v>65</v>
      </c>
      <c r="B12" s="131" t="s">
        <v>66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31" t="s">
        <v>67</v>
      </c>
      <c r="B1" s="131" t="s">
        <v>46</v>
      </c>
    </row>
    <row r="2">
      <c r="A2" s="131" t="s">
        <v>68</v>
      </c>
      <c r="B2" s="132">
        <v>31.0</v>
      </c>
    </row>
    <row r="3">
      <c r="A3" s="131" t="s">
        <v>52</v>
      </c>
      <c r="B3" s="131" t="s">
        <v>53</v>
      </c>
    </row>
    <row r="4">
      <c r="A4" s="131" t="s">
        <v>54</v>
      </c>
      <c r="B4" s="131" t="s">
        <v>55</v>
      </c>
    </row>
    <row r="5">
      <c r="A5" s="131" t="s">
        <v>56</v>
      </c>
      <c r="B5" s="131" t="s">
        <v>57</v>
      </c>
    </row>
    <row r="6">
      <c r="A6" s="131" t="s">
        <v>69</v>
      </c>
      <c r="B6" s="134">
        <v>45992.32710648148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18">
        <v>3.0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18">
        <v>3.0</v>
      </c>
      <c r="B2" s="2" t="s">
        <v>0</v>
      </c>
      <c r="C2" s="128">
        <v>45993.0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18">
        <v>3.0</v>
      </c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18">
        <v>3.0</v>
      </c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35">
        <v>3.0</v>
      </c>
      <c r="B5" s="11" t="s">
        <v>2</v>
      </c>
      <c r="C5" s="12">
        <v>57755.0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35">
        <v>3.0</v>
      </c>
      <c r="B6" s="20" t="s">
        <v>7</v>
      </c>
      <c r="C6" s="21">
        <v>6822.0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136">
        <v>3.0</v>
      </c>
      <c r="B7" s="25" t="s">
        <v>8</v>
      </c>
      <c r="C7" s="21">
        <v>31724.0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136">
        <v>3.0</v>
      </c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136">
        <v>3.0</v>
      </c>
      <c r="B9" s="37" t="s">
        <v>18</v>
      </c>
      <c r="C9" s="38">
        <f>F97-C15</f>
        <v>21871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136">
        <v>3.0</v>
      </c>
      <c r="B10" s="41" t="s">
        <v>19</v>
      </c>
      <c r="C10" s="42">
        <f>G97-W33</f>
        <v>11156</v>
      </c>
      <c r="D10" s="24"/>
      <c r="E10" s="43">
        <v>1.0</v>
      </c>
      <c r="F10" s="44">
        <v>26.0</v>
      </c>
      <c r="G10" s="45">
        <v>26.0</v>
      </c>
      <c r="H10" s="45"/>
      <c r="I10" s="45"/>
      <c r="J10" s="129">
        <v>3177.0</v>
      </c>
      <c r="K10" s="24"/>
      <c r="L10" s="47">
        <v>99.0</v>
      </c>
      <c r="M10" s="47"/>
      <c r="N10" s="47">
        <v>3132.0</v>
      </c>
      <c r="O10" s="49"/>
      <c r="P10" s="85" t="s">
        <v>70</v>
      </c>
      <c r="Q10" s="51"/>
      <c r="R10" s="52">
        <v>1000.0</v>
      </c>
      <c r="S10" s="53"/>
      <c r="T10" s="54"/>
      <c r="U10" s="55"/>
      <c r="V10" s="24"/>
      <c r="W10" s="137">
        <v>244.0</v>
      </c>
      <c r="X10" s="47"/>
      <c r="Y10" s="47" t="s">
        <v>71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136">
        <v>3.0</v>
      </c>
      <c r="B11" s="41" t="s">
        <v>20</v>
      </c>
      <c r="C11" s="42">
        <f>H97-X33</f>
        <v>10867</v>
      </c>
      <c r="D11" s="24"/>
      <c r="E11" s="43">
        <v>2.0</v>
      </c>
      <c r="F11" s="56">
        <v>189.0</v>
      </c>
      <c r="G11" s="57"/>
      <c r="H11" s="58">
        <v>189.0</v>
      </c>
      <c r="I11" s="59"/>
      <c r="J11" s="129">
        <v>3178.0</v>
      </c>
      <c r="K11" s="24"/>
      <c r="L11" s="48"/>
      <c r="M11" s="48"/>
      <c r="N11" s="48"/>
      <c r="O11" s="49"/>
      <c r="P11" s="72" t="s">
        <v>72</v>
      </c>
      <c r="Q11" s="51"/>
      <c r="R11" s="52">
        <v>100.0</v>
      </c>
      <c r="S11" s="53"/>
      <c r="T11" s="61"/>
      <c r="U11" s="62"/>
      <c r="V11" s="24"/>
      <c r="W11" s="47">
        <v>252.0</v>
      </c>
      <c r="X11" s="47"/>
      <c r="Y11" s="47">
        <v>3141.0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136">
        <v>3.0</v>
      </c>
      <c r="B12" s="41" t="s">
        <v>21</v>
      </c>
      <c r="C12" s="42">
        <f>I97</f>
        <v>0</v>
      </c>
      <c r="D12" s="24"/>
      <c r="E12" s="43">
        <v>3.0</v>
      </c>
      <c r="F12" s="63">
        <v>80.0</v>
      </c>
      <c r="G12" s="64">
        <v>80.0</v>
      </c>
      <c r="H12" s="64"/>
      <c r="I12" s="65"/>
      <c r="J12" s="129">
        <v>3179.0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136">
        <v>3.0</v>
      </c>
      <c r="B13" s="66" t="s">
        <v>22</v>
      </c>
      <c r="C13" s="67">
        <f>L33</f>
        <v>99</v>
      </c>
      <c r="D13" s="24"/>
      <c r="E13" s="43">
        <v>4.0</v>
      </c>
      <c r="F13" s="56">
        <v>9.0</v>
      </c>
      <c r="G13" s="64">
        <v>9.0</v>
      </c>
      <c r="H13" s="65"/>
      <c r="I13" s="65"/>
      <c r="J13" s="129">
        <v>3180.0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136">
        <v>3.0</v>
      </c>
      <c r="B14" s="66" t="s">
        <v>23</v>
      </c>
      <c r="C14" s="67">
        <f>M33</f>
        <v>0</v>
      </c>
      <c r="D14" s="24"/>
      <c r="E14" s="43">
        <v>5.0</v>
      </c>
      <c r="F14" s="56">
        <v>109.0</v>
      </c>
      <c r="G14" s="64">
        <v>109.0</v>
      </c>
      <c r="H14" s="65"/>
      <c r="I14" s="65"/>
      <c r="J14" s="129">
        <v>3181.0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136">
        <v>3.0</v>
      </c>
      <c r="B15" s="68" t="s">
        <v>24</v>
      </c>
      <c r="C15" s="69">
        <f>Y33</f>
        <v>496</v>
      </c>
      <c r="D15" s="24"/>
      <c r="E15" s="43">
        <v>6.0</v>
      </c>
      <c r="F15" s="56">
        <v>113.0</v>
      </c>
      <c r="G15" s="64">
        <v>113.0</v>
      </c>
      <c r="H15" s="64"/>
      <c r="I15" s="65"/>
      <c r="J15" s="129">
        <v>3182.0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136">
        <v>3.0</v>
      </c>
      <c r="B16" s="37" t="s">
        <v>25</v>
      </c>
      <c r="C16" s="70">
        <f>R31+S31+T31</f>
        <v>1100</v>
      </c>
      <c r="D16" s="24"/>
      <c r="E16" s="43">
        <v>7.0</v>
      </c>
      <c r="F16" s="56">
        <v>384.0</v>
      </c>
      <c r="G16" s="64"/>
      <c r="H16" s="64">
        <v>384.0</v>
      </c>
      <c r="I16" s="65"/>
      <c r="J16" s="129">
        <v>3183.0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136">
        <v>3.0</v>
      </c>
      <c r="B17" s="41" t="s">
        <v>26</v>
      </c>
      <c r="C17" s="71">
        <f>R31</f>
        <v>1100</v>
      </c>
      <c r="D17" s="24"/>
      <c r="E17" s="43">
        <v>8.0</v>
      </c>
      <c r="F17" s="56">
        <v>338.0</v>
      </c>
      <c r="G17" s="64">
        <v>244.0</v>
      </c>
      <c r="H17" s="138">
        <v>95.0</v>
      </c>
      <c r="I17" s="65"/>
      <c r="J17" s="129">
        <v>3184.0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136">
        <v>3.0</v>
      </c>
      <c r="B18" s="41" t="s">
        <v>27</v>
      </c>
      <c r="C18" s="71">
        <f>S31</f>
        <v>0</v>
      </c>
      <c r="D18" s="24"/>
      <c r="E18" s="43">
        <v>9.0</v>
      </c>
      <c r="F18" s="56">
        <v>2169.0</v>
      </c>
      <c r="G18" s="64"/>
      <c r="H18" s="64">
        <v>2169.0</v>
      </c>
      <c r="I18" s="65"/>
      <c r="J18" s="129">
        <v>3185.0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136">
        <v>3.0</v>
      </c>
      <c r="B19" s="41" t="s">
        <v>28</v>
      </c>
      <c r="C19" s="71">
        <f>T31</f>
        <v>0</v>
      </c>
      <c r="D19" s="24"/>
      <c r="E19" s="43">
        <v>10.0</v>
      </c>
      <c r="F19" s="56">
        <v>1000.0</v>
      </c>
      <c r="G19" s="64">
        <v>1000.0</v>
      </c>
      <c r="H19" s="65"/>
      <c r="I19" s="65"/>
      <c r="J19" s="129">
        <v>3186.0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136">
        <v>3.0</v>
      </c>
      <c r="B20" s="74" t="s">
        <v>29</v>
      </c>
      <c r="C20" s="75">
        <f>C7+C12-C13-C14-C19</f>
        <v>31625</v>
      </c>
      <c r="D20" s="24"/>
      <c r="E20" s="43">
        <v>11.0</v>
      </c>
      <c r="F20" s="56">
        <v>324.0</v>
      </c>
      <c r="G20" s="64"/>
      <c r="H20" s="64">
        <v>324.0</v>
      </c>
      <c r="I20" s="65"/>
      <c r="J20" s="129">
        <v>3187.0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136">
        <v>3.0</v>
      </c>
      <c r="B21" s="77" t="s">
        <v>30</v>
      </c>
      <c r="C21" s="78">
        <f>C6+C11+C14-C18-S33</f>
        <v>10867</v>
      </c>
      <c r="D21" s="24"/>
      <c r="E21" s="43">
        <v>12.0</v>
      </c>
      <c r="F21" s="56">
        <v>92.0</v>
      </c>
      <c r="G21" s="64">
        <v>92.0</v>
      </c>
      <c r="H21" s="64"/>
      <c r="I21" s="65"/>
      <c r="J21" s="129">
        <v>3188.0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136">
        <v>3.0</v>
      </c>
      <c r="B22" s="79" t="s">
        <v>31</v>
      </c>
      <c r="C22" s="80">
        <f>C5+C8+C10+C13-C17-R32-R34</f>
        <v>64410</v>
      </c>
      <c r="D22" s="24"/>
      <c r="E22" s="43">
        <v>13.0</v>
      </c>
      <c r="F22" s="56">
        <v>185.0</v>
      </c>
      <c r="G22" s="64">
        <v>185.0</v>
      </c>
      <c r="H22" s="64"/>
      <c r="I22" s="65"/>
      <c r="J22" s="129">
        <v>3189.0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136">
        <v>3.0</v>
      </c>
      <c r="B23" s="81" t="s">
        <v>32</v>
      </c>
      <c r="C23" s="139">
        <v>64911.0</v>
      </c>
      <c r="D23" s="24"/>
      <c r="E23" s="43">
        <v>14.0</v>
      </c>
      <c r="F23" s="56">
        <v>226.0</v>
      </c>
      <c r="G23" s="64">
        <v>226.0</v>
      </c>
      <c r="H23" s="65"/>
      <c r="I23" s="65"/>
      <c r="J23" s="129">
        <v>3190.0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136">
        <v>3.0</v>
      </c>
      <c r="B24" s="83" t="s">
        <v>33</v>
      </c>
      <c r="C24" s="84">
        <f>C22-C23</f>
        <v>-501</v>
      </c>
      <c r="D24" s="24"/>
      <c r="E24" s="43">
        <v>15.0</v>
      </c>
      <c r="F24" s="56">
        <v>361.0</v>
      </c>
      <c r="G24" s="64"/>
      <c r="H24" s="64">
        <v>361.0</v>
      </c>
      <c r="I24" s="65"/>
      <c r="J24" s="129">
        <v>3191.0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136">
        <v>3.0</v>
      </c>
      <c r="B25" s="1"/>
      <c r="C25" s="1"/>
      <c r="D25" s="24"/>
      <c r="E25" s="43">
        <v>16.0</v>
      </c>
      <c r="F25" s="56">
        <v>1784.0</v>
      </c>
      <c r="G25" s="64"/>
      <c r="H25" s="64">
        <v>1784.0</v>
      </c>
      <c r="I25" s="65"/>
      <c r="J25" s="129">
        <v>3192.0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136">
        <v>3.0</v>
      </c>
      <c r="B26" s="85" t="s">
        <v>34</v>
      </c>
      <c r="C26" s="86">
        <f>F97</f>
        <v>22367</v>
      </c>
      <c r="D26" s="24"/>
      <c r="E26" s="43">
        <v>17.0</v>
      </c>
      <c r="F26" s="56">
        <v>869.0</v>
      </c>
      <c r="G26" s="64">
        <v>869.0</v>
      </c>
      <c r="H26" s="65"/>
      <c r="I26" s="65"/>
      <c r="J26" s="129">
        <v>3193.0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136">
        <v>3.0</v>
      </c>
      <c r="B27" s="85" t="s">
        <v>35</v>
      </c>
      <c r="C27" s="87">
        <v>70.0</v>
      </c>
      <c r="D27" s="24"/>
      <c r="E27" s="43">
        <v>18.0</v>
      </c>
      <c r="F27" s="56">
        <v>332.0</v>
      </c>
      <c r="G27" s="64">
        <v>332.0</v>
      </c>
      <c r="H27" s="65"/>
      <c r="I27" s="65"/>
      <c r="J27" s="129">
        <v>3194.0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136">
        <v>3.0</v>
      </c>
      <c r="B28" s="88" t="s">
        <v>36</v>
      </c>
      <c r="C28" s="89">
        <f>C26/C27</f>
        <v>319.5285714</v>
      </c>
      <c r="D28" s="24"/>
      <c r="E28" s="43">
        <v>19.0</v>
      </c>
      <c r="F28" s="56">
        <v>27.0</v>
      </c>
      <c r="G28" s="64">
        <v>27.0</v>
      </c>
      <c r="H28" s="65"/>
      <c r="I28" s="65"/>
      <c r="J28" s="129">
        <v>3195.0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136">
        <v>3.0</v>
      </c>
      <c r="B29" s="1"/>
      <c r="C29" s="1"/>
      <c r="D29" s="24"/>
      <c r="E29" s="43">
        <v>20.0</v>
      </c>
      <c r="F29" s="56">
        <v>238.0</v>
      </c>
      <c r="G29" s="64"/>
      <c r="H29" s="64">
        <v>238.0</v>
      </c>
      <c r="I29" s="65"/>
      <c r="J29" s="129">
        <v>3196.0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136">
        <v>3.0</v>
      </c>
      <c r="B30" s="90" t="s">
        <v>37</v>
      </c>
      <c r="C30" s="91" t="str">
        <f>R32</f>
        <v/>
      </c>
      <c r="D30" s="24"/>
      <c r="E30" s="43">
        <v>21.0</v>
      </c>
      <c r="F30" s="56">
        <v>379.0</v>
      </c>
      <c r="G30" s="92"/>
      <c r="H30" s="93">
        <v>379.0</v>
      </c>
      <c r="I30" s="93"/>
      <c r="J30" s="129">
        <v>3197.0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136">
        <v>3.0</v>
      </c>
      <c r="B31" s="85" t="s">
        <v>38</v>
      </c>
      <c r="C31" s="89">
        <f>S33</f>
        <v>6822</v>
      </c>
      <c r="D31" s="24"/>
      <c r="E31" s="43">
        <v>22.0</v>
      </c>
      <c r="F31" s="56">
        <v>51.0</v>
      </c>
      <c r="G31" s="93"/>
      <c r="H31" s="93">
        <v>51.0</v>
      </c>
      <c r="I31" s="92"/>
      <c r="J31" s="129">
        <v>3198.0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1100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136">
        <v>3.0</v>
      </c>
      <c r="B32" s="85" t="s">
        <v>40</v>
      </c>
      <c r="C32" s="89">
        <f>R34</f>
        <v>3500</v>
      </c>
      <c r="D32" s="24"/>
      <c r="E32" s="43">
        <v>23.0</v>
      </c>
      <c r="F32" s="56">
        <v>164.0</v>
      </c>
      <c r="G32" s="93"/>
      <c r="H32" s="93">
        <v>164.0</v>
      </c>
      <c r="I32" s="92"/>
      <c r="J32" s="129">
        <v>3199.0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136">
        <v>3.0</v>
      </c>
      <c r="B33" s="102"/>
      <c r="C33" s="103"/>
      <c r="D33" s="24"/>
      <c r="E33" s="43">
        <v>24.0</v>
      </c>
      <c r="F33" s="56">
        <v>350.0</v>
      </c>
      <c r="G33" s="93"/>
      <c r="H33" s="93">
        <v>350.0</v>
      </c>
      <c r="I33" s="92"/>
      <c r="J33" s="129">
        <v>3200.0</v>
      </c>
      <c r="K33" s="24"/>
      <c r="L33" s="104">
        <f t="shared" ref="L33:M33" si="2">sum(L10:L32)</f>
        <v>99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6822.0</v>
      </c>
      <c r="T33" s="101"/>
      <c r="U33" s="55"/>
      <c r="V33" s="24"/>
      <c r="W33" s="104">
        <f t="shared" ref="W33:X33" si="3">sum(W10:W32)</f>
        <v>496</v>
      </c>
      <c r="X33" s="104">
        <f t="shared" si="3"/>
        <v>0</v>
      </c>
      <c r="Y33" s="104">
        <f>W33+X33</f>
        <v>496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18">
        <v>3.0</v>
      </c>
      <c r="B34" s="102"/>
      <c r="C34" s="9"/>
      <c r="D34" s="24"/>
      <c r="E34" s="43">
        <v>25.0</v>
      </c>
      <c r="F34" s="56">
        <v>475.0</v>
      </c>
      <c r="G34" s="93">
        <v>475.0</v>
      </c>
      <c r="H34" s="92"/>
      <c r="I34" s="92"/>
      <c r="J34" s="129">
        <v>3201.0</v>
      </c>
      <c r="K34" s="24"/>
      <c r="L34" s="106"/>
      <c r="M34" s="106"/>
      <c r="N34" s="106"/>
      <c r="O34" s="106"/>
      <c r="P34" s="85" t="s">
        <v>40</v>
      </c>
      <c r="Q34" s="107"/>
      <c r="R34" s="130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18">
        <v>3.0</v>
      </c>
      <c r="B35" s="1"/>
      <c r="C35" s="1"/>
      <c r="D35" s="24"/>
      <c r="E35" s="43">
        <v>26.0</v>
      </c>
      <c r="F35" s="56">
        <v>1969.0</v>
      </c>
      <c r="G35" s="93">
        <v>1969.0</v>
      </c>
      <c r="H35" s="93"/>
      <c r="I35" s="92"/>
      <c r="J35" s="129">
        <v>3202.0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18">
        <v>3.0</v>
      </c>
      <c r="B36" s="116"/>
      <c r="D36" s="24"/>
      <c r="E36" s="43">
        <v>27.0</v>
      </c>
      <c r="F36" s="56">
        <v>269.0</v>
      </c>
      <c r="G36" s="93">
        <v>269.0</v>
      </c>
      <c r="H36" s="93"/>
      <c r="I36" s="92"/>
      <c r="J36" s="129">
        <v>3203.0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18">
        <v>3.0</v>
      </c>
      <c r="D37" s="24"/>
      <c r="E37" s="43">
        <v>28.0</v>
      </c>
      <c r="F37" s="56">
        <v>92.0</v>
      </c>
      <c r="G37" s="93">
        <v>92.0</v>
      </c>
      <c r="H37" s="92"/>
      <c r="I37" s="92"/>
      <c r="J37" s="129">
        <v>3204.0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18">
        <v>3.0</v>
      </c>
      <c r="B38" s="118"/>
      <c r="C38" s="118"/>
      <c r="D38" s="24"/>
      <c r="E38" s="43">
        <v>29.0</v>
      </c>
      <c r="F38" s="56">
        <v>271.0</v>
      </c>
      <c r="G38" s="93">
        <v>271.0</v>
      </c>
      <c r="H38" s="92"/>
      <c r="I38" s="92"/>
      <c r="J38" s="129">
        <v>3205.0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18">
        <v>3.0</v>
      </c>
      <c r="B39" s="1"/>
      <c r="C39" s="1"/>
      <c r="D39" s="24"/>
      <c r="E39" s="43">
        <v>30.0</v>
      </c>
      <c r="F39" s="56">
        <v>147.0</v>
      </c>
      <c r="G39" s="93">
        <v>147.0</v>
      </c>
      <c r="H39" s="93"/>
      <c r="I39" s="92"/>
      <c r="J39" s="129">
        <v>3206.0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18">
        <v>3.0</v>
      </c>
      <c r="B40" s="1"/>
      <c r="C40" s="1"/>
      <c r="D40" s="24"/>
      <c r="E40" s="43">
        <v>31.0</v>
      </c>
      <c r="F40" s="56">
        <v>250.0</v>
      </c>
      <c r="G40" s="93" t="s">
        <v>42</v>
      </c>
      <c r="H40" s="93">
        <v>250.0</v>
      </c>
      <c r="I40" s="92"/>
      <c r="J40" s="129">
        <v>3207.0</v>
      </c>
      <c r="K40" s="24"/>
      <c r="L40" s="140"/>
      <c r="M40" s="140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18">
        <v>3.0</v>
      </c>
      <c r="B41" s="1"/>
      <c r="C41" s="1"/>
      <c r="D41" s="24"/>
      <c r="E41" s="43">
        <v>32.0</v>
      </c>
      <c r="F41" s="56">
        <v>330.0</v>
      </c>
      <c r="G41" s="93">
        <v>330.0</v>
      </c>
      <c r="H41" s="93"/>
      <c r="I41" s="92"/>
      <c r="J41" s="129">
        <v>3208.0</v>
      </c>
      <c r="K41" s="24"/>
      <c r="L41" s="140"/>
      <c r="M41" s="141" t="s">
        <v>73</v>
      </c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18">
        <v>3.0</v>
      </c>
      <c r="B42" s="1"/>
      <c r="C42" s="1"/>
      <c r="D42" s="24"/>
      <c r="E42" s="43">
        <v>33.0</v>
      </c>
      <c r="F42" s="56">
        <v>75.0</v>
      </c>
      <c r="G42" s="93">
        <v>75.0</v>
      </c>
      <c r="H42" s="93"/>
      <c r="I42" s="92"/>
      <c r="J42" s="129">
        <v>3209.0</v>
      </c>
      <c r="K42" s="24"/>
      <c r="L42" s="140"/>
      <c r="M42" s="141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18">
        <v>3.0</v>
      </c>
      <c r="B43" s="1"/>
      <c r="C43" s="1"/>
      <c r="D43" s="24"/>
      <c r="E43" s="43">
        <v>34.0</v>
      </c>
      <c r="F43" s="56">
        <v>509.0</v>
      </c>
      <c r="G43" s="93">
        <v>509.0</v>
      </c>
      <c r="H43" s="92"/>
      <c r="I43" s="92"/>
      <c r="J43" s="129">
        <v>3210.0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18">
        <v>3.0</v>
      </c>
      <c r="B44" s="1"/>
      <c r="C44" s="1"/>
      <c r="D44" s="24"/>
      <c r="E44" s="43">
        <v>35.0</v>
      </c>
      <c r="F44" s="56">
        <v>533.0</v>
      </c>
      <c r="G44" s="92"/>
      <c r="H44" s="93">
        <v>533.0</v>
      </c>
      <c r="I44" s="92"/>
      <c r="J44" s="129">
        <v>3211.0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18">
        <v>3.0</v>
      </c>
      <c r="B45" s="1"/>
      <c r="C45" s="1"/>
      <c r="D45" s="24"/>
      <c r="E45" s="43">
        <v>36.0</v>
      </c>
      <c r="F45" s="56">
        <v>238.0</v>
      </c>
      <c r="G45" s="93"/>
      <c r="H45" s="93">
        <v>238.0</v>
      </c>
      <c r="I45" s="92"/>
      <c r="J45" s="129">
        <v>3212.0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18">
        <v>3.0</v>
      </c>
      <c r="B46" s="1"/>
      <c r="C46" s="1"/>
      <c r="D46" s="24"/>
      <c r="E46" s="43">
        <v>37.0</v>
      </c>
      <c r="F46" s="56">
        <v>120.0</v>
      </c>
      <c r="G46" s="93">
        <v>120.0</v>
      </c>
      <c r="H46" s="92"/>
      <c r="I46" s="92"/>
      <c r="J46" s="129">
        <v>3213.0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18">
        <v>3.0</v>
      </c>
      <c r="B47" s="1"/>
      <c r="C47" s="1"/>
      <c r="D47" s="24"/>
      <c r="E47" s="43">
        <v>38.0</v>
      </c>
      <c r="F47" s="56">
        <v>293.0</v>
      </c>
      <c r="G47" s="93">
        <v>252.0</v>
      </c>
      <c r="H47" s="93">
        <v>41.0</v>
      </c>
      <c r="I47" s="92"/>
      <c r="J47" s="129">
        <v>3214.0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18">
        <v>3.0</v>
      </c>
      <c r="B48" s="1"/>
      <c r="C48" s="1"/>
      <c r="D48" s="24"/>
      <c r="E48" s="43">
        <v>39.0</v>
      </c>
      <c r="F48" s="56">
        <v>217.0</v>
      </c>
      <c r="G48" s="92"/>
      <c r="H48" s="93">
        <v>217.0</v>
      </c>
      <c r="I48" s="92"/>
      <c r="J48" s="129">
        <v>3215.0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18">
        <v>3.0</v>
      </c>
      <c r="B49" s="118"/>
      <c r="C49" s="1"/>
      <c r="D49" s="24"/>
      <c r="E49" s="43">
        <v>40.0</v>
      </c>
      <c r="F49" s="56">
        <v>30.0</v>
      </c>
      <c r="G49" s="93">
        <v>30.0</v>
      </c>
      <c r="H49" s="92"/>
      <c r="I49" s="92"/>
      <c r="J49" s="129">
        <v>3216.0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18">
        <v>3.0</v>
      </c>
      <c r="B50" s="1"/>
      <c r="C50" s="1"/>
      <c r="D50" s="24"/>
      <c r="E50" s="43">
        <v>41.0</v>
      </c>
      <c r="F50" s="56">
        <v>74.0</v>
      </c>
      <c r="G50" s="93">
        <v>70.0</v>
      </c>
      <c r="H50" s="93">
        <v>4.0</v>
      </c>
      <c r="I50" s="92"/>
      <c r="J50" s="129">
        <v>3217.0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18">
        <v>3.0</v>
      </c>
      <c r="B51" s="1"/>
      <c r="C51" s="1"/>
      <c r="D51" s="24"/>
      <c r="E51" s="43">
        <v>42.0</v>
      </c>
      <c r="F51" s="56">
        <v>331.0</v>
      </c>
      <c r="G51" s="92"/>
      <c r="H51" s="93">
        <v>331.0</v>
      </c>
      <c r="I51" s="92"/>
      <c r="J51" s="129">
        <v>3218.0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18">
        <v>3.0</v>
      </c>
      <c r="B52" s="1"/>
      <c r="C52" s="1"/>
      <c r="D52" s="24"/>
      <c r="E52" s="43">
        <v>43.0</v>
      </c>
      <c r="F52" s="56">
        <v>432.0</v>
      </c>
      <c r="G52" s="92"/>
      <c r="H52" s="93">
        <v>432.0</v>
      </c>
      <c r="I52" s="92"/>
      <c r="J52" s="129">
        <v>3219.0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18">
        <v>3.0</v>
      </c>
      <c r="B53" s="1"/>
      <c r="C53" s="1"/>
      <c r="D53" s="24"/>
      <c r="E53" s="43">
        <v>44.0</v>
      </c>
      <c r="F53" s="56">
        <v>46.0</v>
      </c>
      <c r="G53" s="93">
        <v>46.0</v>
      </c>
      <c r="H53" s="92"/>
      <c r="I53" s="92"/>
      <c r="J53" s="129">
        <v>3220.0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18">
        <v>3.0</v>
      </c>
      <c r="B54" s="1"/>
      <c r="C54" s="1"/>
      <c r="D54" s="24"/>
      <c r="E54" s="43">
        <v>45.0</v>
      </c>
      <c r="F54" s="56">
        <v>51.0</v>
      </c>
      <c r="G54" s="93">
        <v>51.0</v>
      </c>
      <c r="H54" s="92"/>
      <c r="I54" s="92"/>
      <c r="J54" s="129">
        <v>3221.0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18">
        <v>3.0</v>
      </c>
      <c r="B55" s="1"/>
      <c r="C55" s="1"/>
      <c r="D55" s="24"/>
      <c r="E55" s="43">
        <v>46.0</v>
      </c>
      <c r="F55" s="56">
        <v>35.0</v>
      </c>
      <c r="G55" s="93">
        <v>35.0</v>
      </c>
      <c r="H55" s="92"/>
      <c r="I55" s="92"/>
      <c r="J55" s="129">
        <v>3222.0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18">
        <v>3.0</v>
      </c>
      <c r="B56" s="1"/>
      <c r="C56" s="1"/>
      <c r="D56" s="24"/>
      <c r="E56" s="43">
        <v>47.0</v>
      </c>
      <c r="F56" s="56">
        <v>418.0</v>
      </c>
      <c r="G56" s="93">
        <v>418.0</v>
      </c>
      <c r="H56" s="92"/>
      <c r="I56" s="92"/>
      <c r="J56" s="129">
        <v>3223.0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18">
        <v>3.0</v>
      </c>
      <c r="B57" s="1"/>
      <c r="C57" s="1"/>
      <c r="D57" s="24"/>
      <c r="E57" s="43">
        <v>48.0</v>
      </c>
      <c r="F57" s="56">
        <v>197.0</v>
      </c>
      <c r="G57" s="93">
        <v>197.0</v>
      </c>
      <c r="H57" s="92"/>
      <c r="I57" s="92"/>
      <c r="J57" s="129">
        <v>3224.0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18">
        <v>3.0</v>
      </c>
      <c r="B58" s="1"/>
      <c r="C58" s="1"/>
      <c r="D58" s="24"/>
      <c r="E58" s="43">
        <v>49.0</v>
      </c>
      <c r="F58" s="56">
        <v>160.0</v>
      </c>
      <c r="G58" s="93">
        <v>160.0</v>
      </c>
      <c r="H58" s="92"/>
      <c r="I58" s="92"/>
      <c r="J58" s="129">
        <v>3225.0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18">
        <v>3.0</v>
      </c>
      <c r="B59" s="1"/>
      <c r="C59" s="1"/>
      <c r="D59" s="24"/>
      <c r="E59" s="43">
        <v>50.0</v>
      </c>
      <c r="F59" s="56">
        <v>23.0</v>
      </c>
      <c r="G59" s="93">
        <v>23.0</v>
      </c>
      <c r="H59" s="92"/>
      <c r="I59" s="92"/>
      <c r="J59" s="129">
        <v>3226.0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18">
        <v>3.0</v>
      </c>
      <c r="B60" s="1"/>
      <c r="C60" s="1"/>
      <c r="D60" s="24"/>
      <c r="E60" s="43">
        <v>51.0</v>
      </c>
      <c r="F60" s="56">
        <v>460.0</v>
      </c>
      <c r="G60" s="92"/>
      <c r="H60" s="93">
        <v>460.0</v>
      </c>
      <c r="I60" s="92"/>
      <c r="J60" s="129">
        <v>3227.0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18">
        <v>3.0</v>
      </c>
      <c r="B61" s="1"/>
      <c r="C61" s="1"/>
      <c r="D61" s="24"/>
      <c r="E61" s="43">
        <v>52.0</v>
      </c>
      <c r="F61" s="56">
        <v>309.0</v>
      </c>
      <c r="G61" s="93">
        <v>309.0</v>
      </c>
      <c r="H61" s="92"/>
      <c r="I61" s="92"/>
      <c r="J61" s="129">
        <v>3228.0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18">
        <v>3.0</v>
      </c>
      <c r="B62" s="1"/>
      <c r="C62" s="1"/>
      <c r="D62" s="24"/>
      <c r="E62" s="43">
        <v>53.0</v>
      </c>
      <c r="F62" s="56">
        <v>9.0</v>
      </c>
      <c r="G62" s="93">
        <v>9.0</v>
      </c>
      <c r="H62" s="92"/>
      <c r="I62" s="92"/>
      <c r="J62" s="129">
        <v>3229.0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18">
        <v>3.0</v>
      </c>
      <c r="B63" s="1"/>
      <c r="C63" s="1"/>
      <c r="D63" s="24"/>
      <c r="E63" s="43">
        <v>54.0</v>
      </c>
      <c r="F63" s="56">
        <v>113.0</v>
      </c>
      <c r="G63" s="93">
        <v>113.0</v>
      </c>
      <c r="H63" s="92"/>
      <c r="I63" s="92"/>
      <c r="J63" s="129">
        <v>3230.0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18">
        <v>3.0</v>
      </c>
      <c r="B64" s="1"/>
      <c r="C64" s="1"/>
      <c r="D64" s="24"/>
      <c r="E64" s="43">
        <v>55.0</v>
      </c>
      <c r="F64" s="56">
        <v>40.0</v>
      </c>
      <c r="G64" s="93">
        <v>40.0</v>
      </c>
      <c r="H64" s="92"/>
      <c r="I64" s="92"/>
      <c r="J64" s="129">
        <v>3231.0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18">
        <v>3.0</v>
      </c>
      <c r="B65" s="1"/>
      <c r="C65" s="1"/>
      <c r="D65" s="24"/>
      <c r="E65" s="43">
        <v>56.0</v>
      </c>
      <c r="F65" s="56">
        <v>16.0</v>
      </c>
      <c r="G65" s="93">
        <v>16.0</v>
      </c>
      <c r="H65" s="92"/>
      <c r="I65" s="92"/>
      <c r="J65" s="129">
        <v>3232.0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18">
        <v>3.0</v>
      </c>
      <c r="B66" s="1"/>
      <c r="C66" s="1"/>
      <c r="D66" s="24"/>
      <c r="E66" s="43">
        <v>57.0</v>
      </c>
      <c r="F66" s="56">
        <v>18.0</v>
      </c>
      <c r="G66" s="92"/>
      <c r="H66" s="93">
        <v>18.0</v>
      </c>
      <c r="I66" s="92"/>
      <c r="J66" s="129">
        <v>3233.0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18">
        <v>3.0</v>
      </c>
      <c r="B67" s="1"/>
      <c r="C67" s="1"/>
      <c r="D67" s="24"/>
      <c r="E67" s="43">
        <v>58.0</v>
      </c>
      <c r="F67" s="56">
        <v>75.0</v>
      </c>
      <c r="G67" s="93">
        <v>75.0</v>
      </c>
      <c r="H67" s="92"/>
      <c r="I67" s="92"/>
      <c r="J67" s="129">
        <v>3234.0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18">
        <v>3.0</v>
      </c>
      <c r="B68" s="1"/>
      <c r="C68" s="1"/>
      <c r="D68" s="24"/>
      <c r="E68" s="43">
        <v>59.0</v>
      </c>
      <c r="F68" s="56">
        <v>230.0</v>
      </c>
      <c r="G68" s="93">
        <v>230.0</v>
      </c>
      <c r="H68" s="92"/>
      <c r="I68" s="92"/>
      <c r="J68" s="129">
        <v>3235.0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18">
        <v>3.0</v>
      </c>
      <c r="B69" s="1"/>
      <c r="C69" s="1"/>
      <c r="D69" s="24"/>
      <c r="E69" s="43">
        <v>60.0</v>
      </c>
      <c r="F69" s="56">
        <v>442.0</v>
      </c>
      <c r="G69" s="92"/>
      <c r="H69" s="93">
        <v>442.0</v>
      </c>
      <c r="I69" s="92"/>
      <c r="J69" s="129">
        <v>3236.0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18">
        <v>3.0</v>
      </c>
      <c r="B70" s="1"/>
      <c r="C70" s="1"/>
      <c r="D70" s="24"/>
      <c r="E70" s="43">
        <v>61.0</v>
      </c>
      <c r="F70" s="56">
        <v>480.0</v>
      </c>
      <c r="G70" s="93">
        <v>480.0</v>
      </c>
      <c r="H70" s="92"/>
      <c r="I70" s="92"/>
      <c r="J70" s="129">
        <v>3237.0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18">
        <v>3.0</v>
      </c>
      <c r="B71" s="1"/>
      <c r="C71" s="1"/>
      <c r="D71" s="24"/>
      <c r="E71" s="43">
        <v>62.0</v>
      </c>
      <c r="F71" s="56">
        <v>69.0</v>
      </c>
      <c r="G71" s="93">
        <v>69.0</v>
      </c>
      <c r="H71" s="92"/>
      <c r="I71" s="92"/>
      <c r="J71" s="129">
        <v>3238.0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18">
        <v>3.0</v>
      </c>
      <c r="B72" s="1"/>
      <c r="C72" s="1"/>
      <c r="D72" s="24"/>
      <c r="E72" s="43">
        <v>63.0</v>
      </c>
      <c r="F72" s="56">
        <v>159.0</v>
      </c>
      <c r="G72" s="92"/>
      <c r="H72" s="93">
        <v>159.0</v>
      </c>
      <c r="I72" s="92"/>
      <c r="J72" s="129">
        <v>3239.0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18">
        <v>3.0</v>
      </c>
      <c r="B73" s="1"/>
      <c r="C73" s="1"/>
      <c r="D73" s="24"/>
      <c r="E73" s="43">
        <v>64.0</v>
      </c>
      <c r="F73" s="56">
        <v>75.0</v>
      </c>
      <c r="G73" s="93">
        <v>75.0</v>
      </c>
      <c r="H73" s="92"/>
      <c r="I73" s="92"/>
      <c r="J73" s="129">
        <v>3240.0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18">
        <v>3.0</v>
      </c>
      <c r="B74" s="1"/>
      <c r="C74" s="1"/>
      <c r="D74" s="24"/>
      <c r="E74" s="43">
        <v>65.0</v>
      </c>
      <c r="F74" s="56">
        <v>247.0</v>
      </c>
      <c r="G74" s="92"/>
      <c r="H74" s="93">
        <v>247.0</v>
      </c>
      <c r="I74" s="92"/>
      <c r="J74" s="129">
        <v>3241.0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18">
        <v>3.0</v>
      </c>
      <c r="B75" s="1"/>
      <c r="C75" s="1"/>
      <c r="D75" s="24"/>
      <c r="E75" s="43">
        <v>66.0</v>
      </c>
      <c r="F75" s="56">
        <v>1857.0</v>
      </c>
      <c r="G75" s="93">
        <v>1000.0</v>
      </c>
      <c r="H75" s="93">
        <v>857.0</v>
      </c>
      <c r="I75" s="92"/>
      <c r="J75" s="129">
        <v>3242.0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18">
        <v>3.0</v>
      </c>
      <c r="B76" s="1"/>
      <c r="C76" s="1"/>
      <c r="D76" s="24"/>
      <c r="E76" s="43">
        <v>67.0</v>
      </c>
      <c r="F76" s="56">
        <v>60.0</v>
      </c>
      <c r="G76" s="93">
        <v>60.0</v>
      </c>
      <c r="H76" s="92"/>
      <c r="I76" s="92"/>
      <c r="J76" s="129">
        <v>3243.0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18">
        <v>3.0</v>
      </c>
      <c r="B77" s="1"/>
      <c r="C77" s="1"/>
      <c r="D77" s="24"/>
      <c r="E77" s="43">
        <v>68.0</v>
      </c>
      <c r="F77" s="56">
        <v>290.0</v>
      </c>
      <c r="G77" s="93">
        <v>290.0</v>
      </c>
      <c r="H77" s="92"/>
      <c r="I77" s="92"/>
      <c r="J77" s="129">
        <v>3244.0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18">
        <v>3.0</v>
      </c>
      <c r="B78" s="1"/>
      <c r="C78" s="1"/>
      <c r="D78" s="24"/>
      <c r="E78" s="43">
        <v>69.0</v>
      </c>
      <c r="F78" s="56">
        <v>14.0</v>
      </c>
      <c r="G78" s="93">
        <v>14.0</v>
      </c>
      <c r="H78" s="92"/>
      <c r="I78" s="92"/>
      <c r="J78" s="129">
        <v>3245.0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18">
        <v>3.0</v>
      </c>
      <c r="B79" s="1"/>
      <c r="C79" s="1"/>
      <c r="D79" s="24"/>
      <c r="E79" s="43">
        <v>70.0</v>
      </c>
      <c r="F79" s="56">
        <v>20.0</v>
      </c>
      <c r="G79" s="93">
        <v>20.0</v>
      </c>
      <c r="H79" s="92"/>
      <c r="I79" s="92"/>
      <c r="J79" s="129">
        <v>3246.0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18">
        <v>3.0</v>
      </c>
      <c r="B80" s="1"/>
      <c r="C80" s="1"/>
      <c r="D80" s="24"/>
      <c r="E80" s="43">
        <v>71.0</v>
      </c>
      <c r="F80" s="120"/>
      <c r="G80" s="92"/>
      <c r="H80" s="92"/>
      <c r="I80" s="92"/>
      <c r="J80" s="129">
        <v>3247.0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18">
        <v>3.0</v>
      </c>
      <c r="B81" s="1"/>
      <c r="C81" s="1"/>
      <c r="D81" s="24"/>
      <c r="E81" s="43">
        <v>72.0</v>
      </c>
      <c r="F81" s="120"/>
      <c r="G81" s="93">
        <v>1.0</v>
      </c>
      <c r="H81" s="92"/>
      <c r="I81" s="92"/>
      <c r="J81" s="129">
        <v>3248.0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18">
        <v>3.0</v>
      </c>
      <c r="B82" s="1"/>
      <c r="C82" s="1"/>
      <c r="D82" s="24"/>
      <c r="E82" s="43">
        <v>73.0</v>
      </c>
      <c r="F82" s="121"/>
      <c r="G82" s="61"/>
      <c r="H82" s="61"/>
      <c r="I82" s="61"/>
      <c r="J82" s="129">
        <v>3249.0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18">
        <v>3.0</v>
      </c>
      <c r="B83" s="1"/>
      <c r="C83" s="1"/>
      <c r="D83" s="24"/>
      <c r="E83" s="43">
        <v>74.0</v>
      </c>
      <c r="F83" s="121"/>
      <c r="G83" s="61"/>
      <c r="H83" s="61"/>
      <c r="I83" s="61"/>
      <c r="J83" s="129">
        <v>3250.0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18">
        <v>3.0</v>
      </c>
      <c r="B84" s="1"/>
      <c r="C84" s="1"/>
      <c r="D84" s="24"/>
      <c r="E84" s="43">
        <v>75.0</v>
      </c>
      <c r="F84" s="121"/>
      <c r="G84" s="61"/>
      <c r="H84" s="61"/>
      <c r="I84" s="61"/>
      <c r="J84" s="129">
        <v>3251.0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18">
        <v>3.0</v>
      </c>
      <c r="B85" s="1"/>
      <c r="C85" s="1"/>
      <c r="D85" s="24"/>
      <c r="E85" s="43">
        <v>76.0</v>
      </c>
      <c r="F85" s="121"/>
      <c r="G85" s="61"/>
      <c r="H85" s="61"/>
      <c r="I85" s="61"/>
      <c r="J85" s="129">
        <v>3252.0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18">
        <v>3.0</v>
      </c>
      <c r="B86" s="1"/>
      <c r="C86" s="1"/>
      <c r="D86" s="24"/>
      <c r="E86" s="43">
        <v>77.0</v>
      </c>
      <c r="F86" s="121"/>
      <c r="G86" s="61"/>
      <c r="H86" s="61"/>
      <c r="I86" s="61"/>
      <c r="J86" s="129">
        <v>3253.0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18">
        <v>3.0</v>
      </c>
      <c r="B87" s="1"/>
      <c r="C87" s="1"/>
      <c r="D87" s="24"/>
      <c r="E87" s="43">
        <v>78.0</v>
      </c>
      <c r="F87" s="121"/>
      <c r="G87" s="61"/>
      <c r="H87" s="61"/>
      <c r="I87" s="61"/>
      <c r="J87" s="129">
        <v>3254.0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18">
        <v>3.0</v>
      </c>
      <c r="B88" s="1"/>
      <c r="C88" s="1"/>
      <c r="D88" s="24"/>
      <c r="E88" s="43">
        <v>79.0</v>
      </c>
      <c r="F88" s="121"/>
      <c r="G88" s="61"/>
      <c r="H88" s="61"/>
      <c r="I88" s="61"/>
      <c r="J88" s="129">
        <v>3255.0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18">
        <v>3.0</v>
      </c>
      <c r="B89" s="1"/>
      <c r="C89" s="1"/>
      <c r="D89" s="24"/>
      <c r="E89" s="43">
        <v>80.0</v>
      </c>
      <c r="F89" s="121"/>
      <c r="G89" s="61"/>
      <c r="H89" s="61"/>
      <c r="I89" s="61"/>
      <c r="J89" s="129">
        <v>3256.0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18">
        <v>3.0</v>
      </c>
      <c r="B90" s="1"/>
      <c r="C90" s="1"/>
      <c r="D90" s="24"/>
      <c r="E90" s="43">
        <v>81.0</v>
      </c>
      <c r="F90" s="121"/>
      <c r="G90" s="61"/>
      <c r="H90" s="61"/>
      <c r="I90" s="61"/>
      <c r="J90" s="129">
        <v>3257.0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18">
        <v>3.0</v>
      </c>
      <c r="B91" s="1"/>
      <c r="C91" s="1"/>
      <c r="D91" s="24"/>
      <c r="E91" s="43">
        <v>82.0</v>
      </c>
      <c r="F91" s="121"/>
      <c r="G91" s="61"/>
      <c r="H91" s="61"/>
      <c r="I91" s="61"/>
      <c r="J91" s="129">
        <v>3258.0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18">
        <v>3.0</v>
      </c>
      <c r="B92" s="1"/>
      <c r="C92" s="1"/>
      <c r="D92" s="24"/>
      <c r="E92" s="43">
        <v>83.0</v>
      </c>
      <c r="F92" s="121"/>
      <c r="G92" s="61"/>
      <c r="H92" s="61"/>
      <c r="I92" s="61"/>
      <c r="J92" s="129">
        <v>3259.0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18">
        <v>3.0</v>
      </c>
      <c r="B93" s="1"/>
      <c r="C93" s="1"/>
      <c r="D93" s="24"/>
      <c r="E93" s="43">
        <v>84.0</v>
      </c>
      <c r="F93" s="121"/>
      <c r="G93" s="61"/>
      <c r="H93" s="61"/>
      <c r="I93" s="61"/>
      <c r="J93" s="129">
        <v>3260.0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18">
        <v>3.0</v>
      </c>
      <c r="B94" s="1"/>
      <c r="C94" s="1"/>
      <c r="D94" s="24"/>
      <c r="E94" s="43">
        <v>85.0</v>
      </c>
      <c r="F94" s="121"/>
      <c r="G94" s="61"/>
      <c r="H94" s="54" t="s">
        <v>42</v>
      </c>
      <c r="I94" s="61"/>
      <c r="J94" s="129">
        <v>3261.0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18">
        <v>3.0</v>
      </c>
      <c r="B95" s="1"/>
      <c r="C95" s="1"/>
      <c r="D95" s="24"/>
      <c r="E95" s="43">
        <v>86.0</v>
      </c>
      <c r="F95" s="121"/>
      <c r="G95" s="61"/>
      <c r="H95" s="54"/>
      <c r="I95" s="61"/>
      <c r="J95" s="129">
        <v>3262.0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18">
        <v>3.0</v>
      </c>
      <c r="B96" s="1"/>
      <c r="C96" s="1"/>
      <c r="D96" s="24"/>
      <c r="E96" s="43">
        <v>87.0</v>
      </c>
      <c r="F96" s="121"/>
      <c r="G96" s="61"/>
      <c r="H96" s="54">
        <v>150.0</v>
      </c>
      <c r="I96" s="61"/>
      <c r="J96" s="129">
        <v>3263.0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18">
        <v>3.0</v>
      </c>
      <c r="B97" s="1"/>
      <c r="C97" s="1"/>
      <c r="D97" s="1"/>
      <c r="E97" s="122"/>
      <c r="F97" s="123">
        <f t="shared" ref="F97:I97" si="4">SUM(F10:F96)</f>
        <v>22367</v>
      </c>
      <c r="G97" s="123">
        <f t="shared" si="4"/>
        <v>11652</v>
      </c>
      <c r="H97" s="123">
        <f t="shared" si="4"/>
        <v>10867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18">
        <v>3.0</v>
      </c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18">
        <v>3.0</v>
      </c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18">
        <v>3.0</v>
      </c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18">
        <v>3.0</v>
      </c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18">
        <v>3.0</v>
      </c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18">
        <v>3.0</v>
      </c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18">
        <v>3.0</v>
      </c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18">
        <v>3.0</v>
      </c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18">
        <v>3.0</v>
      </c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18">
        <v>3.0</v>
      </c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18">
        <v>3.0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18">
        <v>3.0</v>
      </c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64410.0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10717.0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31625.0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26429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20075</v>
      </c>
      <c r="D10" s="24"/>
      <c r="E10" s="43">
        <v>1.0</v>
      </c>
      <c r="F10" s="44">
        <v>93.0</v>
      </c>
      <c r="G10" s="45">
        <v>93.0</v>
      </c>
      <c r="H10" s="45"/>
      <c r="I10" s="45"/>
      <c r="J10" s="129">
        <v>3247.0</v>
      </c>
      <c r="K10" s="129"/>
      <c r="L10" s="47"/>
      <c r="M10" s="47"/>
      <c r="N10" s="48"/>
      <c r="O10" s="49"/>
      <c r="P10" s="85" t="s">
        <v>74</v>
      </c>
      <c r="Q10" s="51"/>
      <c r="R10" s="52">
        <v>1000.0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6104</v>
      </c>
      <c r="D11" s="24"/>
      <c r="E11" s="43">
        <v>2.0</v>
      </c>
      <c r="F11" s="56">
        <v>48.0</v>
      </c>
      <c r="G11" s="57">
        <v>48.0</v>
      </c>
      <c r="H11" s="58"/>
      <c r="I11" s="59"/>
      <c r="J11" s="129">
        <v>3248.0</v>
      </c>
      <c r="K11" s="129"/>
      <c r="L11" s="48"/>
      <c r="M11" s="48"/>
      <c r="N11" s="48"/>
      <c r="O11" s="49"/>
      <c r="P11" s="72" t="s">
        <v>75</v>
      </c>
      <c r="Q11" s="51"/>
      <c r="R11" s="52">
        <v>15750.0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650</v>
      </c>
      <c r="D12" s="24"/>
      <c r="E12" s="43">
        <v>3.0</v>
      </c>
      <c r="F12" s="63">
        <v>317.0</v>
      </c>
      <c r="G12" s="64"/>
      <c r="H12" s="64">
        <v>317.0</v>
      </c>
      <c r="I12" s="65"/>
      <c r="J12" s="129">
        <v>3249.0</v>
      </c>
      <c r="K12" s="129"/>
      <c r="L12" s="48"/>
      <c r="M12" s="48"/>
      <c r="N12" s="48"/>
      <c r="O12" s="49"/>
      <c r="P12" s="72" t="s">
        <v>76</v>
      </c>
      <c r="Q12" s="51"/>
      <c r="R12" s="52">
        <v>16970.0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69.0</v>
      </c>
      <c r="G13" s="64">
        <v>69.0</v>
      </c>
      <c r="H13" s="65"/>
      <c r="I13" s="65"/>
      <c r="J13" s="129">
        <v>3250.0</v>
      </c>
      <c r="K13" s="46"/>
      <c r="L13" s="48"/>
      <c r="M13" s="48"/>
      <c r="N13" s="48"/>
      <c r="O13" s="49"/>
      <c r="P13" s="72" t="s">
        <v>77</v>
      </c>
      <c r="Q13" s="51"/>
      <c r="R13" s="52">
        <v>100.0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691.0</v>
      </c>
      <c r="G14" s="64">
        <v>691.0</v>
      </c>
      <c r="H14" s="65"/>
      <c r="I14" s="65"/>
      <c r="J14" s="129">
        <v>3251.0</v>
      </c>
      <c r="K14" s="24"/>
      <c r="L14" s="48"/>
      <c r="M14" s="48"/>
      <c r="N14" s="48"/>
      <c r="O14" s="49"/>
      <c r="P14" s="72" t="s">
        <v>78</v>
      </c>
      <c r="Q14" s="51"/>
      <c r="R14" s="52">
        <v>16544.0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114.0</v>
      </c>
      <c r="G15" s="64">
        <v>114.0</v>
      </c>
      <c r="H15" s="64"/>
      <c r="I15" s="65"/>
      <c r="J15" s="129">
        <v>3252.0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50364</v>
      </c>
      <c r="D16" s="24"/>
      <c r="E16" s="43">
        <v>7.0</v>
      </c>
      <c r="F16" s="56">
        <v>1117.0</v>
      </c>
      <c r="G16" s="64">
        <v>1117.0</v>
      </c>
      <c r="H16" s="64"/>
      <c r="I16" s="65"/>
      <c r="J16" s="129">
        <v>3253.0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50364</v>
      </c>
      <c r="D17" s="24"/>
      <c r="E17" s="43">
        <v>8.0</v>
      </c>
      <c r="F17" s="56">
        <v>565.0</v>
      </c>
      <c r="G17" s="64">
        <v>565.0</v>
      </c>
      <c r="H17" s="64"/>
      <c r="I17" s="65"/>
      <c r="J17" s="129">
        <v>3254.0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398.0</v>
      </c>
      <c r="G18" s="64">
        <v>398.0</v>
      </c>
      <c r="H18" s="64"/>
      <c r="I18" s="65"/>
      <c r="J18" s="129">
        <v>3255.0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1558.0</v>
      </c>
      <c r="G19" s="64"/>
      <c r="H19" s="64">
        <v>1558.0</v>
      </c>
      <c r="I19" s="65"/>
      <c r="J19" s="129">
        <v>3256.0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32275</v>
      </c>
      <c r="D20" s="24"/>
      <c r="E20" s="43">
        <v>11.0</v>
      </c>
      <c r="F20" s="56">
        <v>728.0</v>
      </c>
      <c r="G20" s="64">
        <v>728.0</v>
      </c>
      <c r="H20" s="64"/>
      <c r="I20" s="65"/>
      <c r="J20" s="129">
        <v>3257.0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6104</v>
      </c>
      <c r="D21" s="24"/>
      <c r="E21" s="43">
        <v>12.0</v>
      </c>
      <c r="F21" s="56">
        <v>73.0</v>
      </c>
      <c r="G21" s="64"/>
      <c r="H21" s="64">
        <v>73.0</v>
      </c>
      <c r="I21" s="65"/>
      <c r="J21" s="129">
        <v>3258.0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30621</v>
      </c>
      <c r="D22" s="24"/>
      <c r="E22" s="43">
        <v>13.0</v>
      </c>
      <c r="F22" s="56">
        <v>399.0</v>
      </c>
      <c r="G22" s="64">
        <v>399.0</v>
      </c>
      <c r="H22" s="64"/>
      <c r="I22" s="65"/>
      <c r="J22" s="129">
        <v>3259.0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9">
        <v>31122.0</v>
      </c>
      <c r="D23" s="24"/>
      <c r="E23" s="43">
        <v>14.0</v>
      </c>
      <c r="F23" s="56">
        <v>930.0</v>
      </c>
      <c r="G23" s="64">
        <v>930.0</v>
      </c>
      <c r="H23" s="65"/>
      <c r="I23" s="65"/>
      <c r="J23" s="129">
        <v>3260.0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-501</v>
      </c>
      <c r="D24" s="24"/>
      <c r="E24" s="43">
        <v>15.0</v>
      </c>
      <c r="F24" s="56">
        <v>287.0</v>
      </c>
      <c r="G24" s="64"/>
      <c r="H24" s="64">
        <v>287.0</v>
      </c>
      <c r="I24" s="65"/>
      <c r="J24" s="129">
        <v>3261.0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332.0</v>
      </c>
      <c r="G25" s="64">
        <v>332.0</v>
      </c>
      <c r="H25" s="65"/>
      <c r="I25" s="65"/>
      <c r="J25" s="129">
        <v>3262.0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26429</v>
      </c>
      <c r="D26" s="24"/>
      <c r="E26" s="43">
        <v>17.0</v>
      </c>
      <c r="F26" s="56">
        <v>417.0</v>
      </c>
      <c r="G26" s="64">
        <v>417.0</v>
      </c>
      <c r="H26" s="65"/>
      <c r="I26" s="65"/>
      <c r="J26" s="129">
        <v>3263.0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56.0</v>
      </c>
      <c r="D27" s="24"/>
      <c r="E27" s="43">
        <v>18.0</v>
      </c>
      <c r="F27" s="56">
        <v>100.0</v>
      </c>
      <c r="G27" s="64">
        <v>100.0</v>
      </c>
      <c r="H27" s="65"/>
      <c r="I27" s="65"/>
      <c r="J27" s="129">
        <v>3264.0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471.9464286</v>
      </c>
      <c r="D28" s="24"/>
      <c r="E28" s="43">
        <v>19.0</v>
      </c>
      <c r="F28" s="56">
        <v>15.0</v>
      </c>
      <c r="G28" s="64"/>
      <c r="H28" s="64">
        <v>15.0</v>
      </c>
      <c r="I28" s="65"/>
      <c r="J28" s="129">
        <v>3265.0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1331.0</v>
      </c>
      <c r="G29" s="64">
        <v>1331.0</v>
      </c>
      <c r="H29" s="65"/>
      <c r="I29" s="65"/>
      <c r="J29" s="129">
        <v>3266.0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114.0</v>
      </c>
      <c r="G30" s="93"/>
      <c r="H30" s="93">
        <v>114.0</v>
      </c>
      <c r="I30" s="93"/>
      <c r="J30" s="129">
        <v>3267.0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>
        <f>S33</f>
        <v>10717</v>
      </c>
      <c r="D31" s="24"/>
      <c r="E31" s="43">
        <v>22.0</v>
      </c>
      <c r="F31" s="56">
        <v>334.0</v>
      </c>
      <c r="G31" s="93">
        <v>334.0</v>
      </c>
      <c r="H31" s="92"/>
      <c r="I31" s="92"/>
      <c r="J31" s="129">
        <v>3268.0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50364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650.0</v>
      </c>
      <c r="G32" s="93" t="s">
        <v>42</v>
      </c>
      <c r="H32" s="92"/>
      <c r="I32" s="93">
        <v>650.0</v>
      </c>
      <c r="J32" s="129">
        <v>3269.0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414.0</v>
      </c>
      <c r="G33" s="93">
        <v>414.0</v>
      </c>
      <c r="H33" s="92"/>
      <c r="I33" s="92"/>
      <c r="J33" s="129">
        <v>3270.0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>
        <v>10717.0</v>
      </c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55.0</v>
      </c>
      <c r="G34" s="93"/>
      <c r="H34" s="93">
        <v>55.0</v>
      </c>
      <c r="I34" s="92"/>
      <c r="J34" s="129">
        <v>3271.0</v>
      </c>
      <c r="K34" s="24"/>
      <c r="L34" s="106"/>
      <c r="M34" s="106"/>
      <c r="N34" s="106"/>
      <c r="O34" s="106"/>
      <c r="P34" s="85" t="s">
        <v>40</v>
      </c>
      <c r="Q34" s="107"/>
      <c r="R34" s="130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418.0</v>
      </c>
      <c r="G35" s="93">
        <v>418.0</v>
      </c>
      <c r="H35" s="93"/>
      <c r="I35" s="92"/>
      <c r="J35" s="129">
        <v>3272.0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394.0</v>
      </c>
      <c r="G36" s="93">
        <v>394.0</v>
      </c>
      <c r="H36" s="93"/>
      <c r="I36" s="92"/>
      <c r="J36" s="129">
        <v>3273.0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2350.0</v>
      </c>
      <c r="G37" s="93">
        <v>2350.0</v>
      </c>
      <c r="H37" s="92"/>
      <c r="I37" s="92"/>
      <c r="J37" s="129">
        <v>3274.0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45.0</v>
      </c>
      <c r="G38" s="93">
        <v>45.0</v>
      </c>
      <c r="H38" s="92"/>
      <c r="I38" s="92"/>
      <c r="J38" s="129">
        <v>3275.0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159.0</v>
      </c>
      <c r="G39" s="93">
        <v>159.0</v>
      </c>
      <c r="H39" s="93"/>
      <c r="I39" s="92"/>
      <c r="J39" s="129">
        <v>3276.0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529.0</v>
      </c>
      <c r="G40" s="93">
        <v>529.0</v>
      </c>
      <c r="H40" s="93"/>
      <c r="I40" s="92"/>
      <c r="J40" s="129">
        <v>3277.0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310.0</v>
      </c>
      <c r="G41" s="93">
        <v>310.0</v>
      </c>
      <c r="H41" s="93"/>
      <c r="I41" s="92"/>
      <c r="J41" s="129">
        <v>3278.0</v>
      </c>
      <c r="K41" s="142"/>
      <c r="L41" s="141" t="s">
        <v>79</v>
      </c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231.0</v>
      </c>
      <c r="G42" s="93">
        <v>231.0</v>
      </c>
      <c r="H42" s="93"/>
      <c r="I42" s="92"/>
      <c r="J42" s="129">
        <v>3279.0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251.0</v>
      </c>
      <c r="G43" s="93">
        <v>251.0</v>
      </c>
      <c r="H43" s="92"/>
      <c r="I43" s="92"/>
      <c r="J43" s="129">
        <v>3280.0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224.0</v>
      </c>
      <c r="G44" s="93">
        <v>224.0</v>
      </c>
      <c r="H44" s="93"/>
      <c r="I44" s="92"/>
      <c r="J44" s="129">
        <v>3281.0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88.0</v>
      </c>
      <c r="G45" s="93">
        <v>88.0</v>
      </c>
      <c r="H45" s="92"/>
      <c r="I45" s="92"/>
      <c r="J45" s="129">
        <v>3282.0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31.0</v>
      </c>
      <c r="G46" s="93" t="s">
        <v>42</v>
      </c>
      <c r="H46" s="93">
        <v>31.0</v>
      </c>
      <c r="I46" s="92"/>
      <c r="J46" s="129">
        <v>3283.0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167.0</v>
      </c>
      <c r="G47" s="93">
        <v>167.0</v>
      </c>
      <c r="H47" s="93"/>
      <c r="I47" s="92"/>
      <c r="J47" s="129">
        <v>3284.0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151.0</v>
      </c>
      <c r="G48" s="92"/>
      <c r="H48" s="93">
        <v>151.0</v>
      </c>
      <c r="I48" s="92"/>
      <c r="J48" s="129">
        <v>3285.0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45.0</v>
      </c>
      <c r="G49" s="93">
        <v>45.0</v>
      </c>
      <c r="H49" s="92"/>
      <c r="I49" s="92"/>
      <c r="J49" s="129">
        <v>3286.0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189.0</v>
      </c>
      <c r="G50" s="92"/>
      <c r="H50" s="93">
        <v>189.0</v>
      </c>
      <c r="I50" s="92"/>
      <c r="J50" s="129">
        <v>3287.0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820.0</v>
      </c>
      <c r="G51" s="92"/>
      <c r="H51" s="93">
        <v>820.0</v>
      </c>
      <c r="I51" s="92"/>
      <c r="J51" s="129">
        <v>3288.0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65.0</v>
      </c>
      <c r="G52" s="93">
        <v>65.0</v>
      </c>
      <c r="H52" s="92"/>
      <c r="I52" s="92"/>
      <c r="J52" s="129">
        <v>3289.0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27.0</v>
      </c>
      <c r="G53" s="92"/>
      <c r="H53" s="93">
        <v>27.0</v>
      </c>
      <c r="I53" s="92"/>
      <c r="J53" s="129">
        <v>3290.0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296.0</v>
      </c>
      <c r="G54" s="93">
        <v>296.0</v>
      </c>
      <c r="H54" s="92"/>
      <c r="I54" s="92"/>
      <c r="J54" s="129">
        <v>3291.0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1224.0</v>
      </c>
      <c r="G55" s="93">
        <v>1224.0</v>
      </c>
      <c r="H55" s="92"/>
      <c r="I55" s="92"/>
      <c r="J55" s="129">
        <v>3292.0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2941.0</v>
      </c>
      <c r="G56" s="93">
        <v>2941.0</v>
      </c>
      <c r="H56" s="92"/>
      <c r="I56" s="93" t="s">
        <v>42</v>
      </c>
      <c r="J56" s="129">
        <v>3293.0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469.0</v>
      </c>
      <c r="G57" s="93">
        <v>469.0</v>
      </c>
      <c r="H57" s="92"/>
      <c r="I57" s="92"/>
      <c r="J57" s="129">
        <v>3294.0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51.0</v>
      </c>
      <c r="G58" s="93">
        <v>51.0</v>
      </c>
      <c r="H58" s="92"/>
      <c r="I58" s="92"/>
      <c r="J58" s="129">
        <v>3295.0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488.0</v>
      </c>
      <c r="G59" s="92"/>
      <c r="H59" s="93">
        <v>488.0</v>
      </c>
      <c r="I59" s="92"/>
      <c r="J59" s="129">
        <v>3296.0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159.0</v>
      </c>
      <c r="G60" s="92"/>
      <c r="H60" s="93">
        <v>159.0</v>
      </c>
      <c r="I60" s="92"/>
      <c r="J60" s="129">
        <v>3297.0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1925.0</v>
      </c>
      <c r="G61" s="93">
        <v>1500.0</v>
      </c>
      <c r="H61" s="93">
        <v>425.0</v>
      </c>
      <c r="I61" s="92"/>
      <c r="J61" s="129">
        <v>3298.0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399.0</v>
      </c>
      <c r="G62" s="92"/>
      <c r="H62" s="93">
        <v>399.0</v>
      </c>
      <c r="I62" s="92"/>
      <c r="J62" s="129">
        <v>3299.0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238.0</v>
      </c>
      <c r="G63" s="93">
        <v>238.0</v>
      </c>
      <c r="H63" s="92"/>
      <c r="I63" s="92"/>
      <c r="J63" s="129">
        <v>3300.0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337.0</v>
      </c>
      <c r="G64" s="93" t="s">
        <v>42</v>
      </c>
      <c r="H64" s="93">
        <v>337.0</v>
      </c>
      <c r="I64" s="92"/>
      <c r="J64" s="129">
        <v>3301.0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259.0</v>
      </c>
      <c r="G65" s="92"/>
      <c r="H65" s="93">
        <v>259.0</v>
      </c>
      <c r="I65" s="92"/>
      <c r="J65" s="129">
        <v>3302.0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129">
        <v>3303.0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129">
        <v>3304.0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129">
        <v>3305.0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129">
        <v>3306.0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129">
        <v>3307.0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129">
        <v>3308.0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129">
        <v>3309.0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129">
        <v>3310.0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129">
        <v>3311.0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129">
        <v>3312.0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129">
        <v>3313.0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129">
        <v>3314.0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29">
        <v>3315.0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29">
        <v>3316.0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29">
        <v>3317.0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29">
        <v>3318.0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29">
        <v>3319.0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29">
        <v>3320.0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29">
        <v>3321.0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29">
        <v>3322.0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29">
        <v>3323.0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29">
        <v>3324.0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29">
        <v>3325.0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29">
        <v>3326.0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29">
        <v>3327.0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54">
        <v>400.0</v>
      </c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26429</v>
      </c>
      <c r="G97" s="123">
        <f t="shared" si="4"/>
        <v>20075</v>
      </c>
      <c r="H97" s="123">
        <f t="shared" si="4"/>
        <v>6104</v>
      </c>
      <c r="I97" s="123">
        <f t="shared" si="4"/>
        <v>650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31122.0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240081.0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32735.0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18756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7923</v>
      </c>
      <c r="D10" s="24"/>
      <c r="E10" s="43">
        <v>1.0</v>
      </c>
      <c r="F10" s="44">
        <v>187.0</v>
      </c>
      <c r="G10" s="45">
        <v>187.0</v>
      </c>
      <c r="H10" s="45"/>
      <c r="I10" s="45"/>
      <c r="J10" s="129">
        <v>3303.0</v>
      </c>
      <c r="K10" s="24"/>
      <c r="L10" s="47">
        <v>1856.0</v>
      </c>
      <c r="M10" s="47"/>
      <c r="N10" s="47" t="s">
        <v>80</v>
      </c>
      <c r="O10" s="49"/>
      <c r="P10" s="85" t="s">
        <v>74</v>
      </c>
      <c r="Q10" s="51"/>
      <c r="R10" s="52">
        <v>1000.0</v>
      </c>
      <c r="S10" s="53"/>
      <c r="T10" s="54"/>
      <c r="U10" s="55"/>
      <c r="V10" s="24"/>
      <c r="W10" s="47">
        <v>408.0</v>
      </c>
      <c r="X10" s="47"/>
      <c r="Y10" s="47">
        <v>2735.0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9794</v>
      </c>
      <c r="D11" s="24"/>
      <c r="E11" s="43">
        <v>2.0</v>
      </c>
      <c r="F11" s="56">
        <v>112.0</v>
      </c>
      <c r="G11" s="57">
        <v>112.0</v>
      </c>
      <c r="H11" s="58"/>
      <c r="I11" s="59"/>
      <c r="J11" s="129">
        <v>3304.0</v>
      </c>
      <c r="K11" s="24"/>
      <c r="L11" s="47" t="s">
        <v>42</v>
      </c>
      <c r="M11" s="48"/>
      <c r="N11" s="47" t="s">
        <v>42</v>
      </c>
      <c r="O11" s="49"/>
      <c r="P11" s="72" t="s">
        <v>81</v>
      </c>
      <c r="Q11" s="51"/>
      <c r="R11" s="52">
        <v>17070.0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1039</v>
      </c>
      <c r="D12" s="24"/>
      <c r="E12" s="43">
        <v>3.0</v>
      </c>
      <c r="F12" s="63">
        <v>139.0</v>
      </c>
      <c r="G12" s="64"/>
      <c r="H12" s="143">
        <v>139.0</v>
      </c>
      <c r="I12" s="65"/>
      <c r="J12" s="129">
        <v>3305.0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1856</v>
      </c>
      <c r="D13" s="24"/>
      <c r="E13" s="43">
        <v>4.0</v>
      </c>
      <c r="F13" s="56">
        <v>363.0</v>
      </c>
      <c r="G13" s="64"/>
      <c r="H13" s="144">
        <v>363.0</v>
      </c>
      <c r="I13" s="65"/>
      <c r="J13" s="129">
        <v>3306.0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589.0</v>
      </c>
      <c r="G14" s="64">
        <v>589.0</v>
      </c>
      <c r="H14" s="145"/>
      <c r="I14" s="64" t="s">
        <v>42</v>
      </c>
      <c r="J14" s="129" t="s">
        <v>82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408</v>
      </c>
      <c r="D15" s="24"/>
      <c r="E15" s="43">
        <v>6.0</v>
      </c>
      <c r="F15" s="56">
        <v>640.0</v>
      </c>
      <c r="G15" s="64"/>
      <c r="H15" s="144">
        <v>640.0</v>
      </c>
      <c r="I15" s="65"/>
      <c r="J15" s="129">
        <v>3308.0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18070</v>
      </c>
      <c r="D16" s="24"/>
      <c r="E16" s="43">
        <v>7.0</v>
      </c>
      <c r="F16" s="56">
        <v>187.0</v>
      </c>
      <c r="G16" s="64">
        <v>187.0</v>
      </c>
      <c r="H16" s="144"/>
      <c r="I16" s="65"/>
      <c r="J16" s="129">
        <v>3309.0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18070</v>
      </c>
      <c r="D17" s="24"/>
      <c r="E17" s="43">
        <v>8.0</v>
      </c>
      <c r="F17" s="56">
        <v>242.0</v>
      </c>
      <c r="G17" s="65"/>
      <c r="H17" s="144">
        <v>242.0</v>
      </c>
      <c r="I17" s="65"/>
      <c r="J17" s="129">
        <v>3310.0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136.0</v>
      </c>
      <c r="G18" s="64">
        <v>136.0</v>
      </c>
      <c r="H18" s="64"/>
      <c r="I18" s="65"/>
      <c r="J18" s="129">
        <v>3311.0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460.0</v>
      </c>
      <c r="G19" s="64">
        <v>460.0</v>
      </c>
      <c r="H19" s="65"/>
      <c r="I19" s="65"/>
      <c r="J19" s="129">
        <v>3312.0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31918</v>
      </c>
      <c r="D20" s="24"/>
      <c r="E20" s="43">
        <v>11.0</v>
      </c>
      <c r="F20" s="56">
        <v>417.0</v>
      </c>
      <c r="G20" s="64">
        <v>417.0</v>
      </c>
      <c r="H20" s="64"/>
      <c r="I20" s="65"/>
      <c r="J20" s="129">
        <v>3313.0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249875</v>
      </c>
      <c r="D21" s="24"/>
      <c r="E21" s="43">
        <v>12.0</v>
      </c>
      <c r="F21" s="56">
        <v>40.0</v>
      </c>
      <c r="G21" s="65"/>
      <c r="H21" s="64">
        <v>40.0</v>
      </c>
      <c r="I21" s="65"/>
      <c r="J21" s="129">
        <v>3314.0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19331</v>
      </c>
      <c r="D22" s="24"/>
      <c r="E22" s="43">
        <v>13.0</v>
      </c>
      <c r="F22" s="56">
        <v>11.0</v>
      </c>
      <c r="G22" s="64">
        <v>11.0</v>
      </c>
      <c r="H22" s="64"/>
      <c r="I22" s="65"/>
      <c r="J22" s="129">
        <v>3315.0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>
        <v>1200.0</v>
      </c>
      <c r="G23" s="65"/>
      <c r="H23" s="64">
        <v>1200.0</v>
      </c>
      <c r="I23" s="65"/>
      <c r="J23" s="129">
        <v>3316.0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19331</v>
      </c>
      <c r="D24" s="24"/>
      <c r="E24" s="43">
        <v>15.0</v>
      </c>
      <c r="F24" s="56">
        <v>44.0</v>
      </c>
      <c r="G24" s="64">
        <v>44.0</v>
      </c>
      <c r="H24" s="65"/>
      <c r="I24" s="65"/>
      <c r="J24" s="129">
        <v>3317.0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110.0</v>
      </c>
      <c r="G25" s="64">
        <v>110.0</v>
      </c>
      <c r="H25" s="65"/>
      <c r="I25" s="65"/>
      <c r="J25" s="129">
        <v>3318.0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19164</v>
      </c>
      <c r="D26" s="24"/>
      <c r="E26" s="43">
        <v>17.0</v>
      </c>
      <c r="F26" s="56">
        <v>458.0</v>
      </c>
      <c r="G26" s="64">
        <v>458.0</v>
      </c>
      <c r="H26" s="65"/>
      <c r="I26" s="65"/>
      <c r="J26" s="129">
        <v>3319.0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>
        <v>125.0</v>
      </c>
      <c r="G27" s="64">
        <v>125.0</v>
      </c>
      <c r="H27" s="65"/>
      <c r="I27" s="65"/>
      <c r="J27" s="129">
        <v>3320.0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>
        <v>255.0</v>
      </c>
      <c r="G28" s="64">
        <v>255.0</v>
      </c>
      <c r="H28" s="65"/>
      <c r="I28" s="65"/>
      <c r="J28" s="129">
        <v>3321.0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374.0</v>
      </c>
      <c r="G29" s="64"/>
      <c r="H29" s="64">
        <v>374.0</v>
      </c>
      <c r="I29" s="65"/>
      <c r="J29" s="129">
        <v>3322.0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199.0</v>
      </c>
      <c r="G30" s="93">
        <v>199.0</v>
      </c>
      <c r="H30" s="92"/>
      <c r="I30" s="93"/>
      <c r="J30" s="129">
        <v>3323.0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229.0</v>
      </c>
      <c r="G31" s="93"/>
      <c r="H31" s="93">
        <v>229.0</v>
      </c>
      <c r="I31" s="92"/>
      <c r="J31" s="129">
        <v>3324.0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18070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399.0</v>
      </c>
      <c r="G32" s="93" t="s">
        <v>42</v>
      </c>
      <c r="H32" s="146">
        <v>399.0</v>
      </c>
      <c r="I32" s="92"/>
      <c r="J32" s="129" t="s">
        <v>83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176.0</v>
      </c>
      <c r="G33" s="93">
        <v>176.0</v>
      </c>
      <c r="H33" s="92"/>
      <c r="I33" s="92"/>
      <c r="J33" s="129">
        <v>3326.0</v>
      </c>
      <c r="K33" s="24"/>
      <c r="L33" s="104">
        <f t="shared" ref="L33:M33" si="2">sum(L10:L32)</f>
        <v>1856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408</v>
      </c>
      <c r="X33" s="104">
        <f t="shared" si="3"/>
        <v>0</v>
      </c>
      <c r="Y33" s="104">
        <f>W33+X33</f>
        <v>408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238.0</v>
      </c>
      <c r="G34" s="93">
        <v>238.0</v>
      </c>
      <c r="H34" s="92"/>
      <c r="I34" s="92"/>
      <c r="J34" s="129">
        <v>3327.0</v>
      </c>
      <c r="K34" s="24"/>
      <c r="L34" s="106"/>
      <c r="M34" s="106"/>
      <c r="N34" s="106"/>
      <c r="O34" s="106"/>
      <c r="P34" s="85" t="s">
        <v>40</v>
      </c>
      <c r="Q34" s="107"/>
      <c r="R34" s="130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565.0</v>
      </c>
      <c r="G35" s="93"/>
      <c r="H35" s="93">
        <v>565.0</v>
      </c>
      <c r="I35" s="92"/>
      <c r="J35" s="129">
        <v>3328.0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284.0</v>
      </c>
      <c r="G36" s="93">
        <v>284.0</v>
      </c>
      <c r="H36" s="93"/>
      <c r="I36" s="92"/>
      <c r="J36" s="129">
        <v>3329.0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298.0</v>
      </c>
      <c r="G37" s="93">
        <v>298.0</v>
      </c>
      <c r="H37" s="92"/>
      <c r="I37" s="92"/>
      <c r="J37" s="129">
        <v>3330.0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95.0</v>
      </c>
      <c r="G38" s="93">
        <v>95.0</v>
      </c>
      <c r="H38" s="92"/>
      <c r="I38" s="92"/>
      <c r="J38" s="129">
        <v>3331.0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1830.0</v>
      </c>
      <c r="G39" s="93">
        <v>1830.0</v>
      </c>
      <c r="H39" s="93"/>
      <c r="I39" s="92"/>
      <c r="J39" s="129">
        <v>3332.0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1039.0</v>
      </c>
      <c r="G40" s="92"/>
      <c r="H40" s="93"/>
      <c r="I40" s="93">
        <v>1039.0</v>
      </c>
      <c r="J40" s="129" t="s">
        <v>84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581.0</v>
      </c>
      <c r="G41" s="92"/>
      <c r="H41" s="93">
        <v>581.0</v>
      </c>
      <c r="I41" s="93" t="s">
        <v>42</v>
      </c>
      <c r="J41" s="129" t="s">
        <v>84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224.0</v>
      </c>
      <c r="G42" s="93">
        <v>224.0</v>
      </c>
      <c r="H42" s="93"/>
      <c r="I42" s="92"/>
      <c r="J42" s="129">
        <v>3335.0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119.0</v>
      </c>
      <c r="G43" s="93">
        <v>119.0</v>
      </c>
      <c r="H43" s="92"/>
      <c r="I43" s="92"/>
      <c r="J43" s="129">
        <v>3336.0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145.0</v>
      </c>
      <c r="G44" s="93" t="s">
        <v>42</v>
      </c>
      <c r="H44" s="93">
        <v>145.0</v>
      </c>
      <c r="I44" s="92"/>
      <c r="J44" s="129">
        <v>3337.0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1870.0</v>
      </c>
      <c r="G45" s="93"/>
      <c r="H45" s="93">
        <v>1870.0</v>
      </c>
      <c r="I45" s="92"/>
      <c r="J45" s="129">
        <v>3338.0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298.0</v>
      </c>
      <c r="G46" s="93"/>
      <c r="H46" s="93">
        <v>298.0</v>
      </c>
      <c r="I46" s="92"/>
      <c r="J46" s="129">
        <v>3339.0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227.0</v>
      </c>
      <c r="G47" s="93">
        <v>227.0</v>
      </c>
      <c r="H47" s="93">
        <v>0.0</v>
      </c>
      <c r="I47" s="92"/>
      <c r="J47" s="129">
        <v>3340.0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222.0</v>
      </c>
      <c r="G48" s="93">
        <v>220.0</v>
      </c>
      <c r="H48" s="93">
        <v>2.0</v>
      </c>
      <c r="I48" s="92"/>
      <c r="J48" s="129">
        <v>3341.0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55.0</v>
      </c>
      <c r="G49" s="93" t="s">
        <v>42</v>
      </c>
      <c r="H49" s="93">
        <v>55.0</v>
      </c>
      <c r="I49" s="92"/>
      <c r="J49" s="129">
        <v>3342.0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137.0</v>
      </c>
      <c r="G50" s="93">
        <v>137.0</v>
      </c>
      <c r="H50" s="93"/>
      <c r="I50" s="92"/>
      <c r="J50" s="129">
        <v>3343.0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30.0</v>
      </c>
      <c r="G51" s="92"/>
      <c r="H51" s="93">
        <v>30.0</v>
      </c>
      <c r="I51" s="92"/>
      <c r="J51" s="129">
        <v>3344.0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58.0</v>
      </c>
      <c r="G52" s="93">
        <v>58.0</v>
      </c>
      <c r="H52" s="92"/>
      <c r="I52" s="92"/>
      <c r="J52" s="129">
        <v>3345.0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479.0</v>
      </c>
      <c r="G53" s="92"/>
      <c r="H53" s="93">
        <v>479.0</v>
      </c>
      <c r="I53" s="92"/>
      <c r="J53" s="129">
        <v>3346.0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70.0</v>
      </c>
      <c r="G54" s="93">
        <v>70.0</v>
      </c>
      <c r="H54" s="92"/>
      <c r="I54" s="92"/>
      <c r="J54" s="129">
        <v>3347.0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599.0</v>
      </c>
      <c r="G55" s="93">
        <v>599.0</v>
      </c>
      <c r="H55" s="92"/>
      <c r="I55" s="92"/>
      <c r="J55" s="129">
        <v>3348.0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215.0</v>
      </c>
      <c r="G56" s="93">
        <v>215.0</v>
      </c>
      <c r="H56" s="92"/>
      <c r="I56" s="92"/>
      <c r="J56" s="129">
        <v>3349.0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117.0</v>
      </c>
      <c r="G57" s="93">
        <v>117.0</v>
      </c>
      <c r="H57" s="92"/>
      <c r="I57" s="92"/>
      <c r="J57" s="129">
        <v>3350.0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134.0</v>
      </c>
      <c r="G58" s="93">
        <v>134.0</v>
      </c>
      <c r="H58" s="92"/>
      <c r="I58" s="92"/>
      <c r="J58" s="129">
        <v>3351.0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1177.0</v>
      </c>
      <c r="G59" s="92"/>
      <c r="H59" s="93">
        <v>1177.0</v>
      </c>
      <c r="I59" s="92"/>
      <c r="J59" s="129">
        <v>3352.0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966.0</v>
      </c>
      <c r="G60" s="92"/>
      <c r="H60" s="93">
        <v>966.0</v>
      </c>
      <c r="I60" s="92"/>
      <c r="J60" s="129">
        <v>3353.0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129">
        <v>3354.0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129">
        <v>3355.0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129">
        <v>3356.0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129">
        <v>3357.0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129">
        <v>3358.0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129">
        <v>3359.0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129">
        <v>3360.0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129">
        <v>3361.0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129">
        <v>3362.0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129">
        <v>3363.0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129">
        <v>3364.0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129">
        <v>3365.0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129">
        <v>3366.0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129">
        <v>3367.0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129">
        <v>3368.0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129">
        <v>3369.0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129">
        <v>3370.0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29">
        <v>3371.0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29">
        <v>3372.0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29">
        <v>3373.0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29">
        <v>3374.0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29">
        <v>3375.0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29">
        <v>3376.0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29">
        <v>3377.0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29">
        <v>3378.0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29">
        <v>3379.0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29">
        <v>3380.0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29">
        <v>3381.0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29">
        <v>3382.0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29">
        <v>3383.0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29">
        <v>3384.0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29">
        <v>3385.0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29">
        <v>3386.0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29">
        <v>3387.0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19164</v>
      </c>
      <c r="G97" s="123">
        <f t="shared" si="4"/>
        <v>8331</v>
      </c>
      <c r="H97" s="123">
        <f t="shared" si="4"/>
        <v>9794</v>
      </c>
      <c r="I97" s="123">
        <f t="shared" si="4"/>
        <v>1039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16986.0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249875.0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31918.0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21710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11040</v>
      </c>
      <c r="D10" s="24"/>
      <c r="E10" s="43">
        <v>1.0</v>
      </c>
      <c r="F10" s="44">
        <v>692.0</v>
      </c>
      <c r="G10" s="45"/>
      <c r="H10" s="45">
        <v>692.0</v>
      </c>
      <c r="I10" s="45"/>
      <c r="J10" s="129">
        <v>3355.0</v>
      </c>
      <c r="K10" s="24"/>
      <c r="L10" s="47"/>
      <c r="M10" s="47">
        <v>399.0</v>
      </c>
      <c r="N10" s="47" t="s">
        <v>85</v>
      </c>
      <c r="O10" s="49"/>
      <c r="P10" s="85" t="s">
        <v>70</v>
      </c>
      <c r="Q10" s="51"/>
      <c r="R10" s="52">
        <v>1000.0</v>
      </c>
      <c r="S10" s="53"/>
      <c r="T10" s="54"/>
      <c r="U10" s="55"/>
      <c r="V10" s="24"/>
      <c r="W10" s="47">
        <v>1039.0</v>
      </c>
      <c r="X10" s="47"/>
      <c r="Y10" s="47">
        <v>3333.0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8327</v>
      </c>
      <c r="D11" s="24"/>
      <c r="E11" s="43">
        <v>2.0</v>
      </c>
      <c r="F11" s="56">
        <v>110.0</v>
      </c>
      <c r="G11" s="57">
        <v>110.0</v>
      </c>
      <c r="H11" s="58"/>
      <c r="I11" s="59"/>
      <c r="J11" s="129">
        <v>3356.0</v>
      </c>
      <c r="K11" s="24"/>
      <c r="L11" s="48"/>
      <c r="M11" s="48"/>
      <c r="N11" s="48"/>
      <c r="O11" s="49"/>
      <c r="P11" s="72" t="s">
        <v>72</v>
      </c>
      <c r="Q11" s="51"/>
      <c r="R11" s="52">
        <v>200.0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3112</v>
      </c>
      <c r="D12" s="24"/>
      <c r="E12" s="43">
        <v>3.0</v>
      </c>
      <c r="F12" s="63">
        <v>1377.0</v>
      </c>
      <c r="G12" s="64">
        <v>1377.0</v>
      </c>
      <c r="H12" s="64"/>
      <c r="I12" s="64"/>
      <c r="J12" s="129">
        <v>3357.0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291.0</v>
      </c>
      <c r="G13" s="64"/>
      <c r="H13" s="64">
        <v>291.0</v>
      </c>
      <c r="I13" s="65"/>
      <c r="J13" s="129">
        <v>3358.0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399</v>
      </c>
      <c r="D14" s="24"/>
      <c r="E14" s="43">
        <v>5.0</v>
      </c>
      <c r="F14" s="56">
        <v>145.0</v>
      </c>
      <c r="G14" s="64"/>
      <c r="H14" s="64">
        <v>145.0</v>
      </c>
      <c r="I14" s="65"/>
      <c r="J14" s="129">
        <v>3359.0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1039</v>
      </c>
      <c r="D15" s="24"/>
      <c r="E15" s="43">
        <v>6.0</v>
      </c>
      <c r="F15" s="56">
        <v>306.0</v>
      </c>
      <c r="G15" s="64">
        <v>306.0</v>
      </c>
      <c r="H15" s="64" t="s">
        <v>42</v>
      </c>
      <c r="I15" s="64"/>
      <c r="J15" s="129">
        <v>3360.0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1200</v>
      </c>
      <c r="D16" s="24"/>
      <c r="E16" s="43">
        <v>7.0</v>
      </c>
      <c r="F16" s="56">
        <v>62.0</v>
      </c>
      <c r="G16" s="64">
        <v>62.0</v>
      </c>
      <c r="H16" s="64"/>
      <c r="I16" s="65"/>
      <c r="J16" s="129">
        <v>3361.0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1200</v>
      </c>
      <c r="D17" s="24"/>
      <c r="E17" s="43">
        <v>8.0</v>
      </c>
      <c r="F17" s="56">
        <v>56.0</v>
      </c>
      <c r="G17" s="64">
        <v>56.0</v>
      </c>
      <c r="H17" s="64" t="s">
        <v>42</v>
      </c>
      <c r="I17" s="65"/>
      <c r="J17" s="129">
        <v>3362.0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140.0</v>
      </c>
      <c r="G18" s="64"/>
      <c r="H18" s="64">
        <v>140.0</v>
      </c>
      <c r="I18" s="65"/>
      <c r="J18" s="129">
        <v>3363.0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114.0</v>
      </c>
      <c r="G19" s="64"/>
      <c r="H19" s="64">
        <v>114.0</v>
      </c>
      <c r="I19" s="65"/>
      <c r="J19" s="129">
        <v>3364.0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34631</v>
      </c>
      <c r="D20" s="24"/>
      <c r="E20" s="43">
        <v>11.0</v>
      </c>
      <c r="F20" s="56">
        <v>400.0</v>
      </c>
      <c r="G20" s="64">
        <v>400.0</v>
      </c>
      <c r="H20" s="64"/>
      <c r="I20" s="65"/>
      <c r="J20" s="129">
        <v>3365.0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258601</v>
      </c>
      <c r="D21" s="24"/>
      <c r="E21" s="43">
        <v>12.0</v>
      </c>
      <c r="F21" s="56">
        <v>415.0</v>
      </c>
      <c r="G21" s="64">
        <v>415.0</v>
      </c>
      <c r="H21" s="64"/>
      <c r="I21" s="65"/>
      <c r="J21" s="129">
        <v>3366.0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23326</v>
      </c>
      <c r="D22" s="24"/>
      <c r="E22" s="43">
        <v>13.0</v>
      </c>
      <c r="F22" s="56">
        <v>56.0</v>
      </c>
      <c r="G22" s="64"/>
      <c r="H22" s="64">
        <v>56.0</v>
      </c>
      <c r="I22" s="65"/>
      <c r="J22" s="129">
        <v>3367.0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9">
        <v>23326.0</v>
      </c>
      <c r="D23" s="24"/>
      <c r="E23" s="43">
        <v>14.0</v>
      </c>
      <c r="F23" s="56">
        <v>201.0</v>
      </c>
      <c r="G23" s="65"/>
      <c r="H23" s="64">
        <v>201.0</v>
      </c>
      <c r="I23" s="65"/>
      <c r="J23" s="129">
        <v>3368.0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147"/>
      <c r="D24" s="24"/>
      <c r="E24" s="43">
        <v>15.0</v>
      </c>
      <c r="F24" s="56">
        <v>770.0</v>
      </c>
      <c r="G24" s="64">
        <v>770.0</v>
      </c>
      <c r="H24" s="65"/>
      <c r="I24" s="65"/>
      <c r="J24" s="129">
        <v>3369.0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90.0</v>
      </c>
      <c r="G25" s="64">
        <v>90.0</v>
      </c>
      <c r="H25" s="65"/>
      <c r="I25" s="65"/>
      <c r="J25" s="129">
        <v>3370.0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22749</v>
      </c>
      <c r="D26" s="24"/>
      <c r="E26" s="43">
        <v>17.0</v>
      </c>
      <c r="F26" s="56">
        <v>100.0</v>
      </c>
      <c r="G26" s="64">
        <v>100.0</v>
      </c>
      <c r="H26" s="65"/>
      <c r="I26" s="65"/>
      <c r="J26" s="129">
        <v>3371.0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60.0</v>
      </c>
      <c r="D27" s="24"/>
      <c r="E27" s="43">
        <v>18.0</v>
      </c>
      <c r="F27" s="56">
        <v>100.0</v>
      </c>
      <c r="G27" s="64">
        <v>100.0</v>
      </c>
      <c r="H27" s="65"/>
      <c r="J27" s="129">
        <v>3372.0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379.15</v>
      </c>
      <c r="D28" s="24"/>
      <c r="E28" s="43">
        <v>19.0</v>
      </c>
      <c r="F28" s="56">
        <v>254.0</v>
      </c>
      <c r="G28" s="64">
        <v>254.0</v>
      </c>
      <c r="H28" s="65"/>
      <c r="I28" s="65"/>
      <c r="J28" s="129">
        <v>3373.0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102.0</v>
      </c>
      <c r="G29" s="64"/>
      <c r="H29" s="64">
        <v>102.0</v>
      </c>
      <c r="I29" s="65"/>
      <c r="J29" s="129">
        <v>3374.0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90.0</v>
      </c>
      <c r="G30" s="93">
        <v>90.0</v>
      </c>
      <c r="H30" s="92"/>
      <c r="I30" s="93"/>
      <c r="J30" s="129">
        <v>3375.0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143.0</v>
      </c>
      <c r="G31" s="93">
        <v>143.0</v>
      </c>
      <c r="H31" s="92"/>
      <c r="I31" s="92"/>
      <c r="J31" s="129">
        <v>3376.0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1200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440.0</v>
      </c>
      <c r="G32" s="93">
        <v>440.0</v>
      </c>
      <c r="H32" s="92"/>
      <c r="I32" s="92"/>
      <c r="J32" s="129">
        <v>3377.0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205.0</v>
      </c>
      <c r="G33" s="93"/>
      <c r="H33" s="93">
        <v>205.0</v>
      </c>
      <c r="I33" s="92"/>
      <c r="J33" s="129">
        <v>3378.0</v>
      </c>
      <c r="K33" s="24"/>
      <c r="L33" s="104">
        <f t="shared" ref="L33:M33" si="2">sum(L10:L32)</f>
        <v>0</v>
      </c>
      <c r="M33" s="104">
        <f t="shared" si="2"/>
        <v>399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1039</v>
      </c>
      <c r="X33" s="104">
        <f t="shared" si="3"/>
        <v>0</v>
      </c>
      <c r="Y33" s="104">
        <f>W33+X33</f>
        <v>1039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31.0</v>
      </c>
      <c r="G34" s="93"/>
      <c r="H34" s="93">
        <v>31.0</v>
      </c>
      <c r="I34" s="92"/>
      <c r="J34" s="129">
        <v>3379.0</v>
      </c>
      <c r="K34" s="24"/>
      <c r="L34" s="106"/>
      <c r="M34" s="106"/>
      <c r="N34" s="106"/>
      <c r="O34" s="106"/>
      <c r="P34" s="85" t="s">
        <v>40</v>
      </c>
      <c r="Q34" s="107"/>
      <c r="R34" s="130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164.0</v>
      </c>
      <c r="G35" s="93"/>
      <c r="H35" s="93">
        <v>164.0</v>
      </c>
      <c r="I35" s="92"/>
      <c r="J35" s="129">
        <v>3380.0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374.0</v>
      </c>
      <c r="G36" s="93">
        <v>374.0</v>
      </c>
      <c r="H36" s="93"/>
      <c r="I36" s="92"/>
      <c r="J36" s="129">
        <v>3381.0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100.0</v>
      </c>
      <c r="G37" s="93"/>
      <c r="H37" s="93">
        <v>100.0</v>
      </c>
      <c r="I37" s="92"/>
      <c r="J37" s="129">
        <v>3382.0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959.0</v>
      </c>
      <c r="G38" s="93">
        <v>639.0</v>
      </c>
      <c r="H38" s="93">
        <v>320.0</v>
      </c>
      <c r="I38" s="92"/>
      <c r="J38" s="129">
        <v>3383.0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83.0</v>
      </c>
      <c r="G39" s="93"/>
      <c r="H39" s="93">
        <v>83.0</v>
      </c>
      <c r="I39" s="93"/>
      <c r="J39" s="129">
        <v>3384.0</v>
      </c>
      <c r="K39" s="24"/>
      <c r="L39" s="112"/>
      <c r="M39" s="117"/>
      <c r="N39" s="112"/>
      <c r="O39" s="112"/>
      <c r="P39" s="148" t="s">
        <v>86</v>
      </c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438.0</v>
      </c>
      <c r="G40" s="93">
        <v>438.0</v>
      </c>
      <c r="H40" s="93"/>
      <c r="I40" s="92"/>
      <c r="J40" s="129">
        <v>3385.0</v>
      </c>
      <c r="K40" s="24"/>
      <c r="L40" s="117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100.0</v>
      </c>
      <c r="G41" s="93">
        <v>100.0</v>
      </c>
      <c r="H41" s="93"/>
      <c r="I41" s="92"/>
      <c r="J41" s="129">
        <v>3386.0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49.0</v>
      </c>
      <c r="G42" s="93">
        <v>49.0</v>
      </c>
      <c r="H42" s="93"/>
      <c r="I42" s="92"/>
      <c r="J42" s="129">
        <v>3387.0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130.0</v>
      </c>
      <c r="G43" s="93">
        <v>130.0</v>
      </c>
      <c r="H43" s="92"/>
      <c r="I43" s="92"/>
      <c r="J43" s="129">
        <v>3388.0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3.0</v>
      </c>
      <c r="G44" s="93">
        <v>3.0</v>
      </c>
      <c r="H44" s="93"/>
      <c r="I44" s="92"/>
      <c r="J44" s="129">
        <v>3389.0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805.0</v>
      </c>
      <c r="G45" s="93" t="s">
        <v>42</v>
      </c>
      <c r="H45" s="93">
        <v>805.0</v>
      </c>
      <c r="I45" s="92"/>
      <c r="J45" s="129">
        <v>3390.0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574.0</v>
      </c>
      <c r="G46" s="93">
        <v>574.0</v>
      </c>
      <c r="H46" s="92"/>
      <c r="I46" s="92"/>
      <c r="J46" s="129">
        <v>3391.0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95.0</v>
      </c>
      <c r="G47" s="93">
        <v>95.0</v>
      </c>
      <c r="H47" s="93"/>
      <c r="I47" s="92"/>
      <c r="J47" s="129">
        <v>3392.0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100.0</v>
      </c>
      <c r="G48" s="93">
        <v>100.0</v>
      </c>
      <c r="H48" s="92"/>
      <c r="I48" s="92"/>
      <c r="J48" s="129">
        <v>3393.0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128.0</v>
      </c>
      <c r="G49" s="93">
        <v>128.0</v>
      </c>
      <c r="H49" s="92"/>
      <c r="I49" s="92"/>
      <c r="J49" s="129">
        <v>3394.0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369.0</v>
      </c>
      <c r="G50" s="93">
        <v>369.0</v>
      </c>
      <c r="H50" s="93"/>
      <c r="I50" s="92"/>
      <c r="J50" s="129">
        <v>3395.0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542.0</v>
      </c>
      <c r="G51" s="93">
        <v>542.0</v>
      </c>
      <c r="H51" s="92"/>
      <c r="I51" s="93" t="s">
        <v>42</v>
      </c>
      <c r="J51" s="129">
        <v>3396.0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844.0</v>
      </c>
      <c r="G52" s="92"/>
      <c r="H52" s="93">
        <v>844.0</v>
      </c>
      <c r="I52" s="92"/>
      <c r="J52" s="129">
        <v>3397.0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236.0</v>
      </c>
      <c r="G53" s="92"/>
      <c r="H53" s="93">
        <v>236.0</v>
      </c>
      <c r="I53" s="92"/>
      <c r="J53" s="129">
        <v>3398.0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59.0</v>
      </c>
      <c r="G54" s="93">
        <v>59.0</v>
      </c>
      <c r="H54" s="92"/>
      <c r="I54" s="92"/>
      <c r="J54" s="129">
        <v>3399.0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755.0</v>
      </c>
      <c r="G55" s="92"/>
      <c r="H55" s="93">
        <v>755.0</v>
      </c>
      <c r="I55" s="92"/>
      <c r="J55" s="129">
        <v>3400.0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1180.0</v>
      </c>
      <c r="G56" s="92"/>
      <c r="H56" s="93">
        <v>1180.0</v>
      </c>
      <c r="I56" s="92"/>
      <c r="J56" s="129">
        <v>3401.0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844.0</v>
      </c>
      <c r="G57" s="93">
        <v>844.0</v>
      </c>
      <c r="H57" s="92"/>
      <c r="I57" s="92"/>
      <c r="J57" s="129">
        <v>3402.0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1101.0</v>
      </c>
      <c r="G58" s="93">
        <v>901.0</v>
      </c>
      <c r="H58" s="93">
        <v>200.0</v>
      </c>
      <c r="I58" s="92"/>
      <c r="J58" s="129">
        <v>3403.0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154.0</v>
      </c>
      <c r="G59" s="92"/>
      <c r="H59" s="93">
        <v>154.0</v>
      </c>
      <c r="I59" s="92"/>
      <c r="J59" s="129">
        <v>3404.0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413.0</v>
      </c>
      <c r="G60" s="93">
        <v>413.0</v>
      </c>
      <c r="H60" s="92"/>
      <c r="I60" s="92"/>
      <c r="J60" s="129">
        <v>3405.0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243.0</v>
      </c>
      <c r="G61" s="93">
        <v>243.0</v>
      </c>
      <c r="H61" s="92"/>
      <c r="I61" s="92"/>
      <c r="J61" s="129">
        <v>3406.0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71.0</v>
      </c>
      <c r="G62" s="92"/>
      <c r="H62" s="93">
        <v>71.0</v>
      </c>
      <c r="I62" s="92"/>
      <c r="J62" s="129">
        <v>3407.0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3112.0</v>
      </c>
      <c r="G63" s="92"/>
      <c r="H63" s="92"/>
      <c r="I63" s="93">
        <v>3112.0</v>
      </c>
      <c r="J63" s="129">
        <v>3408.0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418.0</v>
      </c>
      <c r="G64" s="93">
        <v>418.0</v>
      </c>
      <c r="H64" s="92"/>
      <c r="I64" s="92"/>
      <c r="J64" s="129">
        <v>3409.0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469.0</v>
      </c>
      <c r="G65" s="92"/>
      <c r="H65" s="93">
        <v>469.0</v>
      </c>
      <c r="I65" s="92"/>
      <c r="J65" s="129">
        <v>3410.0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15.0</v>
      </c>
      <c r="G66" s="93">
        <v>15.0</v>
      </c>
      <c r="H66" s="92"/>
      <c r="I66" s="92"/>
      <c r="J66" s="129">
        <v>3411.0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932.0</v>
      </c>
      <c r="G67" s="93">
        <v>932.0</v>
      </c>
      <c r="H67" s="92"/>
      <c r="I67" s="92"/>
      <c r="J67" s="129">
        <v>3412.0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135.0</v>
      </c>
      <c r="G68" s="92"/>
      <c r="H68" s="93">
        <v>135.0</v>
      </c>
      <c r="I68" s="92"/>
      <c r="J68" s="129">
        <v>3413.0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65.0</v>
      </c>
      <c r="G69" s="92"/>
      <c r="H69" s="93">
        <v>65.0</v>
      </c>
      <c r="I69" s="92"/>
      <c r="J69" s="129">
        <v>3414.0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129">
        <v>3415.0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129">
        <v>3416.0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129">
        <v>3417.0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129">
        <v>3418.0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129">
        <v>3419.0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129">
        <v>3420.0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129">
        <v>3421.0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129">
        <v>3422.0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29">
        <v>3423.0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29">
        <v>3424.0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29">
        <v>3425.0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29">
        <v>3426.0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29">
        <v>3427.0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29">
        <v>3428.0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29">
        <v>3429.0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29">
        <v>3430.0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29">
        <v>3431.0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29">
        <v>3432.0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29">
        <v>3433.0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29">
        <v>3434.0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29">
        <v>3435.0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29">
        <v>3436.0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29">
        <v>3437.0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54">
        <v>0.0</v>
      </c>
      <c r="I93" s="61"/>
      <c r="J93" s="129">
        <v>3438.0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54">
        <v>399.0</v>
      </c>
      <c r="I94" s="61"/>
      <c r="J94" s="129">
        <v>3439.0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54">
        <v>370.0</v>
      </c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54" t="s">
        <v>42</v>
      </c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22749</v>
      </c>
      <c r="G97" s="123">
        <f t="shared" si="4"/>
        <v>12079</v>
      </c>
      <c r="H97" s="123">
        <f t="shared" si="4"/>
        <v>8327</v>
      </c>
      <c r="I97" s="123">
        <f t="shared" si="4"/>
        <v>3112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23326.0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258601.0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34631.0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14165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8968</v>
      </c>
      <c r="D10" s="24"/>
      <c r="E10" s="43">
        <v>1.0</v>
      </c>
      <c r="F10" s="44">
        <v>101.0</v>
      </c>
      <c r="G10" s="45">
        <v>101.0</v>
      </c>
      <c r="H10" s="45"/>
      <c r="I10" s="45"/>
      <c r="J10" s="129">
        <v>3415.0</v>
      </c>
      <c r="K10" s="24"/>
      <c r="L10" s="47">
        <v>2112.0</v>
      </c>
      <c r="M10" s="47">
        <v>1000.0</v>
      </c>
      <c r="N10" s="47">
        <v>3408.0</v>
      </c>
      <c r="O10" s="49"/>
      <c r="P10" s="85" t="s">
        <v>87</v>
      </c>
      <c r="Q10" s="51"/>
      <c r="R10" s="52">
        <v>20.0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5197</v>
      </c>
      <c r="D11" s="24"/>
      <c r="E11" s="43">
        <v>2.0</v>
      </c>
      <c r="F11" s="56">
        <v>40.0</v>
      </c>
      <c r="G11" s="57"/>
      <c r="H11" s="58">
        <v>40.0</v>
      </c>
      <c r="I11" s="59"/>
      <c r="J11" s="129">
        <v>3416.0</v>
      </c>
      <c r="K11" s="24"/>
      <c r="L11" s="48"/>
      <c r="M11" s="48"/>
      <c r="N11" s="48"/>
      <c r="O11" s="49"/>
      <c r="P11" s="72" t="s">
        <v>70</v>
      </c>
      <c r="Q11" s="51"/>
      <c r="R11" s="52">
        <v>1000.0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>
        <v>257.0</v>
      </c>
      <c r="G12" s="64">
        <v>257.0</v>
      </c>
      <c r="H12" s="64"/>
      <c r="I12" s="64"/>
      <c r="J12" s="129">
        <v>3417.0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2112</v>
      </c>
      <c r="D13" s="24"/>
      <c r="E13" s="43">
        <v>4.0</v>
      </c>
      <c r="F13" s="56">
        <v>111.0</v>
      </c>
      <c r="G13" s="64"/>
      <c r="H13" s="64">
        <v>111.0</v>
      </c>
      <c r="I13" s="65"/>
      <c r="J13" s="129">
        <v>3418.0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1000</v>
      </c>
      <c r="D14" s="24"/>
      <c r="E14" s="43">
        <v>5.0</v>
      </c>
      <c r="F14" s="56">
        <v>134.0</v>
      </c>
      <c r="G14" s="64">
        <v>134.0</v>
      </c>
      <c r="H14" s="65"/>
      <c r="I14" s="65"/>
      <c r="J14" s="129">
        <v>3419.0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220.0</v>
      </c>
      <c r="G15" s="64"/>
      <c r="H15" s="64">
        <v>220.0</v>
      </c>
      <c r="I15" s="64"/>
      <c r="J15" s="129">
        <v>3420.0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1020</v>
      </c>
      <c r="D16" s="24"/>
      <c r="E16" s="43">
        <v>7.0</v>
      </c>
      <c r="F16" s="56">
        <v>57.0</v>
      </c>
      <c r="G16" s="64">
        <v>57.0</v>
      </c>
      <c r="H16" s="64"/>
      <c r="I16" s="65"/>
      <c r="J16" s="129">
        <v>3421.0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1020</v>
      </c>
      <c r="D17" s="24"/>
      <c r="E17" s="43">
        <v>8.0</v>
      </c>
      <c r="F17" s="56">
        <v>643.0</v>
      </c>
      <c r="G17" s="65"/>
      <c r="H17" s="64">
        <v>643.0</v>
      </c>
      <c r="I17" s="65"/>
      <c r="J17" s="129">
        <v>3422.0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790.0</v>
      </c>
      <c r="G18" s="64"/>
      <c r="H18" s="64">
        <v>790.0</v>
      </c>
      <c r="I18" s="65"/>
      <c r="J18" s="129">
        <v>3423.0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117.0</v>
      </c>
      <c r="G19" s="64">
        <v>117.0</v>
      </c>
      <c r="H19" s="65"/>
      <c r="I19" s="65"/>
      <c r="J19" s="129">
        <v>3424.0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31519</v>
      </c>
      <c r="D20" s="24"/>
      <c r="E20" s="43">
        <v>11.0</v>
      </c>
      <c r="F20" s="56">
        <v>93.0</v>
      </c>
      <c r="G20" s="64">
        <v>93.0</v>
      </c>
      <c r="H20" s="64"/>
      <c r="I20" s="65"/>
      <c r="J20" s="129">
        <v>3425.0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264798</v>
      </c>
      <c r="D21" s="24"/>
      <c r="E21" s="43">
        <v>12.0</v>
      </c>
      <c r="F21" s="56">
        <v>1004.0</v>
      </c>
      <c r="G21" s="64">
        <v>1004.0</v>
      </c>
      <c r="H21" s="64"/>
      <c r="I21" s="65"/>
      <c r="J21" s="129">
        <v>3426.0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29886</v>
      </c>
      <c r="D22" s="24"/>
      <c r="E22" s="43">
        <v>13.0</v>
      </c>
      <c r="F22" s="56">
        <v>200.0</v>
      </c>
      <c r="G22" s="64">
        <v>200.0</v>
      </c>
      <c r="H22" s="64"/>
      <c r="I22" s="65"/>
      <c r="J22" s="129">
        <v>3427.0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9">
        <v>29886.0</v>
      </c>
      <c r="D23" s="24"/>
      <c r="E23" s="43">
        <v>14.0</v>
      </c>
      <c r="F23" s="56">
        <v>100.0</v>
      </c>
      <c r="G23" s="64">
        <v>100.0</v>
      </c>
      <c r="H23" s="65"/>
      <c r="I23" s="65"/>
      <c r="J23" s="129">
        <v>3428.0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>
        <v>211.0</v>
      </c>
      <c r="G24" s="64"/>
      <c r="H24" s="64">
        <v>211.0</v>
      </c>
      <c r="I24" s="65"/>
      <c r="J24" s="129">
        <v>3429.0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205.0</v>
      </c>
      <c r="G25" s="64">
        <v>205.0</v>
      </c>
      <c r="H25" s="65"/>
      <c r="I25" s="65"/>
      <c r="J25" s="129">
        <v>3430.0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14165</v>
      </c>
      <c r="D26" s="24"/>
      <c r="E26" s="43">
        <v>17.0</v>
      </c>
      <c r="F26" s="56">
        <v>95.0</v>
      </c>
      <c r="G26" s="64">
        <v>95.0</v>
      </c>
      <c r="H26" s="65"/>
      <c r="I26" s="65"/>
      <c r="J26" s="129">
        <v>3431.0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61.0</v>
      </c>
      <c r="D27" s="24"/>
      <c r="E27" s="43">
        <v>18.0</v>
      </c>
      <c r="F27" s="56">
        <v>199.0</v>
      </c>
      <c r="G27" s="64">
        <v>199.0</v>
      </c>
      <c r="H27" s="65"/>
      <c r="I27" s="65"/>
      <c r="J27" s="129">
        <v>3432.0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232.2131148</v>
      </c>
      <c r="D28" s="24"/>
      <c r="E28" s="43">
        <v>19.0</v>
      </c>
      <c r="F28" s="56">
        <v>110.0</v>
      </c>
      <c r="G28" s="64"/>
      <c r="H28" s="64">
        <v>110.0</v>
      </c>
      <c r="I28" s="65"/>
      <c r="J28" s="129">
        <v>3433.0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427.0</v>
      </c>
      <c r="G29" s="64"/>
      <c r="H29" s="149">
        <v>427.0</v>
      </c>
      <c r="I29" s="65"/>
      <c r="J29" s="129" t="s">
        <v>88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100.0</v>
      </c>
      <c r="G30" s="93">
        <v>100.0</v>
      </c>
      <c r="H30" s="92"/>
      <c r="I30" s="93"/>
      <c r="J30" s="129">
        <v>3435.0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349.0</v>
      </c>
      <c r="G31" s="93">
        <v>349.0</v>
      </c>
      <c r="H31" s="92"/>
      <c r="I31" s="92"/>
      <c r="J31" s="129">
        <v>3436.0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1020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46.0</v>
      </c>
      <c r="G32" s="93">
        <v>46.0</v>
      </c>
      <c r="H32" s="92"/>
      <c r="I32" s="92"/>
      <c r="J32" s="129">
        <v>3437.0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257.0</v>
      </c>
      <c r="G33" s="93">
        <v>257.0</v>
      </c>
      <c r="H33" s="92"/>
      <c r="I33" s="93"/>
      <c r="J33" s="129">
        <v>3438.0</v>
      </c>
      <c r="K33" s="24"/>
      <c r="L33" s="104">
        <f t="shared" ref="L33:M33" si="2">sum(L10:L32)</f>
        <v>2112</v>
      </c>
      <c r="M33" s="104">
        <f t="shared" si="2"/>
        <v>1000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80.0</v>
      </c>
      <c r="G34" s="93"/>
      <c r="H34" s="93">
        <v>80.0</v>
      </c>
      <c r="I34" s="92"/>
      <c r="J34" s="129">
        <v>3439.0</v>
      </c>
      <c r="K34" s="24"/>
      <c r="L34" s="106"/>
      <c r="M34" s="106"/>
      <c r="N34" s="106"/>
      <c r="O34" s="106"/>
      <c r="P34" s="85" t="s">
        <v>40</v>
      </c>
      <c r="Q34" s="107"/>
      <c r="R34" s="130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1500.0</v>
      </c>
      <c r="G35" s="93">
        <v>1500.0</v>
      </c>
      <c r="H35" s="93"/>
      <c r="I35" s="92"/>
      <c r="J35" s="129">
        <v>3440.0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713.0</v>
      </c>
      <c r="G36" s="93">
        <v>713.0</v>
      </c>
      <c r="H36" s="93"/>
      <c r="I36" s="92"/>
      <c r="J36" s="129">
        <v>3441.0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37.0</v>
      </c>
      <c r="G37" s="93">
        <v>37.0</v>
      </c>
      <c r="H37" s="92"/>
      <c r="I37" s="92"/>
      <c r="J37" s="129">
        <v>3442.0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140.0</v>
      </c>
      <c r="G38" s="93">
        <v>140.0</v>
      </c>
      <c r="H38" s="92"/>
      <c r="I38" s="92"/>
      <c r="J38" s="129">
        <v>3443.0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199.0</v>
      </c>
      <c r="G39" s="93">
        <v>199.0</v>
      </c>
      <c r="H39" s="93"/>
      <c r="I39" s="92"/>
      <c r="J39" s="129">
        <v>3444.0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24.0</v>
      </c>
      <c r="G40" s="93">
        <v>24.0</v>
      </c>
      <c r="H40" s="93"/>
      <c r="I40" s="92"/>
      <c r="J40" s="129">
        <v>3445.0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220.0</v>
      </c>
      <c r="G41" s="93"/>
      <c r="H41" s="93">
        <v>220.0</v>
      </c>
      <c r="I41" s="92"/>
      <c r="J41" s="129">
        <v>3446.0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132.0</v>
      </c>
      <c r="G42" s="93">
        <v>132.0</v>
      </c>
      <c r="H42" s="93"/>
      <c r="I42" s="92"/>
      <c r="J42" s="129">
        <v>3447.0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275.0</v>
      </c>
      <c r="G43" s="93"/>
      <c r="H43" s="93">
        <v>275.0</v>
      </c>
      <c r="I43" s="92"/>
      <c r="J43" s="129">
        <v>3448.0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107.0</v>
      </c>
      <c r="G44" s="93"/>
      <c r="H44" s="93">
        <v>107.0</v>
      </c>
      <c r="I44" s="92"/>
      <c r="J44" s="129">
        <v>3449.0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45.0</v>
      </c>
      <c r="G45" s="93">
        <v>45.0</v>
      </c>
      <c r="H45" s="92"/>
      <c r="I45" s="92"/>
      <c r="J45" s="129">
        <v>3450.0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135.0</v>
      </c>
      <c r="G46" s="93">
        <v>135.0</v>
      </c>
      <c r="H46" s="92"/>
      <c r="I46" s="92"/>
      <c r="J46" s="129">
        <v>3451.0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12.0</v>
      </c>
      <c r="G47" s="93">
        <v>12.0</v>
      </c>
      <c r="H47" s="93"/>
      <c r="I47" s="92"/>
      <c r="J47" s="129">
        <v>3452.0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13.0</v>
      </c>
      <c r="G48" s="93">
        <v>13.0</v>
      </c>
      <c r="H48" s="92"/>
      <c r="I48" s="92"/>
      <c r="J48" s="129">
        <v>3453.0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96.0</v>
      </c>
      <c r="G49" s="93">
        <v>96.0</v>
      </c>
      <c r="H49" s="92"/>
      <c r="I49" s="92"/>
      <c r="J49" s="129">
        <v>3454.0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145.0</v>
      </c>
      <c r="G50" s="93">
        <v>145.0</v>
      </c>
      <c r="H50" s="93"/>
      <c r="I50" s="92"/>
      <c r="J50" s="129">
        <v>3455.0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115.0</v>
      </c>
      <c r="G51" s="93">
        <v>115.0</v>
      </c>
      <c r="H51" s="92"/>
      <c r="I51" s="92"/>
      <c r="J51" s="129">
        <v>3456.0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119.0</v>
      </c>
      <c r="G52" s="92"/>
      <c r="H52" s="93">
        <v>119.0</v>
      </c>
      <c r="I52" s="92"/>
      <c r="J52" s="129">
        <v>3457.0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33.0</v>
      </c>
      <c r="G53" s="93">
        <v>33.0</v>
      </c>
      <c r="H53" s="92"/>
      <c r="I53" s="92"/>
      <c r="J53" s="129">
        <v>3458.0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93.0</v>
      </c>
      <c r="G54" s="93">
        <v>93.0</v>
      </c>
      <c r="H54" s="92"/>
      <c r="I54" s="92"/>
      <c r="J54" s="129">
        <v>3459.0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260.0</v>
      </c>
      <c r="G55" s="92"/>
      <c r="H55" s="93">
        <v>260.0</v>
      </c>
      <c r="I55" s="92"/>
      <c r="J55" s="129">
        <v>3460.0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93.0</v>
      </c>
      <c r="G56" s="92"/>
      <c r="H56" s="93">
        <v>93.0</v>
      </c>
      <c r="I56" s="92"/>
      <c r="J56" s="129">
        <v>3461.0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85.0</v>
      </c>
      <c r="G57" s="92"/>
      <c r="H57" s="93">
        <v>85.0</v>
      </c>
      <c r="I57" s="92"/>
      <c r="J57" s="129">
        <v>3462.0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1065.0</v>
      </c>
      <c r="G58" s="93">
        <v>1000.0</v>
      </c>
      <c r="H58" s="93">
        <v>65.0</v>
      </c>
      <c r="I58" s="92"/>
      <c r="J58" s="129">
        <v>3463.0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307.0</v>
      </c>
      <c r="G59" s="92"/>
      <c r="H59" s="93">
        <v>307.0</v>
      </c>
      <c r="I59" s="92"/>
      <c r="J59" s="129">
        <v>3464.0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230.0</v>
      </c>
      <c r="G60" s="92"/>
      <c r="H60" s="93">
        <v>230.0</v>
      </c>
      <c r="I60" s="92"/>
      <c r="J60" s="129">
        <v>3465.0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748.0</v>
      </c>
      <c r="G61" s="93">
        <v>748.0</v>
      </c>
      <c r="H61" s="92"/>
      <c r="I61" s="92"/>
      <c r="J61" s="129">
        <v>3466.0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330.0</v>
      </c>
      <c r="G62" s="93">
        <v>330.0</v>
      </c>
      <c r="H62" s="92"/>
      <c r="I62" s="92"/>
      <c r="J62" s="129">
        <v>3467.0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224.0</v>
      </c>
      <c r="G63" s="92"/>
      <c r="H63" s="93">
        <v>224.0</v>
      </c>
      <c r="I63" s="92"/>
      <c r="J63" s="129">
        <v>3468.0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35.0</v>
      </c>
      <c r="G64" s="93">
        <v>35.0</v>
      </c>
      <c r="H64" s="92"/>
      <c r="I64" s="92"/>
      <c r="J64" s="129">
        <v>3469.0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91.0</v>
      </c>
      <c r="G65" s="92"/>
      <c r="H65" s="93">
        <v>91.0</v>
      </c>
      <c r="I65" s="92"/>
      <c r="J65" s="129">
        <v>3470.0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344.0</v>
      </c>
      <c r="G66" s="92"/>
      <c r="H66" s="93">
        <v>344.0</v>
      </c>
      <c r="I66" s="92"/>
      <c r="J66" s="129">
        <v>3471.0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26.0</v>
      </c>
      <c r="G67" s="92"/>
      <c r="H67" s="93">
        <v>26.0</v>
      </c>
      <c r="I67" s="92"/>
      <c r="J67" s="129">
        <v>3472.0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71.0</v>
      </c>
      <c r="G68" s="92"/>
      <c r="H68" s="93">
        <v>71.0</v>
      </c>
      <c r="I68" s="92"/>
      <c r="J68" s="129">
        <v>3473.0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109.0</v>
      </c>
      <c r="G69" s="93">
        <v>109.0</v>
      </c>
      <c r="H69" s="92"/>
      <c r="I69" s="92"/>
      <c r="J69" s="129">
        <v>3474.0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48.0</v>
      </c>
      <c r="G70" s="92"/>
      <c r="H70" s="93">
        <v>48.0</v>
      </c>
      <c r="I70" s="92"/>
      <c r="J70" s="129">
        <v>3475.0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129">
        <v>3476.0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129">
        <v>3477.0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129">
        <v>3478.0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129">
        <v>3479.0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129">
        <v>3480.0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129">
        <v>3481.0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129">
        <v>3482.0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29">
        <v>3483.0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29">
        <v>3484.0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29">
        <v>3485.0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29">
        <v>3486.0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29">
        <v>3487.0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29">
        <v>3488.0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29">
        <v>3489.0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29">
        <v>3490.0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29">
        <v>3491.0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29">
        <v>3492.0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29">
        <v>3493.0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29">
        <v>3494.0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54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54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54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14165</v>
      </c>
      <c r="G97" s="123">
        <f t="shared" si="4"/>
        <v>8968</v>
      </c>
      <c r="H97" s="123">
        <f t="shared" si="4"/>
        <v>5197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29886.0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264798.0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31519.0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18517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7831</v>
      </c>
      <c r="D10" s="24"/>
      <c r="E10" s="43">
        <v>1.0</v>
      </c>
      <c r="F10" s="44">
        <v>304.0</v>
      </c>
      <c r="G10" s="45" t="s">
        <v>42</v>
      </c>
      <c r="H10" s="45">
        <v>304.0</v>
      </c>
      <c r="I10" s="45"/>
      <c r="J10" s="129">
        <v>3476.0</v>
      </c>
      <c r="K10" s="24"/>
      <c r="L10" s="47"/>
      <c r="M10" s="47"/>
      <c r="N10" s="48"/>
      <c r="O10" s="49"/>
      <c r="P10" s="85" t="s">
        <v>89</v>
      </c>
      <c r="Q10" s="51"/>
      <c r="R10" s="52">
        <v>300.0</v>
      </c>
      <c r="S10" s="53"/>
      <c r="T10" s="54"/>
      <c r="U10" s="55"/>
      <c r="V10" s="24"/>
      <c r="W10" s="47">
        <v>80.0</v>
      </c>
      <c r="X10" s="47"/>
      <c r="Y10" s="47" t="s">
        <v>90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10686</v>
      </c>
      <c r="D11" s="24"/>
      <c r="E11" s="43">
        <v>2.0</v>
      </c>
      <c r="F11" s="56">
        <v>58.0</v>
      </c>
      <c r="G11" s="57">
        <v>58.0</v>
      </c>
      <c r="H11" s="58"/>
      <c r="I11" s="59"/>
      <c r="J11" s="129">
        <v>3477.0</v>
      </c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>
        <v>11.0</v>
      </c>
      <c r="G12" s="64">
        <v>11.0</v>
      </c>
      <c r="H12" s="64"/>
      <c r="I12" s="65"/>
      <c r="J12" s="129">
        <v>3478.0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28.0</v>
      </c>
      <c r="G13" s="64">
        <v>28.0</v>
      </c>
      <c r="H13" s="65"/>
      <c r="I13" s="65"/>
      <c r="J13" s="129">
        <v>3479.0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399.0</v>
      </c>
      <c r="G14" s="64" t="s">
        <v>42</v>
      </c>
      <c r="H14" s="64">
        <v>399.0</v>
      </c>
      <c r="I14" s="65"/>
      <c r="J14" s="129">
        <v>3480.0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80</v>
      </c>
      <c r="D15" s="24"/>
      <c r="E15" s="43">
        <v>6.0</v>
      </c>
      <c r="F15" s="56">
        <v>375.0</v>
      </c>
      <c r="G15" s="64" t="s">
        <v>42</v>
      </c>
      <c r="H15" s="64">
        <v>375.0</v>
      </c>
      <c r="I15" s="65"/>
      <c r="J15" s="129">
        <v>3481.0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>
        <v>76.0</v>
      </c>
      <c r="G16" s="64">
        <v>76.0</v>
      </c>
      <c r="H16" s="64"/>
      <c r="I16" s="65"/>
      <c r="J16" s="129">
        <v>3482.0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 t="str">
        <f>R31</f>
        <v/>
      </c>
      <c r="D17" s="24"/>
      <c r="E17" s="43">
        <v>8.0</v>
      </c>
      <c r="F17" s="56">
        <v>10.0</v>
      </c>
      <c r="G17" s="64" t="s">
        <v>42</v>
      </c>
      <c r="H17" s="64">
        <v>10.0</v>
      </c>
      <c r="I17" s="65"/>
      <c r="J17" s="129">
        <v>3483.0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 t="str">
        <f>S31</f>
        <v/>
      </c>
      <c r="D18" s="24"/>
      <c r="E18" s="43">
        <v>9.0</v>
      </c>
      <c r="F18" s="56">
        <v>197.0</v>
      </c>
      <c r="G18" s="64">
        <v>197.0</v>
      </c>
      <c r="H18" s="64"/>
      <c r="I18" s="65"/>
      <c r="J18" s="129">
        <v>3484.0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 t="str">
        <f>T31</f>
        <v/>
      </c>
      <c r="D19" s="24"/>
      <c r="E19" s="43">
        <v>10.0</v>
      </c>
      <c r="F19" s="56">
        <v>150.0</v>
      </c>
      <c r="G19" s="64">
        <v>150.0</v>
      </c>
      <c r="H19" s="65"/>
      <c r="I19" s="65"/>
      <c r="J19" s="129">
        <v>3485.0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31519</v>
      </c>
      <c r="D20" s="24"/>
      <c r="E20" s="43">
        <v>11.0</v>
      </c>
      <c r="F20" s="56">
        <v>449.0</v>
      </c>
      <c r="G20" s="64" t="s">
        <v>42</v>
      </c>
      <c r="H20" s="64">
        <v>449.0</v>
      </c>
      <c r="I20" s="65"/>
      <c r="J20" s="129">
        <v>3486.0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275484</v>
      </c>
      <c r="D21" s="24"/>
      <c r="E21" s="43">
        <v>12.0</v>
      </c>
      <c r="F21" s="56">
        <v>28.0</v>
      </c>
      <c r="G21" s="64"/>
      <c r="H21" s="64">
        <v>28.0</v>
      </c>
      <c r="I21" s="65"/>
      <c r="J21" s="129">
        <v>3487.0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37717</v>
      </c>
      <c r="D22" s="24"/>
      <c r="E22" s="43">
        <v>13.0</v>
      </c>
      <c r="F22" s="56">
        <v>358.0</v>
      </c>
      <c r="G22" s="64"/>
      <c r="H22" s="64">
        <v>358.0</v>
      </c>
      <c r="I22" s="65"/>
      <c r="J22" s="129">
        <v>3488.0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9">
        <v>37717.0</v>
      </c>
      <c r="D23" s="24"/>
      <c r="E23" s="43">
        <v>14.0</v>
      </c>
      <c r="F23" s="56">
        <v>317.0</v>
      </c>
      <c r="G23" s="64">
        <v>317.0</v>
      </c>
      <c r="H23" s="65"/>
      <c r="I23" s="65"/>
      <c r="J23" s="129">
        <v>3489.0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>
        <v>209.0</v>
      </c>
      <c r="G24" s="64">
        <v>209.0</v>
      </c>
      <c r="H24" s="65"/>
      <c r="I24" s="65"/>
      <c r="J24" s="129">
        <v>3490.0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391.0</v>
      </c>
      <c r="G25" s="64"/>
      <c r="H25" s="64">
        <v>391.0</v>
      </c>
      <c r="I25" s="65"/>
      <c r="J25" s="129">
        <v>3491.0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18597</v>
      </c>
      <c r="D26" s="24"/>
      <c r="E26" s="43">
        <v>17.0</v>
      </c>
      <c r="F26" s="56">
        <v>27.0</v>
      </c>
      <c r="G26" s="64">
        <v>27.0</v>
      </c>
      <c r="H26" s="65"/>
      <c r="I26" s="65"/>
      <c r="J26" s="129">
        <v>3492.0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69.0</v>
      </c>
      <c r="D27" s="24"/>
      <c r="E27" s="43">
        <v>18.0</v>
      </c>
      <c r="F27" s="56">
        <v>10.0</v>
      </c>
      <c r="G27" s="64"/>
      <c r="H27" s="64">
        <v>10.0</v>
      </c>
      <c r="I27" s="65"/>
      <c r="J27" s="129">
        <v>3493.0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269.5217391</v>
      </c>
      <c r="D28" s="24"/>
      <c r="E28" s="43">
        <v>19.0</v>
      </c>
      <c r="F28" s="56">
        <v>242.0</v>
      </c>
      <c r="G28" s="64">
        <v>242.0</v>
      </c>
      <c r="H28" s="65"/>
      <c r="I28" s="65"/>
      <c r="J28" s="129">
        <v>3494.0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17.0</v>
      </c>
      <c r="G29" s="64"/>
      <c r="H29" s="64">
        <v>17.0</v>
      </c>
      <c r="I29" s="65"/>
      <c r="J29" s="129">
        <v>3495.0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54.0</v>
      </c>
      <c r="G30" s="92"/>
      <c r="H30" s="93">
        <v>54.0</v>
      </c>
      <c r="I30" s="93"/>
      <c r="J30" s="129">
        <v>3496.0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401.0</v>
      </c>
      <c r="G31" s="93"/>
      <c r="H31" s="93">
        <v>401.0</v>
      </c>
      <c r="I31" s="93"/>
      <c r="J31" s="129">
        <v>3497.0</v>
      </c>
      <c r="K31" s="24"/>
      <c r="L31" s="48"/>
      <c r="M31" s="48"/>
      <c r="N31" s="48"/>
      <c r="O31" s="94"/>
      <c r="P31" s="95" t="s">
        <v>39</v>
      </c>
      <c r="Q31" s="7"/>
      <c r="R31" s="96"/>
      <c r="S31" s="96"/>
      <c r="T31" s="96"/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334.0</v>
      </c>
      <c r="G32" s="93">
        <v>334.0</v>
      </c>
      <c r="H32" s="92"/>
      <c r="I32" s="92"/>
      <c r="J32" s="129">
        <v>3498.0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621.0</v>
      </c>
      <c r="G33" s="93">
        <v>621.0</v>
      </c>
      <c r="H33" s="92"/>
      <c r="I33" s="92"/>
      <c r="J33" s="129">
        <v>3499.0</v>
      </c>
      <c r="K33" s="24"/>
      <c r="L33" s="104">
        <f t="shared" ref="L33:M33" si="1">sum(L10:L32)</f>
        <v>0</v>
      </c>
      <c r="M33" s="104">
        <f t="shared" si="1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2">sum(W10:W32)</f>
        <v>80</v>
      </c>
      <c r="X33" s="104">
        <f t="shared" si="2"/>
        <v>0</v>
      </c>
      <c r="Y33" s="104">
        <f>W33+X33</f>
        <v>80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269.0</v>
      </c>
      <c r="G34" s="93">
        <v>269.0</v>
      </c>
      <c r="H34" s="92"/>
      <c r="I34" s="92"/>
      <c r="J34" s="129">
        <v>3500.0</v>
      </c>
      <c r="K34" s="24"/>
      <c r="L34" s="106"/>
      <c r="M34" s="106"/>
      <c r="N34" s="106"/>
      <c r="O34" s="106"/>
      <c r="P34" s="85" t="s">
        <v>40</v>
      </c>
      <c r="Q34" s="107"/>
      <c r="R34" s="130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212.0</v>
      </c>
      <c r="G35" s="92"/>
      <c r="H35" s="93">
        <v>212.0</v>
      </c>
      <c r="I35" s="92"/>
      <c r="J35" s="129">
        <v>3501.0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252.0</v>
      </c>
      <c r="G36" s="93">
        <v>252.0</v>
      </c>
      <c r="H36" s="93"/>
      <c r="I36" s="92"/>
      <c r="J36" s="129">
        <v>3502.0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810.0</v>
      </c>
      <c r="G37" s="93"/>
      <c r="H37" s="93">
        <v>810.0</v>
      </c>
      <c r="I37" s="92"/>
      <c r="J37" s="129">
        <v>3503.0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153.0</v>
      </c>
      <c r="G38" s="93">
        <v>153.0</v>
      </c>
      <c r="H38" s="92"/>
      <c r="I38" s="92"/>
      <c r="J38" s="129">
        <v>3504.0</v>
      </c>
      <c r="K38" s="24"/>
      <c r="L38" s="112"/>
      <c r="M38" s="150"/>
      <c r="N38" s="151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140.0</v>
      </c>
      <c r="G39" s="93">
        <v>140.0</v>
      </c>
      <c r="H39" s="93"/>
      <c r="I39" s="92"/>
      <c r="J39" s="129">
        <v>3505.0</v>
      </c>
      <c r="K39" s="24"/>
      <c r="L39" s="112"/>
      <c r="M39" s="150"/>
      <c r="N39" s="150" t="s">
        <v>91</v>
      </c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3.0</v>
      </c>
      <c r="G40" s="93"/>
      <c r="H40" s="93">
        <v>3.0</v>
      </c>
      <c r="I40" s="92"/>
      <c r="J40" s="129">
        <v>3506.0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222.0</v>
      </c>
      <c r="G41" s="92"/>
      <c r="H41" s="93">
        <v>222.0</v>
      </c>
      <c r="I41" s="93"/>
      <c r="J41" s="129">
        <v>3507.0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2004.0</v>
      </c>
      <c r="G42" s="93"/>
      <c r="H42" s="93">
        <v>2004.0</v>
      </c>
      <c r="I42" s="92"/>
      <c r="J42" s="129">
        <v>3508.0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60.0</v>
      </c>
      <c r="G43" s="93">
        <v>60.0</v>
      </c>
      <c r="H43" s="92"/>
      <c r="I43" s="92"/>
      <c r="J43" s="129">
        <v>3509.0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82.0</v>
      </c>
      <c r="G44" s="93">
        <v>82.0</v>
      </c>
      <c r="H44" s="93"/>
      <c r="I44" s="92"/>
      <c r="J44" s="129">
        <v>3510.0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297.0</v>
      </c>
      <c r="G45" s="93"/>
      <c r="H45" s="93">
        <v>297.0</v>
      </c>
      <c r="I45" s="92"/>
      <c r="J45" s="129">
        <v>3511.0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219.0</v>
      </c>
      <c r="G46" s="93"/>
      <c r="H46" s="93">
        <v>219.0</v>
      </c>
      <c r="I46" s="92"/>
      <c r="J46" s="131">
        <v>3512.0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80.0</v>
      </c>
      <c r="G47" s="93">
        <v>80.0</v>
      </c>
      <c r="H47" s="93"/>
      <c r="I47" s="92"/>
      <c r="J47" s="129">
        <v>3513.0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25.0</v>
      </c>
      <c r="G48" s="93">
        <v>25.0</v>
      </c>
      <c r="H48" s="92"/>
      <c r="I48" s="92"/>
      <c r="J48" s="129">
        <v>3514.0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500.0</v>
      </c>
      <c r="G49" s="92"/>
      <c r="H49" s="93">
        <v>500.0</v>
      </c>
      <c r="I49" s="92"/>
      <c r="J49" s="129">
        <v>3515.0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3.0</v>
      </c>
      <c r="G50" s="92"/>
      <c r="H50" s="93">
        <v>3.0</v>
      </c>
      <c r="I50" s="92"/>
      <c r="J50" s="129">
        <v>3516.0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233.0</v>
      </c>
      <c r="G51" s="93"/>
      <c r="H51" s="93">
        <v>233.0</v>
      </c>
      <c r="I51" s="92"/>
      <c r="J51" s="129">
        <v>3517.0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452.0</v>
      </c>
      <c r="G52" s="93">
        <v>452.0</v>
      </c>
      <c r="H52" s="92"/>
      <c r="I52" s="92"/>
      <c r="J52" s="129">
        <v>3518.0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432.0</v>
      </c>
      <c r="G53" s="93">
        <v>432.0</v>
      </c>
      <c r="H53" s="92"/>
      <c r="I53" s="92"/>
      <c r="J53" s="129">
        <v>3519.0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653.0</v>
      </c>
      <c r="G54" s="93">
        <v>653.0</v>
      </c>
      <c r="H54" s="92"/>
      <c r="I54" s="92"/>
      <c r="J54" s="129">
        <v>3520.0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35.0</v>
      </c>
      <c r="G55" s="93">
        <v>35.0</v>
      </c>
      <c r="H55" s="92"/>
      <c r="I55" s="92"/>
      <c r="J55" s="129">
        <v>3521.0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37.0</v>
      </c>
      <c r="G56" s="93">
        <v>37.0</v>
      </c>
      <c r="H56" s="92"/>
      <c r="I56" s="92"/>
      <c r="J56" s="129">
        <v>3522.0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195.0</v>
      </c>
      <c r="G57" s="93">
        <v>195.0</v>
      </c>
      <c r="H57" s="92"/>
      <c r="I57" s="92"/>
      <c r="J57" s="129">
        <v>3523.0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220.0</v>
      </c>
      <c r="G58" s="93">
        <v>220.0</v>
      </c>
      <c r="H58" s="92"/>
      <c r="I58" s="92"/>
      <c r="J58" s="129">
        <v>3524.0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387.0</v>
      </c>
      <c r="G59" s="93">
        <v>387.0</v>
      </c>
      <c r="H59" s="92"/>
      <c r="I59" s="92"/>
      <c r="J59" s="129">
        <v>3525.0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110.0</v>
      </c>
      <c r="G60" s="93">
        <v>110.0</v>
      </c>
      <c r="H60" s="92"/>
      <c r="I60" s="92"/>
      <c r="J60" s="129">
        <v>3526.0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60.0</v>
      </c>
      <c r="G61" s="92"/>
      <c r="H61" s="93">
        <v>60.0</v>
      </c>
      <c r="I61" s="92"/>
      <c r="J61" s="129">
        <v>3527.0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52.0</v>
      </c>
      <c r="G62" s="93">
        <v>52.0</v>
      </c>
      <c r="H62" s="92"/>
      <c r="I62" s="92"/>
      <c r="J62" s="129">
        <v>3528.0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656.0</v>
      </c>
      <c r="G63" s="93"/>
      <c r="H63" s="93">
        <v>656.0</v>
      </c>
      <c r="I63" s="92"/>
      <c r="J63" s="129">
        <v>3529.0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2.0</v>
      </c>
      <c r="G64" s="93"/>
      <c r="H64" s="93">
        <v>2.0</v>
      </c>
      <c r="I64" s="92"/>
      <c r="J64" s="129">
        <v>3530.0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137.0</v>
      </c>
      <c r="G65" s="93"/>
      <c r="H65" s="93">
        <v>137.0</v>
      </c>
      <c r="I65" s="92"/>
      <c r="J65" s="129">
        <v>3531.0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195.0</v>
      </c>
      <c r="G66" s="92"/>
      <c r="H66" s="93">
        <v>195.0</v>
      </c>
      <c r="I66" s="92"/>
      <c r="J66" s="129">
        <v>3532.0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180.0</v>
      </c>
      <c r="G67" s="93">
        <v>180.0</v>
      </c>
      <c r="H67" s="92"/>
      <c r="I67" s="92"/>
      <c r="J67" s="129">
        <v>3533.0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350.0</v>
      </c>
      <c r="G68" s="92"/>
      <c r="H68" s="93">
        <v>350.0</v>
      </c>
      <c r="I68" s="92"/>
      <c r="J68" s="129">
        <v>3534.0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404.0</v>
      </c>
      <c r="G69" s="93">
        <v>404.0</v>
      </c>
      <c r="H69" s="92"/>
      <c r="I69" s="92"/>
      <c r="J69" s="129">
        <v>3535.0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108.0</v>
      </c>
      <c r="G70" s="93">
        <v>100.0</v>
      </c>
      <c r="H70" s="93">
        <v>8.0</v>
      </c>
      <c r="I70" s="92"/>
      <c r="J70" s="129">
        <v>3536.0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2.0</v>
      </c>
      <c r="G71" s="93">
        <v>2.0</v>
      </c>
      <c r="H71" s="92"/>
      <c r="I71" s="92"/>
      <c r="J71" s="129">
        <v>3537.0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148.0</v>
      </c>
      <c r="G72" s="93">
        <v>148.0</v>
      </c>
      <c r="H72" s="92"/>
      <c r="I72" s="92"/>
      <c r="J72" s="129">
        <v>3538.0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146.0</v>
      </c>
      <c r="G73" s="93">
        <v>146.0</v>
      </c>
      <c r="H73" s="92"/>
      <c r="I73" s="92"/>
      <c r="J73" s="129">
        <v>3539.0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63.0</v>
      </c>
      <c r="G74" s="92"/>
      <c r="H74" s="93">
        <v>63.0</v>
      </c>
      <c r="I74" s="92"/>
      <c r="J74" s="129">
        <v>3540.0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1027.0</v>
      </c>
      <c r="G75" s="93">
        <v>1027.0</v>
      </c>
      <c r="H75" s="92"/>
      <c r="I75" s="92"/>
      <c r="J75" s="129">
        <v>3541.0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61.0</v>
      </c>
      <c r="G76" s="92"/>
      <c r="H76" s="93">
        <v>61.0</v>
      </c>
      <c r="I76" s="92"/>
      <c r="J76" s="129">
        <v>3542.0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1275.0</v>
      </c>
      <c r="G77" s="92"/>
      <c r="H77" s="93">
        <v>1275.0</v>
      </c>
      <c r="I77" s="92"/>
      <c r="J77" s="129">
        <v>3543.0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580.0</v>
      </c>
      <c r="G78" s="92"/>
      <c r="H78" s="93">
        <v>580.0</v>
      </c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54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54">
        <v>0.0</v>
      </c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3">SUM(F10:F96)</f>
        <v>18597</v>
      </c>
      <c r="G97" s="123">
        <f t="shared" si="3"/>
        <v>7911</v>
      </c>
      <c r="H97" s="123">
        <f t="shared" si="3"/>
        <v>10686</v>
      </c>
      <c r="I97" s="123">
        <f t="shared" si="3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45999.0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37717.0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275484.0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31519.0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27456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12811</v>
      </c>
      <c r="D10" s="24"/>
      <c r="E10" s="43">
        <v>1.0</v>
      </c>
      <c r="F10" s="44">
        <v>204.0</v>
      </c>
      <c r="G10" s="45">
        <v>204.0</v>
      </c>
      <c r="H10" s="45"/>
      <c r="I10" s="45"/>
      <c r="J10" s="129">
        <v>3545.0</v>
      </c>
      <c r="K10" s="24"/>
      <c r="L10" s="47"/>
      <c r="M10" s="47"/>
      <c r="N10" s="48"/>
      <c r="O10" s="49"/>
      <c r="P10" s="85" t="s">
        <v>92</v>
      </c>
      <c r="Q10" s="51"/>
      <c r="R10" s="52">
        <v>950.0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8038</v>
      </c>
      <c r="D11" s="24"/>
      <c r="E11" s="43">
        <v>2.0</v>
      </c>
      <c r="F11" s="56">
        <v>97.0</v>
      </c>
      <c r="G11" s="57">
        <v>97.0</v>
      </c>
      <c r="H11" s="58"/>
      <c r="I11" s="59"/>
      <c r="J11" s="129">
        <v>3546.0</v>
      </c>
      <c r="K11" s="24"/>
      <c r="L11" s="48"/>
      <c r="M11" s="48"/>
      <c r="N11" s="48"/>
      <c r="O11" s="49"/>
      <c r="P11" s="72" t="s">
        <v>70</v>
      </c>
      <c r="Q11" s="51"/>
      <c r="R11" s="52">
        <v>2000.0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6607</v>
      </c>
      <c r="D12" s="24"/>
      <c r="E12" s="43">
        <v>3.0</v>
      </c>
      <c r="F12" s="63">
        <v>58.0</v>
      </c>
      <c r="G12" s="64">
        <v>58.0</v>
      </c>
      <c r="H12" s="64"/>
      <c r="I12" s="65"/>
      <c r="J12" s="129">
        <v>3547.0</v>
      </c>
      <c r="K12" s="24"/>
      <c r="L12" s="48"/>
      <c r="M12" s="48"/>
      <c r="N12" s="48"/>
      <c r="O12" s="49"/>
      <c r="P12" s="72" t="s">
        <v>93</v>
      </c>
      <c r="Q12" s="51"/>
      <c r="R12" s="52">
        <v>150.0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13.0</v>
      </c>
      <c r="G13" s="64">
        <v>13.0</v>
      </c>
      <c r="H13" s="65"/>
      <c r="I13" s="65"/>
      <c r="J13" s="129">
        <v>3548.0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167.0</v>
      </c>
      <c r="G14" s="64">
        <v>167.0</v>
      </c>
      <c r="H14" s="65"/>
      <c r="I14" s="65"/>
      <c r="J14" s="129">
        <v>3549.0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98.0</v>
      </c>
      <c r="G15" s="64">
        <v>98.0</v>
      </c>
      <c r="H15" s="64"/>
      <c r="I15" s="65"/>
      <c r="J15" s="129">
        <v>3550.0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3100</v>
      </c>
      <c r="D16" s="24"/>
      <c r="E16" s="43">
        <v>7.0</v>
      </c>
      <c r="F16" s="56">
        <v>79.0</v>
      </c>
      <c r="G16" s="64">
        <v>79.0</v>
      </c>
      <c r="H16" s="64"/>
      <c r="I16" s="65"/>
      <c r="J16" s="129">
        <v>3551.0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3100</v>
      </c>
      <c r="D17" s="24"/>
      <c r="E17" s="43">
        <v>8.0</v>
      </c>
      <c r="F17" s="56">
        <v>2570.0</v>
      </c>
      <c r="G17" s="65"/>
      <c r="H17" s="64">
        <v>2570.0</v>
      </c>
      <c r="I17" s="64"/>
      <c r="J17" s="129">
        <v>3552.0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15.0</v>
      </c>
      <c r="G18" s="64">
        <v>15.0</v>
      </c>
      <c r="H18" s="64"/>
      <c r="I18" s="65"/>
      <c r="J18" s="129">
        <v>3553.0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522.0</v>
      </c>
      <c r="G19" s="64">
        <v>522.0</v>
      </c>
      <c r="H19" s="65"/>
      <c r="I19" s="65"/>
      <c r="J19" s="129">
        <v>3554.0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38126</v>
      </c>
      <c r="D20" s="24"/>
      <c r="E20" s="43">
        <v>11.0</v>
      </c>
      <c r="F20" s="56">
        <v>115.0</v>
      </c>
      <c r="G20" s="65"/>
      <c r="H20" s="64">
        <v>115.0</v>
      </c>
      <c r="I20" s="65"/>
      <c r="J20" s="129">
        <v>3555.0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283522</v>
      </c>
      <c r="D21" s="24"/>
      <c r="E21" s="43">
        <v>12.0</v>
      </c>
      <c r="F21" s="56">
        <v>386.0</v>
      </c>
      <c r="G21" s="64"/>
      <c r="H21" s="64">
        <v>386.0</v>
      </c>
      <c r="I21" s="65"/>
      <c r="J21" s="129">
        <v>3556.0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43928</v>
      </c>
      <c r="D22" s="24"/>
      <c r="E22" s="43">
        <v>13.0</v>
      </c>
      <c r="F22" s="56">
        <v>94.0</v>
      </c>
      <c r="G22" s="64">
        <v>94.0</v>
      </c>
      <c r="H22" s="64"/>
      <c r="I22" s="65"/>
      <c r="J22" s="129">
        <v>3557.0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9">
        <v>43928.0</v>
      </c>
      <c r="D23" s="24"/>
      <c r="E23" s="43">
        <v>14.0</v>
      </c>
      <c r="F23" s="56">
        <v>1153.0</v>
      </c>
      <c r="G23" s="64">
        <v>1153.0</v>
      </c>
      <c r="H23" s="65"/>
      <c r="I23" s="65"/>
      <c r="J23" s="129">
        <v>3558.0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>
        <v>155.0</v>
      </c>
      <c r="G24" s="64">
        <v>155.0</v>
      </c>
      <c r="H24" s="65"/>
      <c r="I24" s="65"/>
      <c r="J24" s="129">
        <v>3559.0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285.0</v>
      </c>
      <c r="G25" s="64"/>
      <c r="H25" s="64">
        <v>285.0</v>
      </c>
      <c r="I25" s="65"/>
      <c r="J25" s="129">
        <v>3560.0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27456</v>
      </c>
      <c r="D26" s="24"/>
      <c r="E26" s="43">
        <v>17.0</v>
      </c>
      <c r="F26" s="56">
        <v>55.0</v>
      </c>
      <c r="G26" s="64"/>
      <c r="H26" s="64">
        <v>55.0</v>
      </c>
      <c r="I26" s="65"/>
      <c r="J26" s="129">
        <v>3561.0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81.0</v>
      </c>
      <c r="D27" s="24"/>
      <c r="E27" s="43">
        <v>18.0</v>
      </c>
      <c r="F27" s="56">
        <v>230.0</v>
      </c>
      <c r="G27" s="64">
        <v>230.0</v>
      </c>
      <c r="H27" s="65"/>
      <c r="I27" s="65"/>
      <c r="J27" s="129">
        <v>3562.0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338.962963</v>
      </c>
      <c r="D28" s="24"/>
      <c r="E28" s="43">
        <v>19.0</v>
      </c>
      <c r="F28" s="56">
        <v>182.0</v>
      </c>
      <c r="G28" s="64">
        <v>182.0</v>
      </c>
      <c r="H28" s="65"/>
      <c r="I28" s="65"/>
      <c r="J28" s="129">
        <v>3563.0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770.0</v>
      </c>
      <c r="G29" s="64">
        <v>770.0</v>
      </c>
      <c r="H29" s="65"/>
      <c r="I29" s="65"/>
      <c r="J29" s="129">
        <v>3564.0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131">
        <v>234.0</v>
      </c>
      <c r="G30" s="92"/>
      <c r="H30" s="93">
        <v>234.0</v>
      </c>
      <c r="I30" s="93"/>
      <c r="J30" s="129">
        <v>3565.0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560.0</v>
      </c>
      <c r="G31" s="93"/>
      <c r="H31" s="93">
        <v>560.0</v>
      </c>
      <c r="I31" s="92"/>
      <c r="J31" s="129">
        <v>3566.0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3100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118.0</v>
      </c>
      <c r="G32" s="93">
        <v>118.0</v>
      </c>
      <c r="H32" s="92"/>
      <c r="I32" s="92"/>
      <c r="J32" s="129">
        <v>3567.0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33.0</v>
      </c>
      <c r="G33" s="93">
        <v>33.0</v>
      </c>
      <c r="H33" s="92"/>
      <c r="I33" s="92"/>
      <c r="J33" s="129">
        <v>3568.0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69.0</v>
      </c>
      <c r="G34" s="93">
        <v>69.0</v>
      </c>
      <c r="H34" s="92"/>
      <c r="I34" s="92"/>
      <c r="J34" s="129">
        <v>3569.0</v>
      </c>
      <c r="K34" s="24"/>
      <c r="L34" s="106"/>
      <c r="M34" s="106"/>
      <c r="N34" s="106"/>
      <c r="O34" s="106"/>
      <c r="P34" s="85" t="s">
        <v>40</v>
      </c>
      <c r="Q34" s="107"/>
      <c r="R34" s="130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3600.0</v>
      </c>
      <c r="G35" s="93"/>
      <c r="H35" s="93"/>
      <c r="I35" s="93">
        <v>3600.0</v>
      </c>
      <c r="J35" s="129">
        <v>3570.0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73.0</v>
      </c>
      <c r="G36" s="93">
        <v>73.0</v>
      </c>
      <c r="H36" s="93"/>
      <c r="I36" s="92"/>
      <c r="J36" s="129">
        <v>3571.0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269.0</v>
      </c>
      <c r="G37" s="93">
        <v>269.0</v>
      </c>
      <c r="H37" s="92"/>
      <c r="I37" s="92"/>
      <c r="J37" s="129">
        <v>3572.0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279.0</v>
      </c>
      <c r="G38" s="93"/>
      <c r="H38" s="93">
        <v>279.0</v>
      </c>
      <c r="I38" s="92"/>
      <c r="J38" s="129">
        <v>3573.0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27.0</v>
      </c>
      <c r="G39" s="93">
        <v>27.0</v>
      </c>
      <c r="H39" s="93"/>
      <c r="I39" s="92"/>
      <c r="J39" s="129">
        <v>3574.0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57.0</v>
      </c>
      <c r="G40" s="92"/>
      <c r="H40" s="93">
        <v>57.0</v>
      </c>
      <c r="I40" s="92"/>
      <c r="J40" s="129">
        <v>3575.0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94.0</v>
      </c>
      <c r="G41" s="93">
        <v>94.0</v>
      </c>
      <c r="H41" s="93"/>
      <c r="I41" s="92"/>
      <c r="J41" s="129">
        <v>3576.0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324.0</v>
      </c>
      <c r="G42" s="93"/>
      <c r="H42" s="93">
        <v>324.0</v>
      </c>
      <c r="I42" s="92"/>
      <c r="J42" s="129">
        <v>3577.0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234.0</v>
      </c>
      <c r="G43" s="93">
        <v>234.0</v>
      </c>
      <c r="H43" s="92"/>
      <c r="I43" s="92"/>
      <c r="J43" s="129">
        <v>3578.0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493.0</v>
      </c>
      <c r="G44" s="93">
        <v>493.0</v>
      </c>
      <c r="H44" s="93"/>
      <c r="I44" s="92"/>
      <c r="J44" s="129">
        <v>3579.0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75.0</v>
      </c>
      <c r="G45" s="93">
        <v>75.0</v>
      </c>
      <c r="H45" s="92"/>
      <c r="I45" s="92"/>
      <c r="J45" s="129">
        <v>3580.0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220.0</v>
      </c>
      <c r="G46" s="93">
        <v>220.0</v>
      </c>
      <c r="H46" s="92"/>
      <c r="I46" s="92"/>
      <c r="J46" s="129">
        <v>3581.0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1160.0</v>
      </c>
      <c r="G47" s="93">
        <v>1160.0</v>
      </c>
      <c r="H47" s="93"/>
      <c r="I47" s="92"/>
      <c r="J47" s="129">
        <v>3582.0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5.0</v>
      </c>
      <c r="G48" s="93">
        <v>5.0</v>
      </c>
      <c r="H48" s="92"/>
      <c r="I48" s="92"/>
      <c r="J48" s="129">
        <v>3583.0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34.0</v>
      </c>
      <c r="G49" s="93">
        <v>34.0</v>
      </c>
      <c r="H49" s="92"/>
      <c r="I49" s="92"/>
      <c r="J49" s="129">
        <v>3584.0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67.0</v>
      </c>
      <c r="G50" s="93">
        <v>67.0</v>
      </c>
      <c r="H50" s="93"/>
      <c r="I50" s="92"/>
      <c r="J50" s="129">
        <v>3585.0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56.0</v>
      </c>
      <c r="G51" s="92"/>
      <c r="H51" s="93">
        <v>56.0</v>
      </c>
      <c r="I51" s="92"/>
      <c r="J51" s="129">
        <v>3586.0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52.0</v>
      </c>
      <c r="G52" s="93">
        <v>52.0</v>
      </c>
      <c r="H52" s="92"/>
      <c r="I52" s="92"/>
      <c r="J52" s="129">
        <v>3587.0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3007.0</v>
      </c>
      <c r="G53" s="92"/>
      <c r="H53" s="92"/>
      <c r="I53" s="93">
        <v>3007.0</v>
      </c>
      <c r="J53" s="129">
        <v>3588.0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151.0</v>
      </c>
      <c r="G54" s="93">
        <v>151.0</v>
      </c>
      <c r="H54" s="92"/>
      <c r="I54" s="92"/>
      <c r="J54" s="129">
        <v>3589.0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21.0</v>
      </c>
      <c r="G55" s="93">
        <v>21.0</v>
      </c>
      <c r="H55" s="92"/>
      <c r="I55" s="92"/>
      <c r="J55" s="129">
        <v>3590.0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40.0</v>
      </c>
      <c r="G56" s="93">
        <v>40.0</v>
      </c>
      <c r="H56" s="92"/>
      <c r="I56" s="92"/>
      <c r="J56" s="129">
        <v>3591.0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100.0</v>
      </c>
      <c r="G57" s="93">
        <v>100.0</v>
      </c>
      <c r="H57" s="92"/>
      <c r="I57" s="92"/>
      <c r="J57" s="129">
        <v>3592.0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116.0</v>
      </c>
      <c r="G58" s="93">
        <v>116.0</v>
      </c>
      <c r="H58" s="92"/>
      <c r="I58" s="92"/>
      <c r="J58" s="129">
        <v>3593.0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344.0</v>
      </c>
      <c r="G59" s="92"/>
      <c r="H59" s="93">
        <v>344.0</v>
      </c>
      <c r="I59" s="92"/>
      <c r="J59" s="129">
        <v>3594.0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1301.0</v>
      </c>
      <c r="G60" s="93">
        <v>1301.0</v>
      </c>
      <c r="H60" s="92"/>
      <c r="I60" s="92"/>
      <c r="J60" s="129">
        <v>3595.0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297.0</v>
      </c>
      <c r="G61" s="93">
        <v>297.0</v>
      </c>
      <c r="H61" s="92"/>
      <c r="I61" s="92"/>
      <c r="J61" s="129">
        <v>3596.0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7.0</v>
      </c>
      <c r="G62" s="92"/>
      <c r="H62" s="93">
        <v>7.0</v>
      </c>
      <c r="I62" s="92"/>
      <c r="J62" s="129">
        <v>3597.0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37.0</v>
      </c>
      <c r="G63" s="92"/>
      <c r="H63" s="93">
        <v>37.0</v>
      </c>
      <c r="I63" s="92"/>
      <c r="J63" s="129">
        <v>3598.0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121.0</v>
      </c>
      <c r="G64" s="92"/>
      <c r="H64" s="93">
        <v>121.0</v>
      </c>
      <c r="I64" s="92"/>
      <c r="J64" s="129">
        <v>3599.0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9.0</v>
      </c>
      <c r="G65" s="93">
        <v>9.0</v>
      </c>
      <c r="H65" s="92"/>
      <c r="I65" s="92"/>
      <c r="J65" s="129">
        <v>3600.0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67.0</v>
      </c>
      <c r="G66" s="92"/>
      <c r="H66" s="93">
        <v>67.0</v>
      </c>
      <c r="I66" s="92"/>
      <c r="J66" s="129">
        <v>3601.0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491.0</v>
      </c>
      <c r="G67" s="92"/>
      <c r="H67" s="93">
        <v>491.0</v>
      </c>
      <c r="I67" s="92"/>
      <c r="J67" s="129">
        <v>3602.0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129.0</v>
      </c>
      <c r="G68" s="93">
        <v>129.0</v>
      </c>
      <c r="H68" s="92"/>
      <c r="I68" s="92"/>
      <c r="J68" s="129">
        <v>3603.0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805.0</v>
      </c>
      <c r="G69" s="93">
        <v>805.0</v>
      </c>
      <c r="H69" s="92"/>
      <c r="I69" s="92"/>
      <c r="J69" s="129">
        <v>3604.0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582.0</v>
      </c>
      <c r="G70" s="93">
        <v>582.0</v>
      </c>
      <c r="H70" s="92"/>
      <c r="I70" s="92"/>
      <c r="J70" s="129">
        <v>3605.0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421.0</v>
      </c>
      <c r="G71" s="93">
        <v>421.0</v>
      </c>
      <c r="H71" s="92"/>
      <c r="I71" s="92"/>
      <c r="J71" s="129">
        <v>3606.0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135.0</v>
      </c>
      <c r="G72" s="92"/>
      <c r="H72" s="93">
        <v>135.0</v>
      </c>
      <c r="I72" s="92"/>
      <c r="J72" s="129">
        <v>3607.0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472.0</v>
      </c>
      <c r="G73" s="93">
        <v>472.0</v>
      </c>
      <c r="H73" s="92"/>
      <c r="I73" s="92"/>
      <c r="J73" s="129">
        <v>3608.0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111.0</v>
      </c>
      <c r="G74" s="93">
        <v>111.0</v>
      </c>
      <c r="H74" s="92"/>
      <c r="I74" s="92"/>
      <c r="J74" s="129">
        <v>3609.0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623.0</v>
      </c>
      <c r="G75" s="93">
        <v>623.0</v>
      </c>
      <c r="H75" s="92"/>
      <c r="I75" s="92"/>
      <c r="J75" s="129">
        <v>3610.0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51.0</v>
      </c>
      <c r="G76" s="92"/>
      <c r="H76" s="93">
        <v>51.0</v>
      </c>
      <c r="I76" s="92"/>
      <c r="J76" s="129">
        <v>3611.0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664.0</v>
      </c>
      <c r="G77" s="92"/>
      <c r="H77" s="93">
        <v>664.0</v>
      </c>
      <c r="I77" s="92"/>
      <c r="J77" s="129">
        <v>3612.0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95.0</v>
      </c>
      <c r="G78" s="93">
        <v>95.0</v>
      </c>
      <c r="H78" s="92"/>
      <c r="I78" s="92"/>
      <c r="J78" s="129">
        <v>3613.0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159.0</v>
      </c>
      <c r="G79" s="93">
        <v>159.0</v>
      </c>
      <c r="H79" s="92"/>
      <c r="I79" s="92"/>
      <c r="J79" s="129">
        <v>3614.0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128.0</v>
      </c>
      <c r="G80" s="93">
        <v>128.0</v>
      </c>
      <c r="H80" s="92"/>
      <c r="I80" s="92"/>
      <c r="J80" s="129">
        <v>3615.0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71.0</v>
      </c>
      <c r="G81" s="93">
        <v>71.0</v>
      </c>
      <c r="H81" s="92"/>
      <c r="I81" s="92"/>
      <c r="J81" s="129">
        <v>3616.0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52">
        <v>40.0</v>
      </c>
      <c r="G82" s="54">
        <v>40.0</v>
      </c>
      <c r="H82" s="61"/>
      <c r="I82" s="61"/>
      <c r="J82" s="129">
        <v>3617.0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52">
        <v>176.0</v>
      </c>
      <c r="G83" s="61"/>
      <c r="H83" s="54">
        <v>176.0</v>
      </c>
      <c r="I83" s="61"/>
      <c r="J83" s="129">
        <v>3618.0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52">
        <v>86.0</v>
      </c>
      <c r="G84" s="61"/>
      <c r="H84" s="54">
        <v>86.0</v>
      </c>
      <c r="I84" s="61"/>
      <c r="J84" s="129">
        <v>3619.0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52">
        <v>399.0</v>
      </c>
      <c r="G85" s="61"/>
      <c r="H85" s="54">
        <v>399.0</v>
      </c>
      <c r="I85" s="61"/>
      <c r="J85" s="129">
        <v>3620.0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52">
        <v>90.0</v>
      </c>
      <c r="G86" s="54">
        <v>90.0</v>
      </c>
      <c r="H86" s="61"/>
      <c r="I86" s="61"/>
      <c r="J86" s="129">
        <v>3621.0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52">
        <v>190.0</v>
      </c>
      <c r="G87" s="54">
        <v>190.0</v>
      </c>
      <c r="H87" s="61"/>
      <c r="I87" s="61"/>
      <c r="J87" s="129">
        <v>3622.0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52">
        <v>1.0</v>
      </c>
      <c r="G88" s="61"/>
      <c r="H88" s="54">
        <v>1.0</v>
      </c>
      <c r="I88" s="61"/>
      <c r="J88" s="129">
        <v>3623.0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52">
        <v>439.0</v>
      </c>
      <c r="G89" s="61"/>
      <c r="H89" s="54">
        <v>439.0</v>
      </c>
      <c r="I89" s="61"/>
      <c r="J89" s="129">
        <v>3624.0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52">
        <v>99.0</v>
      </c>
      <c r="G90" s="61"/>
      <c r="H90" s="54">
        <v>99.0</v>
      </c>
      <c r="I90" s="61"/>
      <c r="J90" s="129">
        <v>3625.0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29">
        <v>3626.0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29">
        <v>3627.0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27456</v>
      </c>
      <c r="G97" s="123">
        <f t="shared" si="4"/>
        <v>12811</v>
      </c>
      <c r="H97" s="123">
        <f t="shared" si="4"/>
        <v>8038</v>
      </c>
      <c r="I97" s="123">
        <f t="shared" si="4"/>
        <v>6607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43928.0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283522.0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38126.0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24714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16493</v>
      </c>
      <c r="D10" s="24"/>
      <c r="E10" s="43">
        <v>1.0</v>
      </c>
      <c r="F10" s="44">
        <v>44.0</v>
      </c>
      <c r="G10" s="45">
        <v>44.0</v>
      </c>
      <c r="H10" s="45"/>
      <c r="I10" s="45"/>
      <c r="J10" s="129">
        <v>3626.0</v>
      </c>
      <c r="K10" s="24"/>
      <c r="L10" s="47">
        <v>3007.0</v>
      </c>
      <c r="M10" s="47"/>
      <c r="N10" s="47">
        <v>3588.0</v>
      </c>
      <c r="O10" s="49"/>
      <c r="P10" s="85" t="s">
        <v>70</v>
      </c>
      <c r="Q10" s="51"/>
      <c r="R10" s="52">
        <v>1000.0</v>
      </c>
      <c r="S10" s="53"/>
      <c r="T10" s="54"/>
      <c r="U10" s="55"/>
      <c r="V10" s="24"/>
      <c r="W10" s="47">
        <v>770.0</v>
      </c>
      <c r="X10" s="47"/>
      <c r="Y10" s="47">
        <v>3564.0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6925</v>
      </c>
      <c r="D11" s="24"/>
      <c r="E11" s="43">
        <v>2.0</v>
      </c>
      <c r="F11" s="56">
        <v>260.0</v>
      </c>
      <c r="G11" s="57">
        <v>260.0</v>
      </c>
      <c r="H11" s="58"/>
      <c r="I11" s="59"/>
      <c r="J11" s="129">
        <v>3627.0</v>
      </c>
      <c r="K11" s="24"/>
      <c r="L11" s="47">
        <v>3600.0</v>
      </c>
      <c r="M11" s="48"/>
      <c r="N11" s="47">
        <v>3570.0</v>
      </c>
      <c r="O11" s="49"/>
      <c r="P11" s="72" t="s">
        <v>72</v>
      </c>
      <c r="Q11" s="51"/>
      <c r="R11" s="52">
        <v>100.0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1296</v>
      </c>
      <c r="D12" s="24"/>
      <c r="E12" s="43">
        <v>3.0</v>
      </c>
      <c r="F12" s="63">
        <v>175.0</v>
      </c>
      <c r="G12" s="64">
        <v>175.0</v>
      </c>
      <c r="H12" s="64"/>
      <c r="I12" s="65"/>
      <c r="J12" s="129">
        <v>3628.0</v>
      </c>
      <c r="K12" s="24"/>
      <c r="L12" s="48"/>
      <c r="M12" s="48"/>
      <c r="N12" s="48"/>
      <c r="O12" s="49"/>
      <c r="P12" s="60"/>
      <c r="Q12" s="51"/>
      <c r="R12" s="52">
        <v>390.0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6607</v>
      </c>
      <c r="D13" s="24"/>
      <c r="E13" s="43">
        <v>4.0</v>
      </c>
      <c r="F13" s="56">
        <v>275.0</v>
      </c>
      <c r="G13" s="64">
        <v>275.0</v>
      </c>
      <c r="H13" s="65"/>
      <c r="I13" s="65"/>
      <c r="J13" s="129">
        <v>3629.0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184.0</v>
      </c>
      <c r="G14" s="64">
        <v>184.0</v>
      </c>
      <c r="H14" s="65"/>
      <c r="I14" s="65"/>
      <c r="J14" s="129">
        <v>3630.0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770</v>
      </c>
      <c r="D15" s="24"/>
      <c r="E15" s="43">
        <v>6.0</v>
      </c>
      <c r="F15" s="56">
        <v>125.0</v>
      </c>
      <c r="G15" s="64">
        <v>125.0</v>
      </c>
      <c r="H15" s="64"/>
      <c r="I15" s="65"/>
      <c r="J15" s="129">
        <v>3631.0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1490</v>
      </c>
      <c r="D16" s="24"/>
      <c r="E16" s="43">
        <v>7.0</v>
      </c>
      <c r="F16" s="56">
        <v>294.0</v>
      </c>
      <c r="G16" s="64">
        <v>294.0</v>
      </c>
      <c r="H16" s="64"/>
      <c r="I16" s="65"/>
      <c r="J16" s="129">
        <v>3632.0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1490</v>
      </c>
      <c r="D17" s="24"/>
      <c r="E17" s="43">
        <v>8.0</v>
      </c>
      <c r="F17" s="56">
        <v>1508.0</v>
      </c>
      <c r="G17" s="64">
        <v>1508.0</v>
      </c>
      <c r="H17" s="64"/>
      <c r="I17" s="65"/>
      <c r="J17" s="129">
        <v>3633.0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182.0</v>
      </c>
      <c r="G18" s="64"/>
      <c r="H18" s="64">
        <v>182.0</v>
      </c>
      <c r="I18" s="65"/>
      <c r="J18" s="129">
        <v>3634.0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723.0</v>
      </c>
      <c r="G19" s="64" t="s">
        <v>42</v>
      </c>
      <c r="H19" s="64">
        <v>723.0</v>
      </c>
      <c r="I19" s="65"/>
      <c r="J19" s="129">
        <v>3635.0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32815</v>
      </c>
      <c r="D20" s="24"/>
      <c r="E20" s="43">
        <v>11.0</v>
      </c>
      <c r="F20" s="56">
        <v>1111.0</v>
      </c>
      <c r="G20" s="64">
        <v>1111.0</v>
      </c>
      <c r="H20" s="64"/>
      <c r="I20" s="65"/>
      <c r="J20" s="129">
        <v>3636.0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290447</v>
      </c>
      <c r="D21" s="24"/>
      <c r="E21" s="43">
        <v>12.0</v>
      </c>
      <c r="F21" s="56">
        <v>59.0</v>
      </c>
      <c r="G21" s="64">
        <v>59.0</v>
      </c>
      <c r="H21" s="64"/>
      <c r="I21" s="65"/>
      <c r="J21" s="129">
        <v>3637.0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62038</v>
      </c>
      <c r="D22" s="24"/>
      <c r="E22" s="43">
        <v>13.0</v>
      </c>
      <c r="F22" s="56">
        <v>614.0</v>
      </c>
      <c r="G22" s="64"/>
      <c r="H22" s="64">
        <v>614.0</v>
      </c>
      <c r="I22" s="65"/>
      <c r="J22" s="129">
        <v>3638.0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9">
        <v>62038.0</v>
      </c>
      <c r="D23" s="24"/>
      <c r="E23" s="43">
        <v>14.0</v>
      </c>
      <c r="F23" s="56">
        <v>236.0</v>
      </c>
      <c r="G23" s="64">
        <v>236.0</v>
      </c>
      <c r="H23" s="65"/>
      <c r="I23" s="65"/>
      <c r="J23" s="129">
        <v>3639.0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>
        <v>602.0</v>
      </c>
      <c r="G24" s="64">
        <v>602.0</v>
      </c>
      <c r="H24" s="65"/>
      <c r="I24" s="65"/>
      <c r="J24" s="129">
        <v>3640.0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610.0</v>
      </c>
      <c r="G25" s="64" t="s">
        <v>42</v>
      </c>
      <c r="H25" s="64">
        <v>610.0</v>
      </c>
      <c r="I25" s="65"/>
      <c r="J25" s="129">
        <v>3641.0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25484</v>
      </c>
      <c r="D26" s="24"/>
      <c r="E26" s="43">
        <v>17.0</v>
      </c>
      <c r="F26" s="56">
        <v>80.0</v>
      </c>
      <c r="G26" s="64">
        <v>80.0</v>
      </c>
      <c r="H26" s="65"/>
      <c r="I26" s="65"/>
      <c r="J26" s="129">
        <v>3642.0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>
        <v>232.0</v>
      </c>
      <c r="G27" s="64">
        <v>200.0</v>
      </c>
      <c r="H27" s="64">
        <v>32.0</v>
      </c>
      <c r="I27" s="65"/>
      <c r="J27" s="129">
        <v>3643.0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>
        <v>265.0</v>
      </c>
      <c r="G28" s="64">
        <v>265.0</v>
      </c>
      <c r="H28" s="65"/>
      <c r="I28" s="65"/>
      <c r="J28" s="129">
        <v>3644.0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223.0</v>
      </c>
      <c r="G29" s="64">
        <v>223.0</v>
      </c>
      <c r="H29" s="65"/>
      <c r="I29" s="65"/>
      <c r="J29" s="129">
        <v>3645.0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297.0</v>
      </c>
      <c r="G30" s="92"/>
      <c r="H30" s="153">
        <v>297.0</v>
      </c>
      <c r="I30" s="93"/>
      <c r="J30" s="129" t="s">
        <v>94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153.0</v>
      </c>
      <c r="G31" s="93">
        <v>50.0</v>
      </c>
      <c r="H31" s="93">
        <v>103.0</v>
      </c>
      <c r="I31" s="92"/>
      <c r="J31" s="129">
        <v>3647.0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1490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257.0</v>
      </c>
      <c r="G32" s="93">
        <v>257.0</v>
      </c>
      <c r="H32" s="92"/>
      <c r="I32" s="92"/>
      <c r="J32" s="129">
        <v>3648.0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40.0</v>
      </c>
      <c r="G33" s="93">
        <v>40.0</v>
      </c>
      <c r="H33" s="92"/>
      <c r="I33" s="92"/>
      <c r="J33" s="129">
        <v>3649.0</v>
      </c>
      <c r="K33" s="24"/>
      <c r="L33" s="104">
        <f t="shared" ref="L33:M33" si="2">sum(L10:L32)</f>
        <v>6607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770</v>
      </c>
      <c r="X33" s="104">
        <f t="shared" si="3"/>
        <v>0</v>
      </c>
      <c r="Y33" s="104">
        <f>W33+X33</f>
        <v>770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1000.0</v>
      </c>
      <c r="G34" s="93">
        <v>1000.0</v>
      </c>
      <c r="H34" s="92"/>
      <c r="I34" s="92"/>
      <c r="J34" s="129">
        <v>3650.0</v>
      </c>
      <c r="K34" s="24"/>
      <c r="L34" s="106"/>
      <c r="M34" s="106"/>
      <c r="N34" s="106"/>
      <c r="O34" s="106"/>
      <c r="P34" s="85" t="s">
        <v>40</v>
      </c>
      <c r="Q34" s="107"/>
      <c r="R34" s="130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89.0</v>
      </c>
      <c r="G35" s="92"/>
      <c r="H35" s="93">
        <v>89.0</v>
      </c>
      <c r="I35" s="92"/>
      <c r="J35" s="129">
        <v>3651.0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481.0</v>
      </c>
      <c r="G36" s="93">
        <v>481.0</v>
      </c>
      <c r="H36" s="93"/>
      <c r="I36" s="92"/>
      <c r="J36" s="129">
        <v>3652.0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185.0</v>
      </c>
      <c r="G37" s="93">
        <v>185.0</v>
      </c>
      <c r="H37" s="92"/>
      <c r="I37" s="92"/>
      <c r="J37" s="129">
        <v>3653.0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473.0</v>
      </c>
      <c r="G38" s="93">
        <v>473.0</v>
      </c>
      <c r="H38" s="92"/>
      <c r="I38" s="92"/>
      <c r="J38" s="129">
        <v>3654.0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103.0</v>
      </c>
      <c r="G39" s="93">
        <v>103.0</v>
      </c>
      <c r="H39" s="93"/>
      <c r="I39" s="92"/>
      <c r="J39" s="129">
        <v>3655.0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90.0</v>
      </c>
      <c r="G40" s="93">
        <v>90.0</v>
      </c>
      <c r="H40" s="93"/>
      <c r="I40" s="92"/>
      <c r="J40" s="129">
        <v>3656.0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1837.0</v>
      </c>
      <c r="G41" s="93">
        <v>1837.0</v>
      </c>
      <c r="H41" s="93"/>
      <c r="I41" s="92"/>
      <c r="J41" s="129">
        <v>3657.0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1400.0</v>
      </c>
      <c r="G42" s="93">
        <v>1400.0</v>
      </c>
      <c r="H42" s="93"/>
      <c r="I42" s="92"/>
      <c r="J42" s="129">
        <v>3658.0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102.0</v>
      </c>
      <c r="G43" s="93"/>
      <c r="H43" s="93">
        <v>102.0</v>
      </c>
      <c r="I43" s="92"/>
      <c r="J43" s="129">
        <v>3659.0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350.0</v>
      </c>
      <c r="G44" s="92"/>
      <c r="H44" s="153">
        <v>350.0</v>
      </c>
      <c r="I44" s="92"/>
      <c r="J44" s="129" t="s">
        <v>95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205.0</v>
      </c>
      <c r="G45" s="93">
        <v>205.0</v>
      </c>
      <c r="H45" s="92"/>
      <c r="I45" s="92"/>
      <c r="J45" s="129">
        <v>3661.0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269.0</v>
      </c>
      <c r="G46" s="93">
        <v>269.0</v>
      </c>
      <c r="H46" s="92"/>
      <c r="I46" s="92"/>
      <c r="J46" s="129">
        <v>3662.0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170.0</v>
      </c>
      <c r="G47" s="93">
        <v>170.0</v>
      </c>
      <c r="H47" s="93"/>
      <c r="I47" s="92"/>
      <c r="J47" s="129">
        <v>3663.0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379.0</v>
      </c>
      <c r="G48" s="92"/>
      <c r="H48" s="93">
        <v>379.0</v>
      </c>
      <c r="I48" s="92"/>
      <c r="J48" s="129">
        <v>3664.0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224.0</v>
      </c>
      <c r="G49" s="92"/>
      <c r="H49" s="93">
        <v>224.0</v>
      </c>
      <c r="I49" s="92"/>
      <c r="J49" s="129">
        <v>3665.0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583.0</v>
      </c>
      <c r="G50" s="93">
        <v>583.0</v>
      </c>
      <c r="H50" s="93"/>
      <c r="I50" s="92"/>
      <c r="J50" s="129">
        <v>3666.0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375.0</v>
      </c>
      <c r="G51" s="93">
        <v>375.0</v>
      </c>
      <c r="H51" s="92"/>
      <c r="I51" s="92"/>
      <c r="J51" s="129">
        <v>3667.0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232.0</v>
      </c>
      <c r="G52" s="93">
        <v>232.0</v>
      </c>
      <c r="H52" s="92"/>
      <c r="I52" s="92"/>
      <c r="J52" s="129">
        <v>3668.0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151.0</v>
      </c>
      <c r="G53" s="93">
        <v>151.0</v>
      </c>
      <c r="H53" s="92"/>
      <c r="I53" s="92"/>
      <c r="J53" s="129">
        <v>3669.0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169.0</v>
      </c>
      <c r="G54" s="93">
        <v>169.0</v>
      </c>
      <c r="H54" s="92"/>
      <c r="I54" s="92"/>
      <c r="J54" s="129">
        <v>3670.0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461.0</v>
      </c>
      <c r="G55" s="93">
        <v>461.0</v>
      </c>
      <c r="H55" s="92"/>
      <c r="I55" s="92"/>
      <c r="J55" s="129">
        <v>3671.0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21.0</v>
      </c>
      <c r="G56" s="93">
        <v>21.0</v>
      </c>
      <c r="H56" s="92"/>
      <c r="I56" s="92"/>
      <c r="J56" s="129">
        <v>3672.0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1880.0</v>
      </c>
      <c r="G57" s="93" t="s">
        <v>42</v>
      </c>
      <c r="H57" s="153">
        <v>1880.0</v>
      </c>
      <c r="I57" s="92"/>
      <c r="J57" s="129" t="s">
        <v>96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9.0</v>
      </c>
      <c r="G58" s="92"/>
      <c r="H58" s="93">
        <v>9.0</v>
      </c>
      <c r="I58" s="92"/>
      <c r="J58" s="129">
        <v>3674.0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193.0</v>
      </c>
      <c r="G59" s="93">
        <v>193.0</v>
      </c>
      <c r="H59" s="92"/>
      <c r="I59" s="92"/>
      <c r="J59" s="129">
        <v>3675.0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388.0</v>
      </c>
      <c r="G60" s="93">
        <v>388.0</v>
      </c>
      <c r="H60" s="92"/>
      <c r="I60" s="92"/>
      <c r="J60" s="129">
        <v>3676.0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52.0</v>
      </c>
      <c r="G61" s="93">
        <v>52.0</v>
      </c>
      <c r="H61" s="92"/>
      <c r="I61" s="92"/>
      <c r="J61" s="129">
        <v>3677.0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350.0</v>
      </c>
      <c r="G62" s="93">
        <v>350.0</v>
      </c>
      <c r="H62" s="92"/>
      <c r="I62" s="92"/>
      <c r="J62" s="129">
        <v>3678.0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22.0</v>
      </c>
      <c r="G63" s="93">
        <v>22.0</v>
      </c>
      <c r="H63" s="92"/>
      <c r="I63" s="92"/>
      <c r="J63" s="129">
        <v>3679.0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1215.0</v>
      </c>
      <c r="G64" s="93">
        <v>700.0</v>
      </c>
      <c r="H64" s="93">
        <v>515.0</v>
      </c>
      <c r="I64" s="92"/>
      <c r="J64" s="129">
        <v>3680.0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18.0</v>
      </c>
      <c r="G65" s="93">
        <v>18.0</v>
      </c>
      <c r="H65" s="92"/>
      <c r="I65" s="92"/>
      <c r="J65" s="129">
        <v>3681.0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29.0</v>
      </c>
      <c r="G66" s="92"/>
      <c r="H66" s="93">
        <v>29.0</v>
      </c>
      <c r="I66" s="92"/>
      <c r="J66" s="129">
        <v>3682.0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1296.0</v>
      </c>
      <c r="G67" s="92"/>
      <c r="H67" s="92"/>
      <c r="I67" s="93">
        <v>1296.0</v>
      </c>
      <c r="J67" s="129">
        <v>3683.0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182.0</v>
      </c>
      <c r="G68" s="93">
        <v>175.0</v>
      </c>
      <c r="H68" s="93">
        <v>7.0</v>
      </c>
      <c r="I68" s="92"/>
      <c r="J68" s="129">
        <v>3684.0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65.0</v>
      </c>
      <c r="G69" s="92"/>
      <c r="H69" s="93">
        <v>65.0</v>
      </c>
      <c r="I69" s="92"/>
      <c r="J69" s="129">
        <v>3685.0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410.0</v>
      </c>
      <c r="G70" s="92"/>
      <c r="H70" s="93">
        <v>410.0</v>
      </c>
      <c r="I70" s="92"/>
      <c r="J70" s="129">
        <v>3686.0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42.0</v>
      </c>
      <c r="G71" s="93">
        <v>42.0</v>
      </c>
      <c r="H71" s="92"/>
      <c r="I71" s="92"/>
      <c r="J71" s="129">
        <v>3687.0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7.0</v>
      </c>
      <c r="G72" s="93">
        <v>7.0</v>
      </c>
      <c r="H72" s="92"/>
      <c r="I72" s="92"/>
      <c r="J72" s="129">
        <v>3688.0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465.0</v>
      </c>
      <c r="G73" s="93">
        <v>465.0</v>
      </c>
      <c r="H73" s="92"/>
      <c r="I73" s="92"/>
      <c r="J73" s="129">
        <v>3689.0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34.0</v>
      </c>
      <c r="G74" s="93">
        <v>34.0</v>
      </c>
      <c r="H74" s="92"/>
      <c r="I74" s="92"/>
      <c r="J74" s="129">
        <v>3690.0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110.0</v>
      </c>
      <c r="G75" s="92"/>
      <c r="H75" s="93">
        <v>110.0</v>
      </c>
      <c r="I75" s="92"/>
      <c r="J75" s="129">
        <v>3691.0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135.0</v>
      </c>
      <c r="G76" s="92"/>
      <c r="H76" s="93">
        <v>135.0</v>
      </c>
      <c r="I76" s="92"/>
      <c r="J76" s="129">
        <v>3692.0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36.0</v>
      </c>
      <c r="G77" s="92"/>
      <c r="H77" s="93">
        <v>36.0</v>
      </c>
      <c r="I77" s="92"/>
      <c r="J77" s="129">
        <v>3693.0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234.0</v>
      </c>
      <c r="G78" s="93">
        <v>234.0</v>
      </c>
      <c r="H78" s="92"/>
      <c r="I78" s="92"/>
      <c r="J78" s="129">
        <v>3694.0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390.0</v>
      </c>
      <c r="G79" s="93">
        <v>390.0</v>
      </c>
      <c r="H79" s="92"/>
      <c r="I79" s="92"/>
      <c r="J79" s="129">
        <v>3695.0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24.0</v>
      </c>
      <c r="G80" s="92"/>
      <c r="H80" s="93">
        <v>24.0</v>
      </c>
      <c r="I80" s="92"/>
      <c r="J80" s="129">
        <v>3696.0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29">
        <v>3697.0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29">
        <v>3698.0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29">
        <v>3699.0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29">
        <v>3700.0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29">
        <v>3701.0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29">
        <v>3702.0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29">
        <v>3703.0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29">
        <v>3704.0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29">
        <v>3705.0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29">
        <v>3706.0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29">
        <v>3707.0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29">
        <v>3708.0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29">
        <v>3709.0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29">
        <v>3710.0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25484</v>
      </c>
      <c r="G97" s="123">
        <f t="shared" si="4"/>
        <v>17263</v>
      </c>
      <c r="H97" s="123">
        <f t="shared" si="4"/>
        <v>6925</v>
      </c>
      <c r="I97" s="123">
        <f t="shared" si="4"/>
        <v>1296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62038.0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290447.0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32815.0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36306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10998</v>
      </c>
      <c r="D10" s="24"/>
      <c r="E10" s="43">
        <v>1.0</v>
      </c>
      <c r="F10" s="44">
        <v>75.0</v>
      </c>
      <c r="G10" s="45">
        <v>75.0</v>
      </c>
      <c r="H10" s="45"/>
      <c r="I10" s="45"/>
      <c r="J10" s="129">
        <v>3697.0</v>
      </c>
      <c r="K10" s="24"/>
      <c r="L10" s="47">
        <v>1296.0</v>
      </c>
      <c r="M10" s="47"/>
      <c r="N10" s="47">
        <v>3683.0</v>
      </c>
      <c r="O10" s="49"/>
      <c r="P10" s="85" t="s">
        <v>97</v>
      </c>
      <c r="Q10" s="51"/>
      <c r="R10" s="52">
        <v>60.0</v>
      </c>
      <c r="S10" s="53"/>
      <c r="T10" s="54"/>
      <c r="U10" s="55"/>
      <c r="V10" s="24"/>
      <c r="W10" s="47">
        <v>523.0</v>
      </c>
      <c r="X10" s="47"/>
      <c r="Y10" s="47">
        <v>3719.0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12005</v>
      </c>
      <c r="D11" s="24"/>
      <c r="E11" s="43">
        <v>2.0</v>
      </c>
      <c r="F11" s="56">
        <v>217.0</v>
      </c>
      <c r="G11" s="57"/>
      <c r="H11" s="58">
        <v>217.0</v>
      </c>
      <c r="I11" s="59"/>
      <c r="J11" s="129">
        <v>3698.0</v>
      </c>
      <c r="K11" s="24"/>
      <c r="L11" s="48"/>
      <c r="M11" s="48"/>
      <c r="N11" s="48"/>
      <c r="O11" s="49"/>
      <c r="P11" s="72" t="s">
        <v>98</v>
      </c>
      <c r="Q11" s="51"/>
      <c r="R11" s="52">
        <v>10.0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13867</v>
      </c>
      <c r="D12" s="24"/>
      <c r="E12" s="43">
        <v>3.0</v>
      </c>
      <c r="F12" s="63">
        <v>71.0</v>
      </c>
      <c r="G12" s="64">
        <v>71.0</v>
      </c>
      <c r="H12" s="64"/>
      <c r="I12" s="65"/>
      <c r="J12" s="129">
        <v>3699.0</v>
      </c>
      <c r="K12" s="24"/>
      <c r="L12" s="48"/>
      <c r="M12" s="48"/>
      <c r="N12" s="48"/>
      <c r="O12" s="49"/>
      <c r="P12" s="72" t="s">
        <v>74</v>
      </c>
      <c r="Q12" s="51"/>
      <c r="R12" s="52">
        <v>1000.0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1296</v>
      </c>
      <c r="D13" s="24"/>
      <c r="E13" s="43">
        <v>4.0</v>
      </c>
      <c r="F13" s="56">
        <v>260.0</v>
      </c>
      <c r="G13" s="64">
        <v>260.0</v>
      </c>
      <c r="H13" s="65"/>
      <c r="I13" s="65"/>
      <c r="J13" s="129">
        <v>3700.0</v>
      </c>
      <c r="K13" s="24"/>
      <c r="L13" s="48"/>
      <c r="M13" s="48"/>
      <c r="N13" s="48"/>
      <c r="O13" s="49"/>
      <c r="P13" s="72" t="s">
        <v>99</v>
      </c>
      <c r="Q13" s="51"/>
      <c r="R13" s="52">
        <v>100.0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206.0</v>
      </c>
      <c r="G14" s="64">
        <v>206.0</v>
      </c>
      <c r="H14" s="65"/>
      <c r="I14" s="65"/>
      <c r="J14" s="129">
        <v>3701.0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523</v>
      </c>
      <c r="D15" s="24"/>
      <c r="E15" s="43">
        <v>6.0</v>
      </c>
      <c r="F15" s="56">
        <v>105.0</v>
      </c>
      <c r="G15" s="64">
        <v>105.0</v>
      </c>
      <c r="H15" s="64"/>
      <c r="I15" s="65"/>
      <c r="J15" s="129">
        <v>3702.0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1170</v>
      </c>
      <c r="D16" s="24"/>
      <c r="E16" s="43">
        <v>7.0</v>
      </c>
      <c r="F16" s="56">
        <v>44.0</v>
      </c>
      <c r="G16" s="64"/>
      <c r="H16" s="64">
        <v>44.0</v>
      </c>
      <c r="I16" s="65"/>
      <c r="J16" s="129">
        <v>3703.0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1170</v>
      </c>
      <c r="D17" s="24"/>
      <c r="E17" s="43">
        <v>8.0</v>
      </c>
      <c r="F17" s="56">
        <v>42.0</v>
      </c>
      <c r="G17" s="64"/>
      <c r="H17" s="64">
        <v>42.0</v>
      </c>
      <c r="I17" s="65"/>
      <c r="J17" s="129">
        <v>3704.0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10.0</v>
      </c>
      <c r="G18" s="64">
        <v>10.0</v>
      </c>
      <c r="H18" s="64"/>
      <c r="I18" s="65"/>
      <c r="J18" s="129">
        <v>3705.0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311.0</v>
      </c>
      <c r="G19" s="64"/>
      <c r="H19" s="65"/>
      <c r="I19" s="64">
        <v>311.0</v>
      </c>
      <c r="J19" s="129" t="s">
        <v>100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45386</v>
      </c>
      <c r="D20" s="24"/>
      <c r="E20" s="43">
        <v>11.0</v>
      </c>
      <c r="F20" s="56">
        <v>491.0</v>
      </c>
      <c r="G20" s="64">
        <v>491.0</v>
      </c>
      <c r="H20" s="64"/>
      <c r="I20" s="65"/>
      <c r="J20" s="129">
        <v>3707.0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302452</v>
      </c>
      <c r="D21" s="24"/>
      <c r="E21" s="43">
        <v>12.0</v>
      </c>
      <c r="F21" s="56">
        <v>115.0</v>
      </c>
      <c r="G21" s="64">
        <v>110.0</v>
      </c>
      <c r="H21" s="64">
        <v>5.0</v>
      </c>
      <c r="I21" s="65"/>
      <c r="J21" s="129">
        <v>3708.0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69662</v>
      </c>
      <c r="D22" s="24"/>
      <c r="E22" s="43">
        <v>13.0</v>
      </c>
      <c r="F22" s="56">
        <v>287.0</v>
      </c>
      <c r="G22" s="64"/>
      <c r="H22" s="64">
        <v>287.0</v>
      </c>
      <c r="I22" s="65"/>
      <c r="J22" s="129">
        <v>3709.0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9">
        <v>69286.0</v>
      </c>
      <c r="D23" s="24"/>
      <c r="E23" s="43">
        <v>14.0</v>
      </c>
      <c r="F23" s="56">
        <v>229.0</v>
      </c>
      <c r="G23" s="64">
        <v>229.0</v>
      </c>
      <c r="H23" s="65"/>
      <c r="I23" s="65"/>
      <c r="J23" s="129">
        <v>3710.0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376</v>
      </c>
      <c r="D24" s="24"/>
      <c r="E24" s="43">
        <v>15.0</v>
      </c>
      <c r="F24" s="56">
        <v>332.0</v>
      </c>
      <c r="G24" s="64">
        <v>300.0</v>
      </c>
      <c r="H24" s="154">
        <v>32.0</v>
      </c>
      <c r="I24" s="65"/>
      <c r="J24" s="129">
        <v>3711.0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50.0</v>
      </c>
      <c r="G25" s="64">
        <v>50.0</v>
      </c>
      <c r="H25" s="65"/>
      <c r="I25" s="65"/>
      <c r="J25" s="129">
        <v>3712.0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36829</v>
      </c>
      <c r="D26" s="24"/>
      <c r="E26" s="43">
        <v>17.0</v>
      </c>
      <c r="F26" s="56">
        <v>50.0</v>
      </c>
      <c r="G26" s="64">
        <v>50.0</v>
      </c>
      <c r="H26" s="65"/>
      <c r="I26" s="65"/>
      <c r="J26" s="129">
        <v>3713.0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68.0</v>
      </c>
      <c r="D27" s="24"/>
      <c r="E27" s="43">
        <v>18.0</v>
      </c>
      <c r="F27" s="56">
        <v>50.0</v>
      </c>
      <c r="G27" s="64">
        <v>50.0</v>
      </c>
      <c r="H27" s="65"/>
      <c r="I27" s="65"/>
      <c r="J27" s="129">
        <v>3714.0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541.6029412</v>
      </c>
      <c r="D28" s="24"/>
      <c r="E28" s="43">
        <v>19.0</v>
      </c>
      <c r="F28" s="56">
        <v>269.0</v>
      </c>
      <c r="G28" s="64">
        <v>260.0</v>
      </c>
      <c r="H28" s="64">
        <v>9.0</v>
      </c>
      <c r="I28" s="65"/>
      <c r="J28" s="129">
        <v>3715.0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11.0</v>
      </c>
      <c r="G29" s="64">
        <v>11.0</v>
      </c>
      <c r="H29" s="65"/>
      <c r="I29" s="65"/>
      <c r="J29" s="129">
        <v>3716.0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500.0</v>
      </c>
      <c r="G30" s="92"/>
      <c r="H30" s="93">
        <v>500.0</v>
      </c>
      <c r="I30" s="93"/>
      <c r="J30" s="129">
        <v>3717.0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157.0</v>
      </c>
      <c r="G31" s="93"/>
      <c r="H31" s="155">
        <v>157.0</v>
      </c>
      <c r="I31" s="92"/>
      <c r="J31" s="129">
        <v>3718.0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1170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858.0</v>
      </c>
      <c r="G32" s="93"/>
      <c r="H32" s="93">
        <v>858.0</v>
      </c>
      <c r="I32" s="92"/>
      <c r="J32" s="129">
        <v>3719.0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80.0</v>
      </c>
      <c r="G33" s="93">
        <v>80.0</v>
      </c>
      <c r="H33" s="92"/>
      <c r="I33" s="92"/>
      <c r="J33" s="129">
        <v>3720.0</v>
      </c>
      <c r="K33" s="24"/>
      <c r="L33" s="104">
        <f t="shared" ref="L33:M33" si="2">sum(L10:L32)</f>
        <v>1296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523</v>
      </c>
      <c r="X33" s="104">
        <f t="shared" si="3"/>
        <v>0</v>
      </c>
      <c r="Y33" s="104">
        <f>W33+X33</f>
        <v>523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41.0</v>
      </c>
      <c r="G34" s="93">
        <v>41.0</v>
      </c>
      <c r="H34" s="92"/>
      <c r="I34" s="92"/>
      <c r="J34" s="129">
        <v>3721.0</v>
      </c>
      <c r="K34" s="24"/>
      <c r="L34" s="106"/>
      <c r="M34" s="106"/>
      <c r="N34" s="106"/>
      <c r="O34" s="106"/>
      <c r="P34" s="85" t="s">
        <v>40</v>
      </c>
      <c r="Q34" s="107"/>
      <c r="R34" s="130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155.0</v>
      </c>
      <c r="G35" s="92"/>
      <c r="H35" s="93">
        <v>155.0</v>
      </c>
      <c r="I35" s="92"/>
      <c r="J35" s="129">
        <v>3722.0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110.0</v>
      </c>
      <c r="G36" s="93">
        <v>110.0</v>
      </c>
      <c r="H36" s="93"/>
      <c r="I36" s="92"/>
      <c r="J36" s="129">
        <v>3723.0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414.0</v>
      </c>
      <c r="G37" s="93">
        <v>414.0</v>
      </c>
      <c r="H37" s="93">
        <v>0.0</v>
      </c>
      <c r="I37" s="92"/>
      <c r="J37" s="129">
        <v>3724.0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1130.0</v>
      </c>
      <c r="G38" s="93">
        <v>1130.0</v>
      </c>
      <c r="H38" s="92"/>
      <c r="I38" s="92"/>
      <c r="J38" s="129">
        <v>3725.0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299.0</v>
      </c>
      <c r="G39" s="93"/>
      <c r="H39" s="93">
        <v>299.0</v>
      </c>
      <c r="I39" s="93"/>
      <c r="J39" s="129">
        <v>3726.0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93.0</v>
      </c>
      <c r="G40" s="93"/>
      <c r="H40" s="93">
        <v>93.0</v>
      </c>
      <c r="I40" s="92"/>
      <c r="J40" s="129">
        <v>3727.0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222.0</v>
      </c>
      <c r="G41" s="92"/>
      <c r="H41" s="153">
        <v>222.0</v>
      </c>
      <c r="I41" s="92"/>
      <c r="J41" s="129" t="s">
        <v>101</v>
      </c>
      <c r="K41" s="24"/>
      <c r="L41" s="112"/>
      <c r="M41" s="112"/>
      <c r="N41" s="112"/>
      <c r="O41" s="112"/>
      <c r="P41" s="156" t="s">
        <v>102</v>
      </c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1058.0</v>
      </c>
      <c r="G42" s="93"/>
      <c r="H42" s="93">
        <v>1058.0</v>
      </c>
      <c r="I42" s="92"/>
      <c r="J42" s="129">
        <v>3729.0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433.0</v>
      </c>
      <c r="G43" s="93">
        <v>433.0</v>
      </c>
      <c r="H43" s="92"/>
      <c r="I43" s="92"/>
      <c r="J43" s="129">
        <v>3730.0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310.0</v>
      </c>
      <c r="G44" s="93">
        <v>310.0</v>
      </c>
      <c r="H44" s="93"/>
      <c r="I44" s="92"/>
      <c r="J44" s="129">
        <v>3731.0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3500.0</v>
      </c>
      <c r="G45" s="93"/>
      <c r="H45" s="93">
        <v>3500.0</v>
      </c>
      <c r="I45" s="92"/>
      <c r="J45" s="129">
        <v>3732.0</v>
      </c>
      <c r="K45" s="24"/>
      <c r="L45" s="112"/>
      <c r="M45" s="112"/>
      <c r="N45" s="112"/>
      <c r="O45" s="112"/>
      <c r="P45" s="157" t="s">
        <v>103</v>
      </c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41.0</v>
      </c>
      <c r="G46" s="93"/>
      <c r="H46" s="93">
        <v>41.0</v>
      </c>
      <c r="I46" s="92"/>
      <c r="J46" s="129">
        <v>3733.0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79.0</v>
      </c>
      <c r="G47" s="93"/>
      <c r="H47" s="93">
        <v>79.0</v>
      </c>
      <c r="I47" s="92"/>
      <c r="J47" s="129">
        <v>3734.0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96.0</v>
      </c>
      <c r="G48" s="93">
        <v>96.0</v>
      </c>
      <c r="H48" s="92"/>
      <c r="I48" s="92"/>
      <c r="J48" s="129">
        <v>3735.0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43.0</v>
      </c>
      <c r="G49" s="93">
        <v>43.0</v>
      </c>
      <c r="H49" s="92"/>
      <c r="I49" s="92"/>
      <c r="J49" s="129">
        <v>3736.0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3333.0</v>
      </c>
      <c r="G50" s="92"/>
      <c r="H50" s="93"/>
      <c r="I50" s="93">
        <v>3333.0</v>
      </c>
      <c r="J50" s="129">
        <v>3737.0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1936.0</v>
      </c>
      <c r="G51" s="93">
        <v>1936.0</v>
      </c>
      <c r="H51" s="92"/>
      <c r="I51" s="92"/>
      <c r="J51" s="129">
        <v>3738.0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219.0</v>
      </c>
      <c r="G52" s="93">
        <v>219.0</v>
      </c>
      <c r="H52" s="92"/>
      <c r="I52" s="92"/>
      <c r="J52" s="129">
        <v>3739.0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79.0</v>
      </c>
      <c r="G53" s="93">
        <v>79.0</v>
      </c>
      <c r="H53" s="93" t="s">
        <v>42</v>
      </c>
      <c r="I53" s="92"/>
      <c r="J53" s="129">
        <v>3740.0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82.0</v>
      </c>
      <c r="G54" s="93">
        <v>82.0</v>
      </c>
      <c r="H54" s="92"/>
      <c r="I54" s="92"/>
      <c r="J54" s="129">
        <v>3741.0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110.0</v>
      </c>
      <c r="G55" s="93">
        <v>110.0</v>
      </c>
      <c r="H55" s="92"/>
      <c r="I55" s="92"/>
      <c r="J55" s="129">
        <v>3742.0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2090.0</v>
      </c>
      <c r="G56" s="93">
        <v>2090.0</v>
      </c>
      <c r="H56" s="92"/>
      <c r="I56" s="92"/>
      <c r="J56" s="129">
        <v>3743.0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482.0</v>
      </c>
      <c r="G57" s="93"/>
      <c r="H57" s="93">
        <v>482.0</v>
      </c>
      <c r="I57" s="92"/>
      <c r="J57" s="129">
        <v>3744.0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26.0</v>
      </c>
      <c r="G58" s="93">
        <v>26.0</v>
      </c>
      <c r="H58" s="92"/>
      <c r="I58" s="92"/>
      <c r="J58" s="129">
        <v>3745.0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35.0</v>
      </c>
      <c r="G59" s="93"/>
      <c r="H59" s="93">
        <v>35.0</v>
      </c>
      <c r="I59" s="92"/>
      <c r="J59" s="129">
        <v>3746.0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250.0</v>
      </c>
      <c r="G60" s="92"/>
      <c r="H60" s="93">
        <v>250.0</v>
      </c>
      <c r="I60" s="92"/>
      <c r="J60" s="129">
        <v>3747.0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676.0</v>
      </c>
      <c r="G61" s="92"/>
      <c r="H61" s="93">
        <v>676.0</v>
      </c>
      <c r="I61" s="92"/>
      <c r="J61" s="129">
        <v>3748.0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521.0</v>
      </c>
      <c r="G62" s="92"/>
      <c r="H62" s="93">
        <v>521.0</v>
      </c>
      <c r="I62" s="92"/>
      <c r="J62" s="129">
        <v>3749.0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315.0</v>
      </c>
      <c r="G63" s="92"/>
      <c r="H63" s="93">
        <v>315.0</v>
      </c>
      <c r="I63" s="92"/>
      <c r="J63" s="129">
        <v>3750.0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1223.0</v>
      </c>
      <c r="G64" s="92"/>
      <c r="H64" s="92"/>
      <c r="I64" s="93">
        <v>1223.0</v>
      </c>
      <c r="J64" s="129" t="s">
        <v>104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1063.0</v>
      </c>
      <c r="G65" s="93">
        <v>1000.0</v>
      </c>
      <c r="H65" s="93">
        <v>63.0</v>
      </c>
      <c r="I65" s="92"/>
      <c r="J65" s="129">
        <v>3752.0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54.0</v>
      </c>
      <c r="G66" s="92"/>
      <c r="H66" s="93">
        <v>54.0</v>
      </c>
      <c r="I66" s="92"/>
      <c r="J66" s="129">
        <v>3753.0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350.0</v>
      </c>
      <c r="G67" s="93">
        <v>350.0</v>
      </c>
      <c r="H67" s="92"/>
      <c r="I67" s="93" t="s">
        <v>42</v>
      </c>
      <c r="J67" s="129">
        <v>3754.0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9000.0</v>
      </c>
      <c r="G68" s="92"/>
      <c r="H68" s="92"/>
      <c r="I68" s="93">
        <v>9000.0</v>
      </c>
      <c r="J68" s="129" t="s">
        <v>105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280.0</v>
      </c>
      <c r="G69" s="93">
        <v>280.0</v>
      </c>
      <c r="H69" s="92"/>
      <c r="I69" s="92"/>
      <c r="J69" s="129">
        <v>3756.0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298.0</v>
      </c>
      <c r="G70" s="92"/>
      <c r="H70" s="93">
        <v>298.0</v>
      </c>
      <c r="I70" s="92"/>
      <c r="J70" s="129">
        <v>3757.0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146.0</v>
      </c>
      <c r="G71" s="92"/>
      <c r="H71" s="93">
        <v>146.0</v>
      </c>
      <c r="I71" s="92"/>
      <c r="J71" s="129">
        <v>3758.0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102.0</v>
      </c>
      <c r="G72" s="92"/>
      <c r="H72" s="93">
        <v>102.0</v>
      </c>
      <c r="I72" s="92"/>
      <c r="J72" s="129">
        <v>3759.0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47.0</v>
      </c>
      <c r="G73" s="93">
        <v>47.0</v>
      </c>
      <c r="H73" s="92"/>
      <c r="I73" s="92"/>
      <c r="J73" s="129">
        <v>3760.0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841.0</v>
      </c>
      <c r="G74" s="92"/>
      <c r="H74" s="93">
        <v>841.0</v>
      </c>
      <c r="I74" s="92"/>
      <c r="J74" s="129">
        <v>3761.0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60.0</v>
      </c>
      <c r="G75" s="92"/>
      <c r="H75" s="93">
        <v>60.0</v>
      </c>
      <c r="I75" s="92"/>
      <c r="J75" s="129">
        <v>3762.0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7.0</v>
      </c>
      <c r="G76" s="93">
        <v>7.0</v>
      </c>
      <c r="H76" s="93" t="s">
        <v>42</v>
      </c>
      <c r="I76" s="92"/>
      <c r="J76" s="129">
        <v>3763.0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360.0</v>
      </c>
      <c r="G77" s="93">
        <v>360.0</v>
      </c>
      <c r="H77" s="93" t="s">
        <v>42</v>
      </c>
      <c r="I77" s="92"/>
      <c r="J77" s="129">
        <v>3764.0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29">
        <v>3765.0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29">
        <v>3766.0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29">
        <v>3767.0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29">
        <v>3768.0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29">
        <v>3769.0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29">
        <v>3770.0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29">
        <v>3771.0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29">
        <v>3772.0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29">
        <v>3773.0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29">
        <v>3774.0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29">
        <v>3775.0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54" t="s">
        <v>42</v>
      </c>
      <c r="I89" s="61"/>
      <c r="J89" s="129">
        <v>3776.0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54" t="s">
        <v>42</v>
      </c>
      <c r="I90" s="61"/>
      <c r="J90" s="129">
        <v>3777.0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54" t="s">
        <v>42</v>
      </c>
      <c r="I91" s="61"/>
      <c r="J91" s="129">
        <v>3778.0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158">
        <v>564.0</v>
      </c>
      <c r="I92" s="61"/>
      <c r="J92" s="129" t="s">
        <v>106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54" t="s">
        <v>42</v>
      </c>
      <c r="I93" s="61"/>
      <c r="J93" s="129">
        <v>3780.0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54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54" t="s">
        <v>42</v>
      </c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54" t="s">
        <v>42</v>
      </c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36829</v>
      </c>
      <c r="G97" s="123">
        <f t="shared" si="4"/>
        <v>11521</v>
      </c>
      <c r="H97" s="123">
        <f t="shared" si="4"/>
        <v>12005</v>
      </c>
      <c r="I97" s="123">
        <f t="shared" si="4"/>
        <v>13867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18">
        <v>2727.0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69459.0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302264.0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45736.0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15600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5730</v>
      </c>
      <c r="D10" s="24"/>
      <c r="E10" s="43">
        <v>1.0</v>
      </c>
      <c r="F10" s="44">
        <v>145.0</v>
      </c>
      <c r="G10" s="45">
        <v>145.0</v>
      </c>
      <c r="H10" s="45"/>
      <c r="I10" s="45"/>
      <c r="J10" s="129">
        <v>3765.0</v>
      </c>
      <c r="K10" s="24"/>
      <c r="L10" s="47"/>
      <c r="M10" s="47"/>
      <c r="N10" s="48"/>
      <c r="O10" s="49"/>
      <c r="P10" s="85" t="s">
        <v>107</v>
      </c>
      <c r="Q10" s="51"/>
      <c r="R10" s="52">
        <v>150.0</v>
      </c>
      <c r="S10" s="53"/>
      <c r="T10" s="54"/>
      <c r="U10" s="55"/>
      <c r="V10" s="24"/>
      <c r="W10" s="47">
        <v>311.0</v>
      </c>
      <c r="X10" s="47"/>
      <c r="Y10" s="47">
        <v>3706.0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9861</v>
      </c>
      <c r="D11" s="24"/>
      <c r="E11" s="43">
        <v>2.0</v>
      </c>
      <c r="F11" s="56">
        <v>76.0</v>
      </c>
      <c r="G11" s="57"/>
      <c r="H11" s="58">
        <v>76.0</v>
      </c>
      <c r="I11" s="59"/>
      <c r="J11" s="129">
        <v>3766.0</v>
      </c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7">
        <v>114.0</v>
      </c>
      <c r="X11" s="47"/>
      <c r="Y11" s="47">
        <v>3252.0</v>
      </c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399</v>
      </c>
      <c r="D12" s="24"/>
      <c r="E12" s="43">
        <v>3.0</v>
      </c>
      <c r="F12" s="63">
        <v>145.0</v>
      </c>
      <c r="G12" s="64">
        <v>145.0</v>
      </c>
      <c r="H12" s="64"/>
      <c r="I12" s="65"/>
      <c r="J12" s="129">
        <v>3767.0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494.0</v>
      </c>
      <c r="G13" s="64" t="s">
        <v>42</v>
      </c>
      <c r="H13" s="64">
        <v>494.0</v>
      </c>
      <c r="I13" s="65"/>
      <c r="J13" s="129">
        <v>3768.0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1563.0</v>
      </c>
      <c r="G14" s="64">
        <v>1500.0</v>
      </c>
      <c r="H14" s="64">
        <v>63.0</v>
      </c>
      <c r="I14" s="65"/>
      <c r="J14" s="129">
        <v>3769.0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425</v>
      </c>
      <c r="D15" s="24"/>
      <c r="E15" s="43">
        <v>6.0</v>
      </c>
      <c r="F15" s="56">
        <v>298.0</v>
      </c>
      <c r="G15" s="64">
        <v>298.0</v>
      </c>
      <c r="H15" s="64"/>
      <c r="I15" s="65"/>
      <c r="J15" s="129">
        <v>3770.0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150</v>
      </c>
      <c r="D16" s="24"/>
      <c r="E16" s="43">
        <v>7.0</v>
      </c>
      <c r="F16" s="56">
        <v>1036.0</v>
      </c>
      <c r="G16" s="64">
        <v>1036.0</v>
      </c>
      <c r="H16" s="64"/>
      <c r="I16" s="64"/>
      <c r="J16" s="129">
        <v>3771.0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150</v>
      </c>
      <c r="D17" s="24"/>
      <c r="E17" s="43">
        <v>8.0</v>
      </c>
      <c r="F17" s="56">
        <v>10.0</v>
      </c>
      <c r="G17" s="64">
        <v>10.0</v>
      </c>
      <c r="H17" s="64"/>
      <c r="I17" s="65"/>
      <c r="J17" s="129">
        <v>3772.0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108.0</v>
      </c>
      <c r="G18" s="64" t="s">
        <v>42</v>
      </c>
      <c r="H18" s="64">
        <v>108.0</v>
      </c>
      <c r="I18" s="65"/>
      <c r="J18" s="129">
        <v>3773.0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5.0</v>
      </c>
      <c r="G19" s="64">
        <v>5.0</v>
      </c>
      <c r="H19" s="65"/>
      <c r="I19" s="65"/>
      <c r="J19" s="129">
        <v>3774.0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46135</v>
      </c>
      <c r="D20" s="24"/>
      <c r="E20" s="43">
        <v>11.0</v>
      </c>
      <c r="F20" s="56">
        <v>37.0</v>
      </c>
      <c r="G20" s="64">
        <v>37.0</v>
      </c>
      <c r="H20" s="64"/>
      <c r="I20" s="65"/>
      <c r="J20" s="129">
        <v>3775.0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312125</v>
      </c>
      <c r="D21" s="24"/>
      <c r="E21" s="43">
        <v>12.0</v>
      </c>
      <c r="F21" s="56">
        <v>65.0</v>
      </c>
      <c r="G21" s="64">
        <v>65.0</v>
      </c>
      <c r="H21" s="64"/>
      <c r="I21" s="65"/>
      <c r="J21" s="129">
        <v>3776.0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75039</v>
      </c>
      <c r="D22" s="24"/>
      <c r="E22" s="43">
        <v>13.0</v>
      </c>
      <c r="F22" s="56">
        <v>51.0</v>
      </c>
      <c r="G22" s="64">
        <v>51.0</v>
      </c>
      <c r="H22" s="64"/>
      <c r="I22" s="65"/>
      <c r="J22" s="129">
        <v>3777.0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9">
        <v>75039.0</v>
      </c>
      <c r="D23" s="24"/>
      <c r="E23" s="43">
        <v>14.0</v>
      </c>
      <c r="F23" s="56">
        <v>20.0</v>
      </c>
      <c r="G23" s="64">
        <v>20.0</v>
      </c>
      <c r="H23" s="65"/>
      <c r="I23" s="65"/>
      <c r="J23" s="129">
        <v>3778.0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>
        <v>75.0</v>
      </c>
      <c r="G24" s="64" t="s">
        <v>42</v>
      </c>
      <c r="H24" s="64">
        <v>75.0</v>
      </c>
      <c r="I24" s="65"/>
      <c r="J24" s="129">
        <v>3779.0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549.0</v>
      </c>
      <c r="G25" s="64">
        <v>549.0</v>
      </c>
      <c r="H25" s="65"/>
      <c r="I25" s="65"/>
      <c r="J25" s="129">
        <v>3780.0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16025</v>
      </c>
      <c r="D26" s="24"/>
      <c r="E26" s="43">
        <v>17.0</v>
      </c>
      <c r="F26" s="56">
        <v>2855.0</v>
      </c>
      <c r="G26" s="64"/>
      <c r="H26" s="64">
        <v>2855.0</v>
      </c>
      <c r="I26" s="65"/>
      <c r="J26" s="129">
        <v>3781.0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54.0</v>
      </c>
      <c r="D27" s="24"/>
      <c r="E27" s="43">
        <v>18.0</v>
      </c>
      <c r="F27" s="56">
        <v>129.0</v>
      </c>
      <c r="G27" s="64">
        <v>129.0</v>
      </c>
      <c r="H27" s="65"/>
      <c r="I27" s="65"/>
      <c r="J27" s="129">
        <v>3782.0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296.7592593</v>
      </c>
      <c r="D28" s="24"/>
      <c r="E28" s="43">
        <v>19.0</v>
      </c>
      <c r="F28" s="56">
        <v>530.0</v>
      </c>
      <c r="G28" s="64">
        <v>130.0</v>
      </c>
      <c r="H28" s="64">
        <v>400.0</v>
      </c>
      <c r="I28" s="65"/>
      <c r="J28" s="129">
        <v>3783.0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668.0</v>
      </c>
      <c r="G29" s="64" t="s">
        <v>42</v>
      </c>
      <c r="H29" s="64">
        <v>668.0</v>
      </c>
      <c r="I29" s="65"/>
      <c r="J29" s="129">
        <v>3784.0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485.0</v>
      </c>
      <c r="G30" s="93" t="s">
        <v>42</v>
      </c>
      <c r="H30" s="93">
        <v>485.0</v>
      </c>
      <c r="I30" s="93"/>
      <c r="J30" s="129">
        <v>3785.0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107.0</v>
      </c>
      <c r="G31" s="93">
        <v>107.0</v>
      </c>
      <c r="H31" s="92"/>
      <c r="I31" s="92"/>
      <c r="J31" s="129">
        <v>3786.0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265.0</v>
      </c>
      <c r="G32" s="93"/>
      <c r="H32" s="93">
        <v>265.0</v>
      </c>
      <c r="I32" s="92"/>
      <c r="J32" s="129">
        <v>3787.0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102.0</v>
      </c>
      <c r="G33" s="93"/>
      <c r="H33" s="93">
        <v>102.0</v>
      </c>
      <c r="I33" s="92"/>
      <c r="J33" s="129">
        <v>3788.0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425</v>
      </c>
      <c r="X33" s="104">
        <f t="shared" si="3"/>
        <v>0</v>
      </c>
      <c r="Y33" s="104">
        <f>W33+X33</f>
        <v>425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68.0</v>
      </c>
      <c r="G34" s="93">
        <v>68.0</v>
      </c>
      <c r="H34" s="92"/>
      <c r="I34" s="92"/>
      <c r="J34" s="129">
        <v>3789.0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83.0</v>
      </c>
      <c r="G35" s="92"/>
      <c r="H35" s="93">
        <v>83.0</v>
      </c>
      <c r="I35" s="92"/>
      <c r="J35" s="129">
        <v>3790.0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42.0</v>
      </c>
      <c r="G36" s="93">
        <v>42.0</v>
      </c>
      <c r="H36" s="93"/>
      <c r="I36" s="92"/>
      <c r="J36" s="129">
        <v>3791.0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516.0</v>
      </c>
      <c r="G37" s="93"/>
      <c r="H37" s="93">
        <v>516.0</v>
      </c>
      <c r="I37" s="92"/>
      <c r="J37" s="129">
        <v>3792.0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54.0</v>
      </c>
      <c r="G38" s="93">
        <v>54.0</v>
      </c>
      <c r="H38" s="92"/>
      <c r="I38" s="92"/>
      <c r="J38" s="129">
        <v>3793.0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40.0</v>
      </c>
      <c r="G39" s="93">
        <v>40.0</v>
      </c>
      <c r="H39" s="93"/>
      <c r="I39" s="92"/>
      <c r="J39" s="129">
        <v>3794.0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90.0</v>
      </c>
      <c r="G40" s="92"/>
      <c r="H40" s="93">
        <v>90.0</v>
      </c>
      <c r="I40" s="92"/>
      <c r="J40" s="129">
        <v>3795.0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564.0</v>
      </c>
      <c r="G41" s="92"/>
      <c r="H41" s="158">
        <v>564.0</v>
      </c>
      <c r="I41" s="92"/>
      <c r="J41" s="129" t="s">
        <v>108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10.0</v>
      </c>
      <c r="G42" s="93">
        <v>10.0</v>
      </c>
      <c r="H42" s="93"/>
      <c r="I42" s="92"/>
      <c r="J42" s="129">
        <v>3797.0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100.0</v>
      </c>
      <c r="G43" s="93">
        <v>100.0</v>
      </c>
      <c r="H43" s="92"/>
      <c r="I43" s="92"/>
      <c r="J43" s="129">
        <v>3798.0</v>
      </c>
      <c r="K43" s="24"/>
      <c r="L43" s="112"/>
      <c r="M43" s="159" t="s">
        <v>109</v>
      </c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35.0</v>
      </c>
      <c r="G44" s="93">
        <v>35.0</v>
      </c>
      <c r="H44" s="93"/>
      <c r="I44" s="92"/>
      <c r="J44" s="129">
        <v>3799.0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179.0</v>
      </c>
      <c r="G45" s="93">
        <v>179.0</v>
      </c>
      <c r="H45" s="92"/>
      <c r="I45" s="92"/>
      <c r="J45" s="129">
        <v>3800.0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19.0</v>
      </c>
      <c r="G46" s="93">
        <v>19.0</v>
      </c>
      <c r="H46" s="92"/>
      <c r="I46" s="92"/>
      <c r="J46" s="129">
        <v>3801.0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1120.0</v>
      </c>
      <c r="G47" s="93"/>
      <c r="H47" s="93">
        <v>1120.0</v>
      </c>
      <c r="I47" s="92"/>
      <c r="J47" s="129">
        <v>3802.0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26.0</v>
      </c>
      <c r="G48" s="93">
        <v>26.0</v>
      </c>
      <c r="H48" s="92"/>
      <c r="I48" s="92"/>
      <c r="J48" s="129">
        <v>3803.0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412.0</v>
      </c>
      <c r="G49" s="93">
        <v>412.0</v>
      </c>
      <c r="H49" s="92"/>
      <c r="I49" s="92"/>
      <c r="J49" s="129">
        <v>3804.0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399.0</v>
      </c>
      <c r="G50" s="92"/>
      <c r="H50" s="93"/>
      <c r="I50" s="93">
        <v>399.0</v>
      </c>
      <c r="J50" s="129">
        <v>3805.0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461.0</v>
      </c>
      <c r="G51" s="93">
        <v>461.0</v>
      </c>
      <c r="H51" s="92"/>
      <c r="I51" s="92"/>
      <c r="J51" s="129">
        <v>3806.0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311.0</v>
      </c>
      <c r="G52" s="92"/>
      <c r="H52" s="93">
        <v>311.0</v>
      </c>
      <c r="I52" s="92"/>
      <c r="J52" s="129">
        <v>3807.0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260.0</v>
      </c>
      <c r="G53" s="93">
        <v>260.0</v>
      </c>
      <c r="H53" s="92"/>
      <c r="I53" s="92"/>
      <c r="J53" s="129">
        <v>3808.0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27.0</v>
      </c>
      <c r="G54" s="93">
        <v>27.0</v>
      </c>
      <c r="H54" s="92"/>
      <c r="I54" s="92"/>
      <c r="J54" s="129">
        <v>3809.0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50.0</v>
      </c>
      <c r="G55" s="93">
        <v>50.0</v>
      </c>
      <c r="H55" s="92"/>
      <c r="I55" s="92"/>
      <c r="J55" s="129">
        <v>3810.0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45.0</v>
      </c>
      <c r="G56" s="93">
        <v>45.0</v>
      </c>
      <c r="H56" s="92"/>
      <c r="I56" s="92"/>
      <c r="J56" s="129">
        <v>3811.0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10.0</v>
      </c>
      <c r="G57" s="93"/>
      <c r="H57" s="93">
        <v>10.0</v>
      </c>
      <c r="I57" s="92"/>
      <c r="J57" s="129">
        <v>3812.0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196.0</v>
      </c>
      <c r="G58" s="92"/>
      <c r="H58" s="93">
        <v>196.0</v>
      </c>
      <c r="I58" s="92"/>
      <c r="J58" s="129">
        <v>3813.0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399.0</v>
      </c>
      <c r="G59" s="93"/>
      <c r="H59" s="93">
        <v>399.0</v>
      </c>
      <c r="I59" s="92"/>
      <c r="J59" s="129">
        <v>3814.0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13.0</v>
      </c>
      <c r="G60" s="93">
        <v>13.0</v>
      </c>
      <c r="H60" s="92"/>
      <c r="I60" s="92"/>
      <c r="J60" s="129">
        <v>3815.0</v>
      </c>
      <c r="K60" s="24"/>
      <c r="L60" s="112"/>
      <c r="M60" s="112"/>
      <c r="N60" s="112"/>
      <c r="O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10.0</v>
      </c>
      <c r="G61" s="92"/>
      <c r="H61" s="93">
        <v>10.0</v>
      </c>
      <c r="I61" s="92"/>
      <c r="J61" s="129">
        <v>3816.0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484.0</v>
      </c>
      <c r="G62" s="92"/>
      <c r="H62" s="93">
        <v>484.0</v>
      </c>
      <c r="I62" s="92"/>
      <c r="J62" s="129" t="s">
        <v>110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184.0</v>
      </c>
      <c r="G63" s="93">
        <v>87.0</v>
      </c>
      <c r="H63" s="93">
        <v>97.0</v>
      </c>
      <c r="I63" s="92"/>
      <c r="J63" s="129">
        <v>3818.0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129">
        <v>3819.0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129">
        <v>3820.0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129">
        <v>3821.0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129">
        <v>3822.0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129">
        <v>3823.0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129">
        <v>3824.0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129">
        <v>3825.0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129">
        <v>3826.0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129">
        <v>3827.0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129">
        <v>3828.0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129">
        <v>3829.0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129">
        <v>3830.0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129">
        <v>3831.0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129">
        <v>3832.0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29">
        <v>3833.0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29">
        <v>3834.0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29">
        <v>3835.0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29">
        <v>3836.0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29">
        <v>3837.0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29">
        <v>3838.0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29">
        <v>3839.0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29">
        <v>3840.0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29">
        <v>3841.0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29">
        <v>3842.0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29">
        <v>3843.0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29">
        <v>3844.0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54" t="s">
        <v>42</v>
      </c>
      <c r="I90" s="61"/>
      <c r="J90" s="129">
        <v>3845.0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29">
        <v>3846.0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29">
        <v>3847.0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29">
        <v>3848.0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54" t="s">
        <v>42</v>
      </c>
      <c r="I94" s="61"/>
      <c r="J94" s="129">
        <v>3849.0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54">
        <v>390.0</v>
      </c>
      <c r="I95" s="61"/>
      <c r="J95" s="129">
        <v>3850.0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16025</v>
      </c>
      <c r="G97" s="123">
        <f t="shared" si="4"/>
        <v>6155</v>
      </c>
      <c r="H97" s="123">
        <f t="shared" si="4"/>
        <v>9861</v>
      </c>
      <c r="I97" s="123">
        <f t="shared" si="4"/>
        <v>399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75039.0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312125.0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46135.0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30029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17614</v>
      </c>
      <c r="D10" s="24"/>
      <c r="E10" s="43">
        <v>1.0</v>
      </c>
      <c r="F10" s="44">
        <v>111.0</v>
      </c>
      <c r="G10" s="45">
        <v>111.0</v>
      </c>
      <c r="H10" s="45"/>
      <c r="I10" s="45"/>
      <c r="J10" s="129">
        <v>3819.0</v>
      </c>
      <c r="K10" s="24"/>
      <c r="L10" s="47"/>
      <c r="M10" s="47"/>
      <c r="N10" s="48"/>
      <c r="O10" s="49"/>
      <c r="P10" s="85" t="s">
        <v>111</v>
      </c>
      <c r="Q10" s="51"/>
      <c r="R10" s="52">
        <v>40.0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9228</v>
      </c>
      <c r="D11" s="24"/>
      <c r="E11" s="43">
        <v>2.0</v>
      </c>
      <c r="F11" s="56">
        <v>1045.0</v>
      </c>
      <c r="G11" s="57"/>
      <c r="H11" s="58"/>
      <c r="I11" s="57">
        <v>1045.0</v>
      </c>
      <c r="J11" s="129" t="s">
        <v>112</v>
      </c>
      <c r="K11" s="24"/>
      <c r="L11" s="48"/>
      <c r="M11" s="48"/>
      <c r="N11" s="48"/>
      <c r="O11" s="49"/>
      <c r="P11" s="72" t="s">
        <v>113</v>
      </c>
      <c r="Q11" s="51"/>
      <c r="R11" s="52">
        <v>60000.0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3187</v>
      </c>
      <c r="D12" s="24"/>
      <c r="E12" s="43">
        <v>3.0</v>
      </c>
      <c r="F12" s="63">
        <v>475.0</v>
      </c>
      <c r="G12" s="64">
        <v>475.0</v>
      </c>
      <c r="H12" s="64"/>
      <c r="I12" s="65"/>
      <c r="J12" s="129">
        <v>3821.0</v>
      </c>
      <c r="K12" s="24"/>
      <c r="L12" s="48"/>
      <c r="M12" s="48"/>
      <c r="N12" s="48"/>
      <c r="O12" s="49"/>
      <c r="P12" s="72" t="s">
        <v>114</v>
      </c>
      <c r="Q12" s="51"/>
      <c r="R12" s="52">
        <v>2000.0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440.0</v>
      </c>
      <c r="G13" s="64"/>
      <c r="H13" s="64">
        <v>440.0</v>
      </c>
      <c r="I13" s="65"/>
      <c r="J13" s="129">
        <v>3822.0</v>
      </c>
      <c r="K13" s="24"/>
      <c r="L13" s="48"/>
      <c r="M13" s="48"/>
      <c r="N13" s="48"/>
      <c r="O13" s="49"/>
      <c r="P13" s="72" t="s">
        <v>77</v>
      </c>
      <c r="Q13" s="51"/>
      <c r="R13" s="52">
        <v>200.0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99.0</v>
      </c>
      <c r="G14" s="64">
        <v>99.0</v>
      </c>
      <c r="H14" s="65"/>
      <c r="I14" s="65"/>
      <c r="J14" s="129">
        <v>3823.0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25.0</v>
      </c>
      <c r="G15" s="64">
        <v>25.0</v>
      </c>
      <c r="H15" s="64"/>
      <c r="I15" s="65"/>
      <c r="J15" s="129">
        <v>3824.0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62240</v>
      </c>
      <c r="D16" s="24"/>
      <c r="E16" s="43">
        <v>7.0</v>
      </c>
      <c r="F16" s="56">
        <v>8.0</v>
      </c>
      <c r="G16" s="64">
        <v>8.0</v>
      </c>
      <c r="H16" s="64"/>
      <c r="I16" s="65"/>
      <c r="J16" s="129">
        <v>3825.0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62240</v>
      </c>
      <c r="D17" s="24"/>
      <c r="E17" s="43">
        <v>8.0</v>
      </c>
      <c r="F17" s="56">
        <v>512.0</v>
      </c>
      <c r="G17" s="65"/>
      <c r="H17" s="64"/>
      <c r="I17" s="64">
        <v>512.0</v>
      </c>
      <c r="J17" s="129" t="s">
        <v>115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214.0</v>
      </c>
      <c r="G18" s="64">
        <v>214.0</v>
      </c>
      <c r="H18" s="64"/>
      <c r="I18" s="65"/>
      <c r="J18" s="129">
        <v>3827.0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569.0</v>
      </c>
      <c r="G19" s="64">
        <v>569.0</v>
      </c>
      <c r="H19" s="65"/>
      <c r="I19" s="65"/>
      <c r="J19" s="129">
        <v>3828.0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49322</v>
      </c>
      <c r="D20" s="24"/>
      <c r="E20" s="43">
        <v>11.0</v>
      </c>
      <c r="F20" s="56">
        <v>155.0</v>
      </c>
      <c r="G20" s="65"/>
      <c r="H20" s="64">
        <v>155.0</v>
      </c>
      <c r="I20" s="65"/>
      <c r="J20" s="129">
        <v>3829.0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321353</v>
      </c>
      <c r="D21" s="24"/>
      <c r="E21" s="43">
        <v>12.0</v>
      </c>
      <c r="F21" s="56">
        <v>104.0</v>
      </c>
      <c r="G21" s="64">
        <v>104.0</v>
      </c>
      <c r="H21" s="64"/>
      <c r="I21" s="65"/>
      <c r="J21" s="129">
        <v>3830.0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26913</v>
      </c>
      <c r="D22" s="24"/>
      <c r="E22" s="43">
        <v>13.0</v>
      </c>
      <c r="F22" s="56">
        <v>163.0</v>
      </c>
      <c r="G22" s="64">
        <v>163.0</v>
      </c>
      <c r="H22" s="64"/>
      <c r="I22" s="65"/>
      <c r="J22" s="129">
        <v>3831.0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9">
        <v>26913.0</v>
      </c>
      <c r="D23" s="24"/>
      <c r="E23" s="43">
        <v>14.0</v>
      </c>
      <c r="F23" s="56">
        <v>92.0</v>
      </c>
      <c r="G23" s="65"/>
      <c r="H23" s="64">
        <v>92.0</v>
      </c>
      <c r="I23" s="65"/>
      <c r="J23" s="129">
        <v>3832.0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>
        <v>558.0</v>
      </c>
      <c r="G24" s="64">
        <v>558.0</v>
      </c>
      <c r="H24" s="65"/>
      <c r="I24" s="65"/>
      <c r="J24" s="129">
        <v>3833.0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80.0</v>
      </c>
      <c r="G25" s="64">
        <v>80.0</v>
      </c>
      <c r="H25" s="65"/>
      <c r="I25" s="65"/>
      <c r="J25" s="129">
        <v>3834.0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30029</v>
      </c>
      <c r="D26" s="24"/>
      <c r="E26" s="43">
        <v>17.0</v>
      </c>
      <c r="F26" s="56">
        <v>51.0</v>
      </c>
      <c r="G26" s="64"/>
      <c r="H26" s="64">
        <v>51.0</v>
      </c>
      <c r="I26" s="65"/>
      <c r="J26" s="129">
        <v>3835.0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70.0</v>
      </c>
      <c r="D27" s="24"/>
      <c r="E27" s="43">
        <v>18.0</v>
      </c>
      <c r="F27" s="56">
        <v>169.0</v>
      </c>
      <c r="G27" s="64"/>
      <c r="H27" s="64">
        <v>169.0</v>
      </c>
      <c r="I27" s="65"/>
      <c r="J27" s="129">
        <v>3836.0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428.9857143</v>
      </c>
      <c r="D28" s="24"/>
      <c r="E28" s="43">
        <v>19.0</v>
      </c>
      <c r="F28" s="56">
        <v>90.0</v>
      </c>
      <c r="G28" s="64">
        <v>90.0</v>
      </c>
      <c r="H28" s="65"/>
      <c r="I28" s="65"/>
      <c r="J28" s="129">
        <v>3837.0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170.0</v>
      </c>
      <c r="G29" s="64">
        <v>170.0</v>
      </c>
      <c r="H29" s="65"/>
      <c r="I29" s="65"/>
      <c r="J29" s="129">
        <v>3838.0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288.0</v>
      </c>
      <c r="G30" s="93"/>
      <c r="H30" s="93">
        <v>288.0</v>
      </c>
      <c r="I30" s="93"/>
      <c r="J30" s="129">
        <v>3839.0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1248.0</v>
      </c>
      <c r="G31" s="93"/>
      <c r="H31" s="93">
        <v>1248.0</v>
      </c>
      <c r="I31" s="92"/>
      <c r="J31" s="129">
        <v>3840.0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62240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339.0</v>
      </c>
      <c r="G32" s="93">
        <v>120.0</v>
      </c>
      <c r="H32" s="93">
        <v>219.0</v>
      </c>
      <c r="I32" s="92"/>
      <c r="J32" s="129">
        <v>3841.0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471.0</v>
      </c>
      <c r="G33" s="93">
        <v>471.0</v>
      </c>
      <c r="H33" s="92"/>
      <c r="I33" s="92"/>
      <c r="J33" s="129">
        <v>3842.0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1637.0</v>
      </c>
      <c r="G34" s="93">
        <v>1637.0</v>
      </c>
      <c r="H34" s="92"/>
      <c r="I34" s="92"/>
      <c r="J34" s="129">
        <v>3843.0</v>
      </c>
      <c r="K34" s="24"/>
      <c r="L34" s="106"/>
      <c r="M34" s="106"/>
      <c r="N34" s="106"/>
      <c r="O34" s="106"/>
      <c r="P34" s="85" t="s">
        <v>40</v>
      </c>
      <c r="Q34" s="107"/>
      <c r="R34" s="130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1367.0</v>
      </c>
      <c r="G35" s="93">
        <v>1367.0</v>
      </c>
      <c r="H35" s="93"/>
      <c r="I35" s="92"/>
      <c r="J35" s="129">
        <v>3844.0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521.0</v>
      </c>
      <c r="G36" s="93">
        <v>500.0</v>
      </c>
      <c r="H36" s="93">
        <v>21.0</v>
      </c>
      <c r="I36" s="92"/>
      <c r="J36" s="129">
        <v>3845.0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1427.0</v>
      </c>
      <c r="G37" s="93"/>
      <c r="H37" s="92"/>
      <c r="I37" s="93">
        <v>1427.0</v>
      </c>
      <c r="J37" s="129" t="s">
        <v>116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889.0</v>
      </c>
      <c r="G38" s="93">
        <v>889.0</v>
      </c>
      <c r="H38" s="92"/>
      <c r="I38" s="92"/>
      <c r="J38" s="129">
        <v>3847.0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185.0</v>
      </c>
      <c r="G39" s="93"/>
      <c r="H39" s="93">
        <v>185.0</v>
      </c>
      <c r="I39" s="92"/>
      <c r="J39" s="129">
        <v>3848.0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422.0</v>
      </c>
      <c r="G40" s="93"/>
      <c r="H40" s="93">
        <v>422.0</v>
      </c>
      <c r="I40" s="92"/>
      <c r="J40" s="129">
        <v>3849.0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342.0</v>
      </c>
      <c r="G41" s="93">
        <v>342.0</v>
      </c>
      <c r="H41" s="93"/>
      <c r="I41" s="92"/>
      <c r="J41" s="129">
        <v>3850.0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240.0</v>
      </c>
      <c r="G42" s="93">
        <v>240.0</v>
      </c>
      <c r="H42" s="93"/>
      <c r="I42" s="92"/>
      <c r="J42" s="129">
        <v>3851.0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59.0</v>
      </c>
      <c r="G43" s="93">
        <v>59.0</v>
      </c>
      <c r="H43" s="92"/>
      <c r="I43" s="92"/>
      <c r="J43" s="129">
        <v>3852.0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408.0</v>
      </c>
      <c r="G44" s="93">
        <v>408.0</v>
      </c>
      <c r="H44" s="93"/>
      <c r="I44" s="92"/>
      <c r="J44" s="129">
        <v>3853.0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795.0</v>
      </c>
      <c r="G45" s="93">
        <v>700.0</v>
      </c>
      <c r="H45" s="93">
        <v>95.0</v>
      </c>
      <c r="I45" s="92"/>
      <c r="J45" s="129">
        <v>3854.0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265.0</v>
      </c>
      <c r="G46" s="93">
        <v>265.0</v>
      </c>
      <c r="H46" s="92"/>
      <c r="I46" s="92"/>
      <c r="J46" s="129">
        <v>3855.0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266.0</v>
      </c>
      <c r="G47" s="93">
        <v>266.0</v>
      </c>
      <c r="H47" s="93"/>
      <c r="I47" s="92"/>
      <c r="J47" s="129">
        <v>3856.0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30.0</v>
      </c>
      <c r="G48" s="93">
        <v>30.0</v>
      </c>
      <c r="H48" s="92"/>
      <c r="I48" s="92"/>
      <c r="J48" s="129">
        <v>3857.0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377.0</v>
      </c>
      <c r="G49" s="93">
        <v>377.0</v>
      </c>
      <c r="H49" s="92"/>
      <c r="I49" s="92"/>
      <c r="J49" s="129">
        <v>3858.0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534.0</v>
      </c>
      <c r="G50" s="93">
        <v>534.0</v>
      </c>
      <c r="H50" s="93"/>
      <c r="I50" s="92"/>
      <c r="J50" s="129">
        <v>3859.0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1995.0</v>
      </c>
      <c r="G51" s="93" t="s">
        <v>42</v>
      </c>
      <c r="H51" s="93">
        <v>1995.0</v>
      </c>
      <c r="I51" s="92"/>
      <c r="J51" s="129">
        <v>3860.0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479.0</v>
      </c>
      <c r="G52" s="93">
        <v>479.0</v>
      </c>
      <c r="H52" s="92"/>
      <c r="I52" s="92"/>
      <c r="J52" s="129">
        <v>3861.0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53.0</v>
      </c>
      <c r="G53" s="93">
        <v>53.0</v>
      </c>
      <c r="H53" s="92"/>
      <c r="I53" s="92"/>
      <c r="J53" s="129">
        <v>3862.0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164.0</v>
      </c>
      <c r="G54" s="93">
        <v>164.0</v>
      </c>
      <c r="H54" s="92"/>
      <c r="I54" s="92"/>
      <c r="J54" s="129">
        <v>3863.0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201.0</v>
      </c>
      <c r="G55" s="92"/>
      <c r="H55" s="153">
        <v>201.0</v>
      </c>
      <c r="I55" s="92"/>
      <c r="J55" s="129" t="s">
        <v>117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10.0</v>
      </c>
      <c r="G56" s="93">
        <v>10.0</v>
      </c>
      <c r="H56" s="92"/>
      <c r="I56" s="92"/>
      <c r="J56" s="129">
        <v>3865.0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110.0</v>
      </c>
      <c r="G57" s="93">
        <v>110.0</v>
      </c>
      <c r="H57" s="92"/>
      <c r="I57" s="92"/>
      <c r="J57" s="129">
        <v>3866.0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1033.0</v>
      </c>
      <c r="G58" s="93">
        <v>1033.0</v>
      </c>
      <c r="H58" s="92"/>
      <c r="I58" s="92"/>
      <c r="J58" s="129">
        <v>3867.0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20.0</v>
      </c>
      <c r="G59" s="93">
        <v>20.0</v>
      </c>
      <c r="H59" s="92"/>
      <c r="I59" s="92"/>
      <c r="J59" s="129">
        <v>3868.0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205.0</v>
      </c>
      <c r="G60" s="92"/>
      <c r="H60" s="93">
        <v>205.0</v>
      </c>
      <c r="I60" s="92"/>
      <c r="J60" s="129">
        <v>3869.0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218.0</v>
      </c>
      <c r="G61" s="93">
        <v>218.0</v>
      </c>
      <c r="H61" s="92"/>
      <c r="I61" s="92"/>
      <c r="J61" s="129">
        <v>3870.0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95.0</v>
      </c>
      <c r="G62" s="92"/>
      <c r="H62" s="93">
        <v>95.0</v>
      </c>
      <c r="I62" s="92"/>
      <c r="J62" s="129">
        <v>3871.0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449.0</v>
      </c>
      <c r="G63" s="92"/>
      <c r="H63" s="93">
        <v>449.0</v>
      </c>
      <c r="I63" s="92"/>
      <c r="J63" s="129">
        <v>3872.0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1128.0</v>
      </c>
      <c r="G64" s="92"/>
      <c r="H64" s="93">
        <v>1128.0</v>
      </c>
      <c r="I64" s="92"/>
      <c r="J64" s="129">
        <v>3873.0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1489.0</v>
      </c>
      <c r="G65" s="92"/>
      <c r="H65" s="93">
        <v>1489.0</v>
      </c>
      <c r="I65" s="92"/>
      <c r="J65" s="129">
        <v>3874.0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20.0</v>
      </c>
      <c r="G66" s="93">
        <v>20.0</v>
      </c>
      <c r="H66" s="92"/>
      <c r="I66" s="92"/>
      <c r="J66" s="129">
        <v>3875.0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1161.0</v>
      </c>
      <c r="G67" s="93">
        <v>1161.0</v>
      </c>
      <c r="H67" s="92"/>
      <c r="I67" s="92"/>
      <c r="J67" s="129">
        <v>3876.0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224.0</v>
      </c>
      <c r="G68" s="92"/>
      <c r="H68" s="93">
        <v>224.0</v>
      </c>
      <c r="I68" s="92"/>
      <c r="J68" s="129">
        <v>3877.0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143.0</v>
      </c>
      <c r="G69" s="93">
        <v>143.0</v>
      </c>
      <c r="H69" s="92"/>
      <c r="I69" s="92"/>
      <c r="J69" s="129">
        <v>3878.0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36.0</v>
      </c>
      <c r="G70" s="93">
        <v>36.0</v>
      </c>
      <c r="H70" s="92"/>
      <c r="I70" s="92"/>
      <c r="J70" s="129">
        <v>3879.0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31.0</v>
      </c>
      <c r="G71" s="92"/>
      <c r="H71" s="93">
        <v>31.0</v>
      </c>
      <c r="I71" s="92"/>
      <c r="J71" s="129">
        <v>3880.0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1501.0</v>
      </c>
      <c r="G72" s="93">
        <v>1501.0</v>
      </c>
      <c r="H72" s="92"/>
      <c r="I72" s="92"/>
      <c r="J72" s="129">
        <v>3881.0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850.0</v>
      </c>
      <c r="G73" s="93">
        <v>850.0</v>
      </c>
      <c r="H73" s="92"/>
      <c r="I73" s="92"/>
      <c r="J73" s="129">
        <v>3882.0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26.0</v>
      </c>
      <c r="G74" s="92"/>
      <c r="H74" s="93">
        <v>26.0</v>
      </c>
      <c r="I74" s="92"/>
      <c r="J74" s="129">
        <v>3883.0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219.0</v>
      </c>
      <c r="G75" s="93">
        <v>219.0</v>
      </c>
      <c r="H75" s="92"/>
      <c r="I75" s="92"/>
      <c r="J75" s="129">
        <v>3884.0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269.0</v>
      </c>
      <c r="G76" s="93">
        <v>269.0</v>
      </c>
      <c r="H76" s="92"/>
      <c r="I76" s="92"/>
      <c r="J76" s="129">
        <v>3885.0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203.0</v>
      </c>
      <c r="G77" s="92"/>
      <c r="H77" s="92"/>
      <c r="I77" s="93">
        <v>203.0</v>
      </c>
      <c r="J77" s="129">
        <v>3886.0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290.0</v>
      </c>
      <c r="G78" s="93">
        <v>290.0</v>
      </c>
      <c r="H78" s="92"/>
      <c r="I78" s="92"/>
      <c r="J78" s="129">
        <v>3887.0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167.0</v>
      </c>
      <c r="G79" s="93">
        <v>167.0</v>
      </c>
      <c r="H79" s="92"/>
      <c r="I79" s="92"/>
      <c r="J79" s="129">
        <v>3888.0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29">
        <v>3889.0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29">
        <v>3890.0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29">
        <v>3891.0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29">
        <v>3892.0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29">
        <v>3893.0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29">
        <v>3894.0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29">
        <v>3895.0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29">
        <v>3896.0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29">
        <v>3897.0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29">
        <v>3898.0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29">
        <v>3899.0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29">
        <v>3900.0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29">
        <v>3901.0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29">
        <v>3902.0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29">
        <v>3903.0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129">
        <v>3904.0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30029</v>
      </c>
      <c r="G97" s="123">
        <f t="shared" si="4"/>
        <v>17614</v>
      </c>
      <c r="H97" s="123">
        <f t="shared" si="4"/>
        <v>9228</v>
      </c>
      <c r="I97" s="123">
        <f t="shared" si="4"/>
        <v>3187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15.86"/>
    <col customWidth="1" min="12" max="12" width="15.71"/>
    <col customWidth="1" min="13" max="13" width="16.14"/>
    <col customWidth="1" min="14" max="14" width="1.43"/>
    <col customWidth="1" min="15" max="15" width="22.71"/>
    <col customWidth="1" min="16" max="16" width="9.86"/>
    <col customWidth="1" min="17" max="17" width="13.0"/>
    <col customWidth="1" min="18" max="18" width="11.29"/>
    <col customWidth="1" min="19" max="19" width="12.43"/>
    <col customWidth="1" min="20" max="20" width="25.14"/>
    <col customWidth="1" min="21" max="21" width="6.71"/>
    <col customWidth="1" min="22" max="22" width="19.0"/>
    <col customWidth="1" min="23" max="23" width="14.0"/>
    <col customWidth="1" min="24" max="24" width="21.71"/>
    <col customWidth="1" min="25" max="38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ht="14.25" customHeight="1">
      <c r="A2" s="1"/>
      <c r="B2" s="2" t="s">
        <v>0</v>
      </c>
      <c r="C2" s="128">
        <v>46004.0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  <c r="Y3" s="1"/>
      <c r="Z3" s="1"/>
      <c r="AA3" s="1"/>
      <c r="AB3" s="1"/>
      <c r="AC3" s="1"/>
      <c r="AD3" s="1"/>
      <c r="AE3" s="1"/>
      <c r="AF3" s="1"/>
      <c r="AG3" s="1"/>
      <c r="AH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9"/>
      <c r="L4" s="9"/>
      <c r="M4" s="9"/>
      <c r="N4" s="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ht="14.25" customHeight="1">
      <c r="A5" s="10"/>
      <c r="B5" s="11" t="s">
        <v>2</v>
      </c>
      <c r="C5" s="12">
        <v>26913.0</v>
      </c>
      <c r="D5" s="10"/>
      <c r="E5" s="13" t="s">
        <v>3</v>
      </c>
      <c r="F5" s="14"/>
      <c r="G5" s="14"/>
      <c r="H5" s="14"/>
      <c r="I5" s="14"/>
      <c r="J5" s="15"/>
      <c r="K5" s="16" t="s">
        <v>4</v>
      </c>
      <c r="L5" s="14"/>
      <c r="M5" s="15"/>
      <c r="N5" s="17"/>
      <c r="O5" s="18" t="s">
        <v>5</v>
      </c>
      <c r="P5" s="14"/>
      <c r="Q5" s="14"/>
      <c r="R5" s="14"/>
      <c r="S5" s="14"/>
      <c r="T5" s="15"/>
      <c r="U5" s="10"/>
      <c r="V5" s="19" t="s">
        <v>6</v>
      </c>
      <c r="W5" s="14"/>
      <c r="X5" s="15"/>
      <c r="Y5" s="10"/>
      <c r="Z5" s="10"/>
      <c r="AA5" s="10"/>
      <c r="AB5" s="10"/>
      <c r="AC5" s="10"/>
      <c r="AD5" s="10"/>
      <c r="AE5" s="10"/>
      <c r="AF5" s="10"/>
      <c r="AG5" s="10"/>
      <c r="AH5" s="10"/>
    </row>
    <row r="6" ht="14.25" customHeight="1">
      <c r="A6" s="10"/>
      <c r="B6" s="20" t="s">
        <v>7</v>
      </c>
      <c r="C6" s="21">
        <v>321353.0</v>
      </c>
      <c r="D6" s="10"/>
      <c r="E6" s="22"/>
      <c r="J6" s="23"/>
      <c r="K6" s="22"/>
      <c r="M6" s="23"/>
      <c r="N6" s="17"/>
      <c r="O6" s="22"/>
      <c r="T6" s="23"/>
      <c r="U6" s="10"/>
      <c r="V6" s="22"/>
      <c r="X6" s="23"/>
      <c r="Y6" s="10"/>
      <c r="Z6" s="10"/>
      <c r="AA6" s="10"/>
      <c r="AB6" s="10"/>
      <c r="AC6" s="10"/>
      <c r="AD6" s="10"/>
      <c r="AE6" s="10"/>
      <c r="AF6" s="10"/>
      <c r="AG6" s="10"/>
      <c r="AH6" s="10"/>
    </row>
    <row r="7" ht="14.25" customHeight="1">
      <c r="A7" s="24"/>
      <c r="B7" s="25" t="s">
        <v>8</v>
      </c>
      <c r="C7" s="21">
        <v>49322.0</v>
      </c>
      <c r="D7" s="24"/>
      <c r="E7" s="26"/>
      <c r="F7" s="27"/>
      <c r="G7" s="27"/>
      <c r="H7" s="27"/>
      <c r="I7" s="27"/>
      <c r="J7" s="28"/>
      <c r="K7" s="26"/>
      <c r="L7" s="27"/>
      <c r="M7" s="28"/>
      <c r="N7" s="17"/>
      <c r="O7" s="26"/>
      <c r="P7" s="27"/>
      <c r="Q7" s="27"/>
      <c r="R7" s="27"/>
      <c r="S7" s="27"/>
      <c r="T7" s="28"/>
      <c r="U7" s="24"/>
      <c r="V7" s="26"/>
      <c r="W7" s="27"/>
      <c r="X7" s="28"/>
      <c r="Y7" s="24"/>
      <c r="Z7" s="24"/>
      <c r="AA7" s="24"/>
      <c r="AB7" s="24"/>
      <c r="AC7" s="24"/>
      <c r="AD7" s="24"/>
      <c r="AE7" s="24"/>
      <c r="AF7" s="24"/>
      <c r="AG7" s="24"/>
      <c r="AH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32" t="s">
        <v>12</v>
      </c>
      <c r="L8" s="32" t="s">
        <v>13</v>
      </c>
      <c r="M8" s="32" t="s">
        <v>15</v>
      </c>
      <c r="N8" s="17"/>
      <c r="O8" s="33" t="s">
        <v>16</v>
      </c>
      <c r="P8" s="34" t="s">
        <v>17</v>
      </c>
      <c r="Q8" s="35" t="s">
        <v>12</v>
      </c>
      <c r="R8" s="36" t="s">
        <v>13</v>
      </c>
      <c r="S8" s="35" t="s">
        <v>14</v>
      </c>
      <c r="T8" s="34" t="s">
        <v>15</v>
      </c>
      <c r="U8" s="24"/>
      <c r="V8" s="32" t="s">
        <v>12</v>
      </c>
      <c r="W8" s="32" t="s">
        <v>13</v>
      </c>
      <c r="X8" s="32" t="s">
        <v>15</v>
      </c>
      <c r="Y8" s="24"/>
      <c r="Z8" s="24"/>
      <c r="AA8" s="24"/>
      <c r="AB8" s="24"/>
      <c r="AC8" s="24"/>
      <c r="AD8" s="24"/>
      <c r="AE8" s="24"/>
      <c r="AF8" s="24"/>
      <c r="AG8" s="24"/>
      <c r="AH8" s="24"/>
    </row>
    <row r="9" ht="14.25" customHeight="1">
      <c r="A9" s="24"/>
      <c r="B9" s="37" t="s">
        <v>18</v>
      </c>
      <c r="C9" s="38">
        <f>F97-C15</f>
        <v>24394</v>
      </c>
      <c r="D9" s="24"/>
      <c r="E9" s="39"/>
      <c r="F9" s="40"/>
      <c r="G9" s="39"/>
      <c r="H9" s="39"/>
      <c r="I9" s="39"/>
      <c r="J9" s="39"/>
      <c r="K9" s="39"/>
      <c r="L9" s="39"/>
      <c r="M9" s="39"/>
      <c r="N9" s="17"/>
      <c r="O9" s="39"/>
      <c r="P9" s="39"/>
      <c r="Q9" s="39"/>
      <c r="R9" s="39"/>
      <c r="S9" s="39"/>
      <c r="T9" s="39"/>
      <c r="U9" s="24"/>
      <c r="V9" s="39"/>
      <c r="W9" s="39"/>
      <c r="X9" s="39"/>
      <c r="Y9" s="24"/>
      <c r="Z9" s="24"/>
      <c r="AA9" s="24"/>
      <c r="AB9" s="24"/>
      <c r="AC9" s="24"/>
      <c r="AD9" s="24"/>
      <c r="AE9" s="24"/>
      <c r="AF9" s="24"/>
      <c r="AG9" s="24"/>
      <c r="AH9" s="24"/>
    </row>
    <row r="10" ht="14.25" customHeight="1">
      <c r="A10" s="24"/>
      <c r="B10" s="41" t="s">
        <v>19</v>
      </c>
      <c r="C10" s="42">
        <f>G97-V33</f>
        <v>13658</v>
      </c>
      <c r="D10" s="24"/>
      <c r="E10" s="43">
        <v>1.0</v>
      </c>
      <c r="F10" s="44">
        <v>55.0</v>
      </c>
      <c r="G10" s="45"/>
      <c r="H10" s="45">
        <v>55.0</v>
      </c>
      <c r="I10" s="45"/>
      <c r="J10" s="160">
        <v>3889.0</v>
      </c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H97-W33</f>
        <v>9736</v>
      </c>
      <c r="D11" s="24"/>
      <c r="E11" s="43">
        <v>2.0</v>
      </c>
      <c r="F11" s="56">
        <v>141.0</v>
      </c>
      <c r="G11" s="57">
        <v>141.0</v>
      </c>
      <c r="H11" s="58"/>
      <c r="I11" s="59"/>
      <c r="J11" s="161">
        <v>3890.0</v>
      </c>
      <c r="K11" s="24"/>
      <c r="L11" s="48"/>
      <c r="M11" s="48"/>
      <c r="N11" s="48"/>
      <c r="O11" s="98" t="s">
        <v>77</v>
      </c>
      <c r="P11" s="60"/>
      <c r="Q11" s="162">
        <v>250.0</v>
      </c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1000</v>
      </c>
      <c r="D12" s="24"/>
      <c r="E12" s="43">
        <v>3.0</v>
      </c>
      <c r="F12" s="63">
        <v>19.0</v>
      </c>
      <c r="G12" s="64"/>
      <c r="H12" s="64">
        <v>19.0</v>
      </c>
      <c r="I12" s="65"/>
      <c r="J12" s="163">
        <v>3891.0</v>
      </c>
      <c r="K12" s="48"/>
      <c r="L12" s="48"/>
      <c r="M12" s="48"/>
      <c r="N12" s="49"/>
      <c r="O12" s="72" t="s">
        <v>70</v>
      </c>
      <c r="P12" s="51"/>
      <c r="Q12" s="52">
        <v>1000.0</v>
      </c>
      <c r="R12" s="52"/>
      <c r="S12" s="61"/>
      <c r="T12" s="62"/>
      <c r="U12" s="24"/>
      <c r="V12" s="48"/>
      <c r="W12" s="48"/>
      <c r="X12" s="48"/>
      <c r="Y12" s="24"/>
      <c r="Z12" s="24"/>
      <c r="AA12" s="24"/>
      <c r="AB12" s="24"/>
      <c r="AC12" s="24"/>
      <c r="AD12" s="24"/>
      <c r="AE12" s="24"/>
      <c r="AF12" s="24"/>
      <c r="AG12" s="24"/>
      <c r="AH12" s="24"/>
    </row>
    <row r="13" ht="14.25" customHeight="1">
      <c r="A13" s="24"/>
      <c r="B13" s="66" t="s">
        <v>22</v>
      </c>
      <c r="C13" s="67">
        <f>K33</f>
        <v>0</v>
      </c>
      <c r="D13" s="24"/>
      <c r="E13" s="43">
        <v>4.0</v>
      </c>
      <c r="F13" s="56">
        <v>189.0</v>
      </c>
      <c r="G13" s="64">
        <v>189.0</v>
      </c>
      <c r="H13" s="65"/>
      <c r="I13" s="65"/>
      <c r="J13" s="163">
        <v>3892.0</v>
      </c>
      <c r="K13" s="48"/>
      <c r="L13" s="48"/>
      <c r="M13" s="48"/>
      <c r="N13" s="49"/>
      <c r="O13" s="60"/>
      <c r="P13" s="51"/>
      <c r="Q13" s="52"/>
      <c r="R13" s="52"/>
      <c r="S13" s="61"/>
      <c r="T13" s="62"/>
      <c r="U13" s="24"/>
      <c r="V13" s="48"/>
      <c r="W13" s="48"/>
      <c r="X13" s="48"/>
      <c r="Y13" s="24"/>
      <c r="Z13" s="24"/>
      <c r="AA13" s="24"/>
      <c r="AB13" s="24"/>
      <c r="AC13" s="24"/>
      <c r="AD13" s="24"/>
      <c r="AE13" s="24"/>
      <c r="AF13" s="24"/>
      <c r="AG13" s="24"/>
      <c r="AH13" s="24"/>
    </row>
    <row r="14" ht="14.25" customHeight="1">
      <c r="A14" s="24"/>
      <c r="B14" s="66" t="s">
        <v>23</v>
      </c>
      <c r="C14" s="67">
        <f>L33</f>
        <v>0</v>
      </c>
      <c r="D14" s="24"/>
      <c r="E14" s="43">
        <v>5.0</v>
      </c>
      <c r="F14" s="56">
        <v>287.0</v>
      </c>
      <c r="G14" s="64">
        <v>287.0</v>
      </c>
      <c r="H14" s="65"/>
      <c r="I14" s="65"/>
      <c r="J14" s="163">
        <v>3893.0</v>
      </c>
      <c r="K14" s="48"/>
      <c r="L14" s="48"/>
      <c r="M14" s="48"/>
      <c r="N14" s="49"/>
      <c r="O14" s="60"/>
      <c r="P14" s="51"/>
      <c r="Q14" s="53"/>
      <c r="R14" s="52"/>
      <c r="S14" s="61"/>
      <c r="T14" s="62"/>
      <c r="U14" s="24"/>
      <c r="V14" s="48"/>
      <c r="W14" s="48"/>
      <c r="X14" s="48"/>
      <c r="Y14" s="24"/>
      <c r="Z14" s="24"/>
      <c r="AA14" s="24"/>
      <c r="AB14" s="24"/>
      <c r="AC14" s="24"/>
      <c r="AD14" s="24"/>
      <c r="AE14" s="24"/>
      <c r="AF14" s="24"/>
      <c r="AG14" s="24"/>
      <c r="AH14" s="24"/>
    </row>
    <row r="15" ht="14.25" customHeight="1">
      <c r="A15" s="24"/>
      <c r="B15" s="68" t="s">
        <v>24</v>
      </c>
      <c r="C15" s="69">
        <f>X33</f>
        <v>0</v>
      </c>
      <c r="D15" s="24"/>
      <c r="E15" s="43">
        <v>6.0</v>
      </c>
      <c r="F15" s="56">
        <v>2871.0</v>
      </c>
      <c r="G15" s="64">
        <v>1871.0</v>
      </c>
      <c r="H15" s="64"/>
      <c r="I15" s="64">
        <v>1000.0</v>
      </c>
      <c r="J15" s="163" t="s">
        <v>118</v>
      </c>
      <c r="K15" s="48"/>
      <c r="L15" s="48"/>
      <c r="M15" s="48"/>
      <c r="N15" s="49"/>
      <c r="O15" s="60"/>
      <c r="P15" s="51"/>
      <c r="Q15" s="53"/>
      <c r="R15" s="53"/>
      <c r="S15" s="61"/>
      <c r="T15" s="62"/>
      <c r="U15" s="24"/>
      <c r="V15" s="48"/>
      <c r="W15" s="48"/>
      <c r="X15" s="48"/>
      <c r="Y15" s="24"/>
      <c r="Z15" s="24"/>
      <c r="AA15" s="24"/>
      <c r="AB15" s="24"/>
      <c r="AC15" s="24"/>
      <c r="AD15" s="24"/>
      <c r="AE15" s="24"/>
      <c r="AF15" s="24"/>
      <c r="AG15" s="24"/>
      <c r="AH15" s="24"/>
    </row>
    <row r="16" ht="14.25" customHeight="1">
      <c r="A16" s="24"/>
      <c r="B16" s="37" t="s">
        <v>25</v>
      </c>
      <c r="C16" s="70">
        <f>Q31+R31+S31</f>
        <v>1250</v>
      </c>
      <c r="D16" s="24"/>
      <c r="E16" s="43">
        <v>7.0</v>
      </c>
      <c r="F16" s="56">
        <v>187.0</v>
      </c>
      <c r="G16" s="64"/>
      <c r="H16" s="64">
        <v>187.0</v>
      </c>
      <c r="I16" s="65"/>
      <c r="J16" s="163">
        <v>3895.0</v>
      </c>
      <c r="K16" s="48"/>
      <c r="L16" s="48"/>
      <c r="M16" s="48"/>
      <c r="N16" s="49"/>
      <c r="O16" s="60"/>
      <c r="P16" s="51"/>
      <c r="Q16" s="53"/>
      <c r="R16" s="53"/>
      <c r="S16" s="61"/>
      <c r="T16" s="62"/>
      <c r="U16" s="24"/>
      <c r="V16" s="48"/>
      <c r="W16" s="48"/>
      <c r="X16" s="48"/>
      <c r="Y16" s="24"/>
      <c r="Z16" s="24"/>
      <c r="AA16" s="24"/>
      <c r="AB16" s="24"/>
      <c r="AC16" s="24"/>
      <c r="AD16" s="24"/>
      <c r="AE16" s="24"/>
      <c r="AF16" s="24"/>
      <c r="AG16" s="24"/>
      <c r="AH16" s="24"/>
    </row>
    <row r="17" ht="14.25" customHeight="1">
      <c r="A17" s="24"/>
      <c r="B17" s="41" t="s">
        <v>26</v>
      </c>
      <c r="C17" s="71">
        <f>Q31</f>
        <v>1250</v>
      </c>
      <c r="D17" s="24"/>
      <c r="E17" s="43">
        <v>8.0</v>
      </c>
      <c r="F17" s="56">
        <v>40.0</v>
      </c>
      <c r="G17" s="64"/>
      <c r="H17" s="64">
        <v>40.0</v>
      </c>
      <c r="I17" s="65"/>
      <c r="J17" s="163">
        <v>3896.0</v>
      </c>
      <c r="K17" s="48"/>
      <c r="L17" s="48"/>
      <c r="M17" s="48"/>
      <c r="N17" s="49"/>
      <c r="O17" s="72"/>
      <c r="P17" s="51"/>
      <c r="Q17" s="52"/>
      <c r="R17" s="53"/>
      <c r="S17" s="61"/>
      <c r="T17" s="62"/>
      <c r="U17" s="24"/>
      <c r="V17" s="48"/>
      <c r="W17" s="48"/>
      <c r="X17" s="48"/>
      <c r="Y17" s="24"/>
      <c r="Z17" s="24"/>
      <c r="AA17" s="24"/>
      <c r="AB17" s="24"/>
      <c r="AC17" s="24"/>
      <c r="AD17" s="24"/>
      <c r="AE17" s="24"/>
      <c r="AF17" s="24"/>
      <c r="AG17" s="24"/>
      <c r="AH17" s="24"/>
    </row>
    <row r="18" ht="14.25" customHeight="1">
      <c r="A18" s="24"/>
      <c r="B18" s="41" t="s">
        <v>27</v>
      </c>
      <c r="C18" s="71">
        <f>R31</f>
        <v>0</v>
      </c>
      <c r="D18" s="24"/>
      <c r="E18" s="43">
        <v>9.0</v>
      </c>
      <c r="F18" s="56">
        <v>298.0</v>
      </c>
      <c r="G18" s="64">
        <v>298.0</v>
      </c>
      <c r="H18" s="64"/>
      <c r="I18" s="65"/>
      <c r="J18" s="163">
        <v>3897.0</v>
      </c>
      <c r="K18" s="48"/>
      <c r="L18" s="48"/>
      <c r="M18" s="48"/>
      <c r="N18" s="49"/>
      <c r="O18" s="60"/>
      <c r="P18" s="51"/>
      <c r="Q18" s="53"/>
      <c r="R18" s="53"/>
      <c r="S18" s="61"/>
      <c r="T18" s="62"/>
      <c r="U18" s="24"/>
      <c r="V18" s="48"/>
      <c r="W18" s="48"/>
      <c r="X18" s="48"/>
      <c r="Y18" s="24"/>
      <c r="Z18" s="24"/>
      <c r="AA18" s="24"/>
      <c r="AB18" s="24"/>
      <c r="AC18" s="24"/>
      <c r="AD18" s="24"/>
      <c r="AE18" s="24"/>
      <c r="AF18" s="24"/>
      <c r="AG18" s="24"/>
      <c r="AH18" s="24"/>
    </row>
    <row r="19" ht="14.25" customHeight="1">
      <c r="A19" s="24"/>
      <c r="B19" s="41" t="s">
        <v>28</v>
      </c>
      <c r="C19" s="71">
        <f>S31</f>
        <v>0</v>
      </c>
      <c r="D19" s="24"/>
      <c r="E19" s="43">
        <v>10.0</v>
      </c>
      <c r="F19" s="56">
        <v>232.0</v>
      </c>
      <c r="G19" s="64">
        <v>232.0</v>
      </c>
      <c r="H19" s="65"/>
      <c r="I19" s="65"/>
      <c r="J19" s="163">
        <v>3898.0</v>
      </c>
      <c r="K19" s="48"/>
      <c r="L19" s="48"/>
      <c r="M19" s="48"/>
      <c r="N19" s="73"/>
      <c r="O19" s="72"/>
      <c r="P19" s="51"/>
      <c r="Q19" s="52"/>
      <c r="R19" s="53"/>
      <c r="S19" s="61"/>
      <c r="T19" s="62"/>
      <c r="U19" s="24"/>
      <c r="V19" s="48"/>
      <c r="W19" s="48"/>
      <c r="X19" s="48"/>
      <c r="Y19" s="24"/>
      <c r="Z19" s="24"/>
      <c r="AA19" s="24"/>
      <c r="AB19" s="24"/>
      <c r="AC19" s="24"/>
      <c r="AD19" s="24"/>
      <c r="AE19" s="24"/>
      <c r="AF19" s="24"/>
      <c r="AG19" s="24"/>
      <c r="AH19" s="24"/>
    </row>
    <row r="20" ht="14.25" customHeight="1">
      <c r="A20" s="24"/>
      <c r="B20" s="74" t="s">
        <v>29</v>
      </c>
      <c r="C20" s="75">
        <f>C7+C12-C13-C14-C19</f>
        <v>50322</v>
      </c>
      <c r="D20" s="24"/>
      <c r="E20" s="43">
        <v>11.0</v>
      </c>
      <c r="F20" s="56">
        <v>399.0</v>
      </c>
      <c r="G20" s="64">
        <v>399.0</v>
      </c>
      <c r="H20" s="64"/>
      <c r="I20" s="65"/>
      <c r="J20" s="163">
        <v>3899.0</v>
      </c>
      <c r="K20" s="48"/>
      <c r="L20" s="48"/>
      <c r="M20" s="48"/>
      <c r="N20" s="73"/>
      <c r="O20" s="76"/>
      <c r="P20" s="51"/>
      <c r="Q20" s="53"/>
      <c r="R20" s="53"/>
      <c r="S20" s="61"/>
      <c r="T20" s="55"/>
      <c r="U20" s="24"/>
      <c r="V20" s="48"/>
      <c r="W20" s="48"/>
      <c r="X20" s="48"/>
      <c r="Y20" s="24"/>
      <c r="Z20" s="24"/>
      <c r="AA20" s="24"/>
      <c r="AB20" s="24"/>
      <c r="AC20" s="24"/>
      <c r="AD20" s="24"/>
      <c r="AE20" s="24"/>
      <c r="AF20" s="24"/>
      <c r="AG20" s="24"/>
      <c r="AH20" s="24"/>
    </row>
    <row r="21" ht="14.25" customHeight="1">
      <c r="A21" s="24"/>
      <c r="B21" s="77" t="s">
        <v>30</v>
      </c>
      <c r="C21" s="78">
        <f>C6+C11+C14-C18-R33</f>
        <v>331089</v>
      </c>
      <c r="D21" s="24"/>
      <c r="E21" s="43">
        <v>12.0</v>
      </c>
      <c r="F21" s="56">
        <v>65.0</v>
      </c>
      <c r="G21" s="64">
        <v>65.0</v>
      </c>
      <c r="H21" s="64"/>
      <c r="I21" s="65"/>
      <c r="J21" s="163">
        <v>3900.0</v>
      </c>
      <c r="K21" s="48"/>
      <c r="L21" s="48"/>
      <c r="M21" s="48"/>
      <c r="N21" s="73"/>
      <c r="O21" s="76"/>
      <c r="P21" s="51"/>
      <c r="Q21" s="53"/>
      <c r="R21" s="53"/>
      <c r="S21" s="61"/>
      <c r="T21" s="55"/>
      <c r="U21" s="24"/>
      <c r="V21" s="48"/>
      <c r="W21" s="48"/>
      <c r="X21" s="48"/>
      <c r="Y21" s="24"/>
      <c r="Z21" s="24"/>
      <c r="AA21" s="24"/>
      <c r="AB21" s="24"/>
      <c r="AC21" s="24"/>
      <c r="AD21" s="24"/>
      <c r="AE21" s="24"/>
      <c r="AF21" s="24"/>
      <c r="AG21" s="24"/>
      <c r="AH21" s="24"/>
    </row>
    <row r="22" ht="14.25" customHeight="1">
      <c r="A22" s="24"/>
      <c r="B22" s="79" t="s">
        <v>31</v>
      </c>
      <c r="C22" s="80">
        <f>C5+C8+C10+C13-C17-Q32-Q34</f>
        <v>35821</v>
      </c>
      <c r="D22" s="24"/>
      <c r="E22" s="43">
        <v>13.0</v>
      </c>
      <c r="F22" s="56">
        <v>488.0</v>
      </c>
      <c r="G22" s="64">
        <v>488.0</v>
      </c>
      <c r="H22" s="64"/>
      <c r="I22" s="65"/>
      <c r="J22" s="163">
        <v>3901.0</v>
      </c>
      <c r="K22" s="48"/>
      <c r="L22" s="48"/>
      <c r="M22" s="48"/>
      <c r="N22" s="49"/>
      <c r="O22" s="60"/>
      <c r="P22" s="51"/>
      <c r="Q22" s="53"/>
      <c r="R22" s="53"/>
      <c r="S22" s="61"/>
      <c r="T22" s="55"/>
      <c r="U22" s="24"/>
      <c r="V22" s="48"/>
      <c r="W22" s="48"/>
      <c r="X22" s="48"/>
      <c r="Y22" s="24"/>
      <c r="Z22" s="24"/>
      <c r="AA22" s="24"/>
      <c r="AB22" s="24"/>
      <c r="AC22" s="24"/>
      <c r="AD22" s="24"/>
      <c r="AE22" s="24"/>
      <c r="AF22" s="24"/>
      <c r="AG22" s="24"/>
      <c r="AH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>
        <v>65.0</v>
      </c>
      <c r="G23" s="64">
        <v>65.0</v>
      </c>
      <c r="H23" s="65"/>
      <c r="I23" s="65"/>
      <c r="J23" s="163">
        <v>3902.0</v>
      </c>
      <c r="K23" s="48"/>
      <c r="L23" s="48"/>
      <c r="M23" s="48"/>
      <c r="N23" s="49"/>
      <c r="O23" s="60"/>
      <c r="P23" s="51"/>
      <c r="Q23" s="53"/>
      <c r="R23" s="53"/>
      <c r="S23" s="61"/>
      <c r="T23" s="62"/>
      <c r="U23" s="24"/>
      <c r="V23" s="48"/>
      <c r="W23" s="48"/>
      <c r="X23" s="48"/>
      <c r="Y23" s="24"/>
      <c r="Z23" s="24"/>
      <c r="AA23" s="24"/>
      <c r="AB23" s="24"/>
      <c r="AC23" s="24"/>
      <c r="AD23" s="24"/>
      <c r="AE23" s="24"/>
      <c r="AF23" s="24"/>
      <c r="AG23" s="24"/>
      <c r="AH23" s="24"/>
    </row>
    <row r="24" ht="14.25" customHeight="1">
      <c r="A24" s="24"/>
      <c r="B24" s="83" t="s">
        <v>33</v>
      </c>
      <c r="C24" s="84">
        <f>C22-C23</f>
        <v>35821</v>
      </c>
      <c r="D24" s="24"/>
      <c r="E24" s="43">
        <v>15.0</v>
      </c>
      <c r="F24" s="56">
        <v>189.0</v>
      </c>
      <c r="G24" s="64">
        <v>189.0</v>
      </c>
      <c r="H24" s="65"/>
      <c r="I24" s="65"/>
      <c r="J24" s="163">
        <v>3903.0</v>
      </c>
      <c r="K24" s="48"/>
      <c r="L24" s="48"/>
      <c r="M24" s="48"/>
      <c r="N24" s="49"/>
      <c r="O24" s="60"/>
      <c r="P24" s="51"/>
      <c r="Q24" s="52"/>
      <c r="R24" s="53"/>
      <c r="S24" s="61"/>
      <c r="T24" s="55"/>
      <c r="U24" s="24"/>
      <c r="V24" s="48"/>
      <c r="W24" s="48"/>
      <c r="X24" s="48"/>
      <c r="Y24" s="24"/>
      <c r="Z24" s="24"/>
      <c r="AA24" s="24"/>
      <c r="AB24" s="24"/>
      <c r="AC24" s="24"/>
      <c r="AD24" s="24"/>
      <c r="AE24" s="24"/>
      <c r="AF24" s="24"/>
      <c r="AG24" s="24"/>
      <c r="AH24" s="24"/>
    </row>
    <row r="25" ht="14.25" customHeight="1">
      <c r="A25" s="24"/>
      <c r="B25" s="1"/>
      <c r="C25" s="1"/>
      <c r="D25" s="24"/>
      <c r="E25" s="43">
        <v>16.0</v>
      </c>
      <c r="F25" s="56">
        <v>265.0</v>
      </c>
      <c r="G25" s="64"/>
      <c r="H25" s="64">
        <v>265.0</v>
      </c>
      <c r="I25" s="65"/>
      <c r="J25" s="163">
        <v>3904.0</v>
      </c>
      <c r="K25" s="48"/>
      <c r="L25" s="48"/>
      <c r="M25" s="48"/>
      <c r="N25" s="49"/>
      <c r="O25" s="60"/>
      <c r="P25" s="51"/>
      <c r="Q25" s="53"/>
      <c r="R25" s="53"/>
      <c r="S25" s="61"/>
      <c r="T25" s="55"/>
      <c r="U25" s="24"/>
      <c r="V25" s="48"/>
      <c r="W25" s="48"/>
      <c r="X25" s="48"/>
      <c r="Y25" s="24"/>
      <c r="Z25" s="24"/>
      <c r="AA25" s="24"/>
      <c r="AB25" s="24"/>
      <c r="AC25" s="24"/>
      <c r="AD25" s="24"/>
      <c r="AE25" s="24"/>
      <c r="AF25" s="24"/>
      <c r="AG25" s="24"/>
      <c r="AH25" s="24"/>
    </row>
    <row r="26" ht="14.25" customHeight="1">
      <c r="A26" s="24"/>
      <c r="B26" s="85" t="s">
        <v>34</v>
      </c>
      <c r="C26" s="86">
        <f>F97</f>
        <v>24394</v>
      </c>
      <c r="D26" s="24"/>
      <c r="E26" s="43">
        <v>17.0</v>
      </c>
      <c r="F26" s="56">
        <v>578.0</v>
      </c>
      <c r="G26" s="64"/>
      <c r="H26" s="64">
        <v>578.0</v>
      </c>
      <c r="I26" s="65"/>
      <c r="J26" s="163">
        <v>3905.0</v>
      </c>
      <c r="K26" s="48"/>
      <c r="L26" s="48"/>
      <c r="M26" s="48"/>
      <c r="N26" s="49"/>
      <c r="O26" s="60"/>
      <c r="P26" s="51"/>
      <c r="Q26" s="53"/>
      <c r="R26" s="53"/>
      <c r="S26" s="61"/>
      <c r="T26" s="55"/>
      <c r="U26" s="24"/>
      <c r="V26" s="48"/>
      <c r="W26" s="48"/>
      <c r="X26" s="48"/>
      <c r="Y26" s="24"/>
      <c r="Z26" s="24"/>
      <c r="AA26" s="24"/>
      <c r="AB26" s="24"/>
      <c r="AC26" s="24"/>
      <c r="AD26" s="24"/>
      <c r="AE26" s="24"/>
      <c r="AF26" s="24"/>
      <c r="AG26" s="24"/>
      <c r="AH26" s="24"/>
    </row>
    <row r="27" ht="14.25" customHeight="1">
      <c r="A27" s="24"/>
      <c r="B27" s="85" t="s">
        <v>35</v>
      </c>
      <c r="C27" s="87">
        <v>72.0</v>
      </c>
      <c r="D27" s="24"/>
      <c r="E27" s="43">
        <v>18.0</v>
      </c>
      <c r="F27" s="56">
        <v>249.0</v>
      </c>
      <c r="G27" s="64"/>
      <c r="H27" s="64">
        <v>249.0</v>
      </c>
      <c r="I27" s="65"/>
      <c r="J27" s="163">
        <v>3906.0</v>
      </c>
      <c r="K27" s="48"/>
      <c r="L27" s="48"/>
      <c r="M27" s="48"/>
      <c r="N27" s="49"/>
      <c r="O27" s="60"/>
      <c r="P27" s="51"/>
      <c r="Q27" s="53"/>
      <c r="R27" s="53"/>
      <c r="S27" s="61"/>
      <c r="T27" s="55"/>
      <c r="U27" s="24"/>
      <c r="V27" s="48"/>
      <c r="W27" s="48"/>
      <c r="X27" s="48"/>
      <c r="Y27" s="24"/>
      <c r="Z27" s="24"/>
      <c r="AA27" s="24"/>
      <c r="AB27" s="24"/>
      <c r="AC27" s="24"/>
      <c r="AD27" s="24"/>
      <c r="AE27" s="24"/>
      <c r="AF27" s="24"/>
      <c r="AG27" s="24"/>
      <c r="AH27" s="24"/>
    </row>
    <row r="28" ht="16.5" customHeight="1">
      <c r="A28" s="24"/>
      <c r="B28" s="88" t="s">
        <v>36</v>
      </c>
      <c r="C28" s="89">
        <f>C26/C27</f>
        <v>338.8055556</v>
      </c>
      <c r="D28" s="24"/>
      <c r="E28" s="43">
        <v>19.0</v>
      </c>
      <c r="F28" s="56">
        <v>20.0</v>
      </c>
      <c r="G28" s="64">
        <v>20.0</v>
      </c>
      <c r="H28" s="65"/>
      <c r="I28" s="65"/>
      <c r="J28" s="163">
        <v>3907.0</v>
      </c>
      <c r="K28" s="48"/>
      <c r="L28" s="48"/>
      <c r="M28" s="48"/>
      <c r="N28" s="49"/>
      <c r="O28" s="60"/>
      <c r="P28" s="51"/>
      <c r="Q28" s="53"/>
      <c r="R28" s="53"/>
      <c r="S28" s="61"/>
      <c r="T28" s="55"/>
      <c r="U28" s="24"/>
      <c r="V28" s="48"/>
      <c r="W28" s="48"/>
      <c r="X28" s="48"/>
      <c r="Y28" s="24"/>
      <c r="Z28" s="24"/>
      <c r="AA28" s="24"/>
      <c r="AB28" s="24"/>
      <c r="AC28" s="24"/>
      <c r="AD28" s="24"/>
      <c r="AE28" s="24"/>
      <c r="AF28" s="24"/>
      <c r="AG28" s="24"/>
      <c r="AH28" s="24"/>
    </row>
    <row r="29" ht="14.25" customHeight="1">
      <c r="A29" s="24"/>
      <c r="B29" s="1"/>
      <c r="C29" s="1"/>
      <c r="D29" s="24"/>
      <c r="E29" s="43">
        <v>20.0</v>
      </c>
      <c r="F29" s="56">
        <v>15.0</v>
      </c>
      <c r="G29" s="64">
        <v>15.0</v>
      </c>
      <c r="H29" s="65"/>
      <c r="I29" s="65"/>
      <c r="J29" s="163">
        <v>3908.0</v>
      </c>
      <c r="K29" s="48"/>
      <c r="L29" s="48"/>
      <c r="M29" s="48"/>
      <c r="N29" s="49"/>
      <c r="O29" s="60"/>
      <c r="P29" s="51"/>
      <c r="Q29" s="53"/>
      <c r="R29" s="53"/>
      <c r="S29" s="61"/>
      <c r="T29" s="55"/>
      <c r="U29" s="24"/>
      <c r="V29" s="48"/>
      <c r="W29" s="48"/>
      <c r="X29" s="48"/>
      <c r="Y29" s="24"/>
      <c r="Z29" s="24"/>
      <c r="AA29" s="24"/>
      <c r="AB29" s="24"/>
      <c r="AC29" s="24"/>
      <c r="AD29" s="24"/>
      <c r="AE29" s="24"/>
      <c r="AF29" s="24"/>
      <c r="AG29" s="24"/>
      <c r="AH29" s="24"/>
    </row>
    <row r="30" ht="14.25" customHeight="1">
      <c r="A30" s="24"/>
      <c r="B30" s="90" t="s">
        <v>37</v>
      </c>
      <c r="C30" s="91" t="str">
        <f>Q32</f>
        <v/>
      </c>
      <c r="D30" s="24"/>
      <c r="E30" s="43">
        <v>21.0</v>
      </c>
      <c r="F30" s="56">
        <v>189.0</v>
      </c>
      <c r="G30" s="92"/>
      <c r="H30" s="93">
        <v>189.0</v>
      </c>
      <c r="I30" s="93"/>
      <c r="J30" s="163">
        <v>3909.0</v>
      </c>
      <c r="K30" s="48"/>
      <c r="L30" s="48"/>
      <c r="M30" s="48"/>
      <c r="N30" s="49"/>
      <c r="O30" s="60"/>
      <c r="P30" s="51"/>
      <c r="Q30" s="53"/>
      <c r="R30" s="52"/>
      <c r="S30" s="54"/>
      <c r="T30" s="55"/>
      <c r="U30" s="24"/>
      <c r="V30" s="48"/>
      <c r="W30" s="48"/>
      <c r="X30" s="48"/>
      <c r="Y30" s="24"/>
      <c r="Z30" s="24"/>
      <c r="AA30" s="24"/>
      <c r="AB30" s="24"/>
      <c r="AC30" s="24"/>
      <c r="AD30" s="24"/>
      <c r="AE30" s="24"/>
      <c r="AF30" s="24"/>
      <c r="AG30" s="24"/>
      <c r="AH30" s="24"/>
    </row>
    <row r="31" ht="14.25" customHeight="1">
      <c r="A31" s="24"/>
      <c r="B31" s="85" t="s">
        <v>38</v>
      </c>
      <c r="C31" s="89" t="str">
        <f>R33</f>
        <v/>
      </c>
      <c r="D31" s="24"/>
      <c r="E31" s="43">
        <v>22.0</v>
      </c>
      <c r="F31" s="56">
        <v>218.0</v>
      </c>
      <c r="G31" s="93"/>
      <c r="H31" s="93">
        <v>218.0</v>
      </c>
      <c r="I31" s="92"/>
      <c r="J31" s="163">
        <v>3910.0</v>
      </c>
      <c r="K31" s="48"/>
      <c r="L31" s="48"/>
      <c r="M31" s="48"/>
      <c r="N31" s="94"/>
      <c r="O31" s="95" t="s">
        <v>39</v>
      </c>
      <c r="P31" s="7"/>
      <c r="Q31" s="96">
        <f t="shared" ref="Q31:S31" si="1">SUM(Q10:Q30)</f>
        <v>1250</v>
      </c>
      <c r="R31" s="96">
        <f t="shared" si="1"/>
        <v>0</v>
      </c>
      <c r="S31" s="96">
        <f t="shared" si="1"/>
        <v>0</v>
      </c>
      <c r="T31" s="97"/>
      <c r="U31" s="24"/>
      <c r="V31" s="48"/>
      <c r="W31" s="48"/>
      <c r="X31" s="48"/>
      <c r="Y31" s="24"/>
      <c r="Z31" s="24"/>
      <c r="AA31" s="24"/>
      <c r="AB31" s="24"/>
      <c r="AC31" s="24"/>
      <c r="AD31" s="24"/>
      <c r="AE31" s="24"/>
      <c r="AF31" s="24"/>
      <c r="AG31" s="24"/>
      <c r="AH31" s="24"/>
    </row>
    <row r="32" ht="14.25" customHeight="1">
      <c r="A32" s="24"/>
      <c r="B32" s="85" t="s">
        <v>40</v>
      </c>
      <c r="C32" s="89">
        <f>Q34</f>
        <v>3500</v>
      </c>
      <c r="D32" s="24"/>
      <c r="E32" s="43">
        <v>23.0</v>
      </c>
      <c r="F32" s="56">
        <v>21.0</v>
      </c>
      <c r="G32" s="93">
        <v>21.0</v>
      </c>
      <c r="H32" s="92"/>
      <c r="I32" s="92"/>
      <c r="J32" s="163">
        <v>3911.0</v>
      </c>
      <c r="K32" s="48"/>
      <c r="L32" s="48"/>
      <c r="M32" s="48"/>
      <c r="N32" s="98"/>
      <c r="O32" s="90" t="s">
        <v>37</v>
      </c>
      <c r="P32" s="51"/>
      <c r="Q32" s="99"/>
      <c r="R32" s="100"/>
      <c r="S32" s="101"/>
      <c r="T32" s="55"/>
      <c r="U32" s="24"/>
      <c r="V32" s="48"/>
      <c r="W32" s="48"/>
      <c r="X32" s="48"/>
      <c r="Y32" s="24"/>
      <c r="Z32" s="24"/>
      <c r="AA32" s="24"/>
      <c r="AB32" s="24"/>
      <c r="AC32" s="24"/>
      <c r="AD32" s="24"/>
      <c r="AE32" s="24"/>
      <c r="AF32" s="24"/>
      <c r="AG32" s="24"/>
      <c r="AH32" s="24"/>
    </row>
    <row r="33" ht="14.25" customHeight="1">
      <c r="A33" s="24"/>
      <c r="B33" s="102"/>
      <c r="C33" s="103"/>
      <c r="D33" s="24"/>
      <c r="E33" s="43">
        <v>24.0</v>
      </c>
      <c r="F33" s="56">
        <v>334.0</v>
      </c>
      <c r="G33" s="93"/>
      <c r="H33" s="93">
        <v>334.0</v>
      </c>
      <c r="I33" s="92"/>
      <c r="J33" s="163">
        <v>3912.0</v>
      </c>
      <c r="K33" s="104">
        <f t="shared" ref="K33:L33" si="2">sum(K10:K32)</f>
        <v>0</v>
      </c>
      <c r="L33" s="104">
        <f t="shared" si="2"/>
        <v>0</v>
      </c>
      <c r="M33" s="104"/>
      <c r="N33" s="105"/>
      <c r="O33" s="85" t="s">
        <v>38</v>
      </c>
      <c r="P33" s="51"/>
      <c r="Q33" s="164">
        <v>35.0</v>
      </c>
      <c r="R33" s="52"/>
      <c r="S33" s="101"/>
      <c r="T33" s="55"/>
      <c r="U33" s="24"/>
      <c r="V33" s="104">
        <f t="shared" ref="V33:W33" si="3">sum(V10:V32)</f>
        <v>0</v>
      </c>
      <c r="W33" s="104">
        <f t="shared" si="3"/>
        <v>0</v>
      </c>
      <c r="X33" s="104">
        <f>V33+W33</f>
        <v>0</v>
      </c>
      <c r="Y33" s="24"/>
      <c r="Z33" s="24"/>
      <c r="AA33" s="24"/>
      <c r="AB33" s="24"/>
      <c r="AC33" s="24"/>
      <c r="AD33" s="24"/>
      <c r="AE33" s="24"/>
      <c r="AF33" s="24"/>
      <c r="AG33" s="24"/>
      <c r="AH33" s="24"/>
    </row>
    <row r="34" ht="14.25" customHeight="1">
      <c r="A34" s="1"/>
      <c r="B34" s="102"/>
      <c r="C34" s="9"/>
      <c r="D34" s="24"/>
      <c r="E34" s="43">
        <v>25.0</v>
      </c>
      <c r="F34" s="56">
        <v>538.0</v>
      </c>
      <c r="G34" s="93">
        <v>538.0</v>
      </c>
      <c r="H34" s="92"/>
      <c r="I34" s="92"/>
      <c r="J34" s="163">
        <v>3913.0</v>
      </c>
      <c r="K34" s="106"/>
      <c r="L34" s="106"/>
      <c r="M34" s="106"/>
      <c r="N34" s="106"/>
      <c r="O34" s="85" t="s">
        <v>40</v>
      </c>
      <c r="P34" s="107"/>
      <c r="Q34" s="130">
        <v>3500.0</v>
      </c>
      <c r="R34" s="109"/>
      <c r="S34" s="110"/>
      <c r="T34" s="111"/>
      <c r="U34" s="24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</row>
    <row r="35" ht="14.25" customHeight="1">
      <c r="A35" s="1"/>
      <c r="B35" s="1"/>
      <c r="C35" s="1"/>
      <c r="D35" s="24"/>
      <c r="E35" s="43">
        <v>26.0</v>
      </c>
      <c r="F35" s="56">
        <v>268.0</v>
      </c>
      <c r="G35" s="93">
        <v>268.0</v>
      </c>
      <c r="H35" s="93"/>
      <c r="I35" s="92"/>
      <c r="J35" s="163">
        <v>3914.0</v>
      </c>
      <c r="K35" s="112"/>
      <c r="L35" s="112"/>
      <c r="M35" s="112"/>
      <c r="N35" s="112"/>
      <c r="O35" s="112"/>
      <c r="P35" s="113"/>
      <c r="Q35" s="114"/>
      <c r="R35" s="114"/>
      <c r="S35" s="114"/>
      <c r="T35" s="115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</row>
    <row r="36" ht="14.25" customHeight="1">
      <c r="A36" s="1"/>
      <c r="B36" s="116"/>
      <c r="D36" s="24"/>
      <c r="E36" s="43">
        <v>27.0</v>
      </c>
      <c r="F36" s="56">
        <v>421.0</v>
      </c>
      <c r="G36" s="93">
        <v>421.0</v>
      </c>
      <c r="H36" s="93"/>
      <c r="I36" s="92"/>
      <c r="J36" s="163">
        <v>3915.0</v>
      </c>
      <c r="K36" s="112"/>
      <c r="L36" s="112"/>
      <c r="M36" s="112"/>
      <c r="N36" s="112"/>
      <c r="O36" s="112"/>
      <c r="P36" s="113"/>
      <c r="Q36" s="114"/>
      <c r="R36" s="114"/>
      <c r="S36" s="114"/>
      <c r="T36" s="115"/>
      <c r="U36" s="24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</row>
    <row r="37" ht="14.25" customHeight="1">
      <c r="A37" s="1"/>
      <c r="D37" s="24"/>
      <c r="E37" s="43">
        <v>28.0</v>
      </c>
      <c r="F37" s="56">
        <v>562.0</v>
      </c>
      <c r="G37" s="93"/>
      <c r="H37" s="93">
        <v>562.0</v>
      </c>
      <c r="I37" s="92"/>
      <c r="J37" s="163">
        <v>3916.0</v>
      </c>
      <c r="K37" s="112"/>
      <c r="L37" s="117"/>
      <c r="M37" s="112"/>
      <c r="N37" s="112"/>
      <c r="O37" s="112"/>
      <c r="P37" s="113"/>
      <c r="Q37" s="114"/>
      <c r="R37" s="114"/>
      <c r="S37" s="114"/>
      <c r="T37" s="115"/>
      <c r="U37" s="24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</row>
    <row r="38" ht="14.25" customHeight="1">
      <c r="A38" s="1"/>
      <c r="B38" s="118"/>
      <c r="C38" s="118"/>
      <c r="D38" s="24"/>
      <c r="E38" s="43">
        <v>29.0</v>
      </c>
      <c r="F38" s="56">
        <v>428.0</v>
      </c>
      <c r="G38" s="93">
        <v>428.0</v>
      </c>
      <c r="H38" s="92"/>
      <c r="I38" s="92"/>
      <c r="J38" s="163">
        <v>3917.0</v>
      </c>
      <c r="K38" s="112"/>
      <c r="L38" s="117"/>
      <c r="M38" s="112"/>
      <c r="N38" s="112"/>
      <c r="O38" s="112"/>
      <c r="P38" s="113"/>
      <c r="Q38" s="114"/>
      <c r="R38" s="114"/>
      <c r="S38" s="114"/>
      <c r="T38" s="115"/>
      <c r="U38" s="24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</row>
    <row r="39" ht="14.25" customHeight="1">
      <c r="A39" s="1"/>
      <c r="B39" s="1"/>
      <c r="C39" s="1"/>
      <c r="D39" s="24"/>
      <c r="E39" s="43">
        <v>30.0</v>
      </c>
      <c r="F39" s="56">
        <v>2534.0</v>
      </c>
      <c r="G39" s="93">
        <v>2534.0</v>
      </c>
      <c r="H39" s="93"/>
      <c r="I39" s="92"/>
      <c r="J39" s="163">
        <v>3918.0</v>
      </c>
      <c r="K39" s="112"/>
      <c r="L39" s="117"/>
      <c r="M39" s="112"/>
      <c r="N39" s="112"/>
      <c r="O39" s="112"/>
      <c r="P39" s="113"/>
      <c r="Q39" s="114"/>
      <c r="R39" s="114"/>
      <c r="S39" s="114"/>
      <c r="T39" s="115"/>
      <c r="U39" s="24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</row>
    <row r="40" ht="14.25" customHeight="1">
      <c r="A40" s="1"/>
      <c r="B40" s="1"/>
      <c r="C40" s="1"/>
      <c r="D40" s="24"/>
      <c r="E40" s="43">
        <v>31.0</v>
      </c>
      <c r="F40" s="56">
        <v>181.0</v>
      </c>
      <c r="G40" s="93">
        <v>181.0</v>
      </c>
      <c r="H40" s="93"/>
      <c r="I40" s="92"/>
      <c r="J40" s="163">
        <v>3919.0</v>
      </c>
      <c r="K40" s="112"/>
      <c r="L40" s="112"/>
      <c r="M40" s="112"/>
      <c r="N40" s="112"/>
      <c r="O40" s="112"/>
      <c r="P40" s="113"/>
      <c r="Q40" s="114"/>
      <c r="R40" s="114"/>
      <c r="S40" s="114"/>
      <c r="T40" s="115"/>
      <c r="U40" s="24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</row>
    <row r="41" ht="14.25" customHeight="1">
      <c r="A41" s="1"/>
      <c r="B41" s="1"/>
      <c r="C41" s="1"/>
      <c r="D41" s="24"/>
      <c r="E41" s="43">
        <v>32.0</v>
      </c>
      <c r="F41" s="56">
        <v>319.0</v>
      </c>
      <c r="G41" s="92"/>
      <c r="H41" s="93">
        <v>319.0</v>
      </c>
      <c r="I41" s="92"/>
      <c r="J41" s="163">
        <v>3920.0</v>
      </c>
      <c r="K41" s="112"/>
      <c r="L41" s="112"/>
      <c r="M41" s="112"/>
      <c r="N41" s="112"/>
      <c r="O41" s="112"/>
      <c r="P41" s="113"/>
      <c r="Q41" s="119"/>
      <c r="R41" s="114"/>
      <c r="S41" s="114"/>
      <c r="T41" s="115"/>
      <c r="U41" s="24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</row>
    <row r="42" ht="14.25" customHeight="1">
      <c r="A42" s="1"/>
      <c r="B42" s="1"/>
      <c r="C42" s="1"/>
      <c r="D42" s="24"/>
      <c r="E42" s="43">
        <v>33.0</v>
      </c>
      <c r="F42" s="56">
        <v>45.0</v>
      </c>
      <c r="G42" s="93"/>
      <c r="H42" s="93">
        <v>45.0</v>
      </c>
      <c r="I42" s="92"/>
      <c r="J42" s="163">
        <v>3921.0</v>
      </c>
      <c r="K42" s="112"/>
      <c r="L42" s="117"/>
      <c r="M42" s="112"/>
      <c r="N42" s="112"/>
      <c r="O42" s="112"/>
      <c r="P42" s="113"/>
      <c r="Q42" s="114"/>
      <c r="R42" s="114"/>
      <c r="S42" s="114"/>
      <c r="T42" s="115"/>
      <c r="U42" s="24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</row>
    <row r="43" ht="14.25" customHeight="1">
      <c r="A43" s="1"/>
      <c r="B43" s="1"/>
      <c r="C43" s="1"/>
      <c r="D43" s="24"/>
      <c r="E43" s="43">
        <v>34.0</v>
      </c>
      <c r="F43" s="56">
        <v>10.0</v>
      </c>
      <c r="G43" s="93">
        <v>10.0</v>
      </c>
      <c r="H43" s="92"/>
      <c r="I43" s="92"/>
      <c r="J43" s="163">
        <v>3922.0</v>
      </c>
      <c r="K43" s="112"/>
      <c r="L43" s="112"/>
      <c r="M43" s="112"/>
      <c r="N43" s="112"/>
      <c r="O43" s="112"/>
      <c r="P43" s="113"/>
      <c r="Q43" s="114"/>
      <c r="R43" s="114"/>
      <c r="S43" s="114"/>
      <c r="T43" s="115"/>
      <c r="U43" s="24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</row>
    <row r="44" ht="14.25" customHeight="1">
      <c r="A44" s="1"/>
      <c r="B44" s="1"/>
      <c r="C44" s="1"/>
      <c r="D44" s="24"/>
      <c r="E44" s="43">
        <v>35.0</v>
      </c>
      <c r="F44" s="56">
        <v>724.0</v>
      </c>
      <c r="G44" s="92"/>
      <c r="H44" s="93">
        <v>724.0</v>
      </c>
      <c r="I44" s="92"/>
      <c r="J44" s="163">
        <v>3923.0</v>
      </c>
      <c r="K44" s="112"/>
      <c r="L44" s="112"/>
      <c r="M44" s="112"/>
      <c r="N44" s="112"/>
      <c r="O44" s="112"/>
      <c r="P44" s="113"/>
      <c r="Q44" s="114"/>
      <c r="R44" s="114"/>
      <c r="S44" s="114"/>
      <c r="T44" s="115"/>
      <c r="U44" s="24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</row>
    <row r="45" ht="14.25" customHeight="1">
      <c r="A45" s="1"/>
      <c r="B45" s="1"/>
      <c r="C45" s="1"/>
      <c r="D45" s="24"/>
      <c r="E45" s="43">
        <v>36.0</v>
      </c>
      <c r="F45" s="56">
        <v>207.0</v>
      </c>
      <c r="G45" s="93">
        <v>207.0</v>
      </c>
      <c r="H45" s="92"/>
      <c r="I45" s="92"/>
      <c r="J45" s="163">
        <v>3924.0</v>
      </c>
      <c r="K45" s="112"/>
      <c r="L45" s="112"/>
      <c r="M45" s="112"/>
      <c r="N45" s="112"/>
      <c r="O45" s="112"/>
      <c r="P45" s="113"/>
      <c r="Q45" s="114"/>
      <c r="R45" s="114"/>
      <c r="S45" s="114"/>
      <c r="T45" s="115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</row>
    <row r="46" ht="14.25" customHeight="1">
      <c r="A46" s="1"/>
      <c r="B46" s="1"/>
      <c r="C46" s="1"/>
      <c r="D46" s="24"/>
      <c r="E46" s="43">
        <v>37.0</v>
      </c>
      <c r="F46" s="56">
        <v>898.0</v>
      </c>
      <c r="G46" s="93">
        <v>898.0</v>
      </c>
      <c r="H46" s="92"/>
      <c r="I46" s="92"/>
      <c r="J46" s="163">
        <v>3925.0</v>
      </c>
      <c r="K46" s="112"/>
      <c r="L46" s="112"/>
      <c r="M46" s="112"/>
      <c r="N46" s="112"/>
      <c r="O46" s="112"/>
      <c r="P46" s="113"/>
      <c r="Q46" s="114"/>
      <c r="R46" s="114"/>
      <c r="S46" s="114"/>
      <c r="T46" s="115"/>
      <c r="U46" s="24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</row>
    <row r="47" ht="14.25" customHeight="1">
      <c r="A47" s="1"/>
      <c r="B47" s="1"/>
      <c r="C47" s="1"/>
      <c r="D47" s="24"/>
      <c r="E47" s="43">
        <v>38.0</v>
      </c>
      <c r="F47" s="56">
        <v>524.0</v>
      </c>
      <c r="G47" s="92"/>
      <c r="H47" s="93">
        <v>524.0</v>
      </c>
      <c r="I47" s="92"/>
      <c r="J47" s="163">
        <v>3926.0</v>
      </c>
      <c r="K47" s="112"/>
      <c r="L47" s="112"/>
      <c r="M47" s="112"/>
      <c r="N47" s="112"/>
      <c r="O47" s="112"/>
      <c r="P47" s="113"/>
      <c r="Q47" s="114"/>
      <c r="R47" s="114"/>
      <c r="S47" s="114"/>
      <c r="T47" s="115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</row>
    <row r="48" ht="14.25" customHeight="1">
      <c r="A48" s="1"/>
      <c r="B48" s="1"/>
      <c r="C48" s="1"/>
      <c r="D48" s="24"/>
      <c r="E48" s="43">
        <v>39.0</v>
      </c>
      <c r="F48" s="56">
        <v>69.0</v>
      </c>
      <c r="G48" s="92"/>
      <c r="H48" s="93">
        <v>69.0</v>
      </c>
      <c r="I48" s="92"/>
      <c r="J48" s="163">
        <v>3927.0</v>
      </c>
      <c r="K48" s="112"/>
      <c r="L48" s="112"/>
      <c r="M48" s="112"/>
      <c r="N48" s="112"/>
      <c r="O48" s="112"/>
      <c r="P48" s="113"/>
      <c r="Q48" s="114"/>
      <c r="R48" s="114"/>
      <c r="S48" s="114"/>
      <c r="T48" s="115"/>
      <c r="U48" s="24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</row>
    <row r="49" ht="14.25" customHeight="1">
      <c r="A49" s="1"/>
      <c r="B49" s="118"/>
      <c r="C49" s="1"/>
      <c r="D49" s="24"/>
      <c r="E49" s="43">
        <v>40.0</v>
      </c>
      <c r="F49" s="56">
        <v>437.0</v>
      </c>
      <c r="G49" s="92"/>
      <c r="H49" s="93">
        <v>437.0</v>
      </c>
      <c r="I49" s="92"/>
      <c r="J49" s="163">
        <v>3928.0</v>
      </c>
      <c r="K49" s="112"/>
      <c r="L49" s="112"/>
      <c r="M49" s="112"/>
      <c r="N49" s="112"/>
      <c r="O49" s="112"/>
      <c r="P49" s="113"/>
      <c r="Q49" s="114"/>
      <c r="R49" s="114"/>
      <c r="S49" s="114"/>
      <c r="T49" s="115"/>
      <c r="U49" s="24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</row>
    <row r="50" ht="14.25" customHeight="1">
      <c r="A50" s="1"/>
      <c r="B50" s="1"/>
      <c r="C50" s="1"/>
      <c r="D50" s="24"/>
      <c r="E50" s="43">
        <v>41.0</v>
      </c>
      <c r="F50" s="56">
        <v>420.0</v>
      </c>
      <c r="G50" s="92"/>
      <c r="H50" s="93">
        <v>420.0</v>
      </c>
      <c r="I50" s="92"/>
      <c r="J50" s="163">
        <v>3929.0</v>
      </c>
      <c r="K50" s="112"/>
      <c r="L50" s="112"/>
      <c r="M50" s="112"/>
      <c r="N50" s="112"/>
      <c r="O50" s="112"/>
      <c r="P50" s="113"/>
      <c r="Q50" s="114"/>
      <c r="R50" s="114"/>
      <c r="S50" s="114"/>
      <c r="T50" s="115"/>
      <c r="U50" s="24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</row>
    <row r="51" ht="14.25" customHeight="1">
      <c r="A51" s="1"/>
      <c r="B51" s="1"/>
      <c r="C51" s="1"/>
      <c r="D51" s="24"/>
      <c r="E51" s="43">
        <v>42.0</v>
      </c>
      <c r="F51" s="56">
        <v>298.0</v>
      </c>
      <c r="G51" s="93">
        <v>298.0</v>
      </c>
      <c r="H51" s="92"/>
      <c r="I51" s="92"/>
      <c r="J51" s="163">
        <v>3930.0</v>
      </c>
      <c r="K51" s="112"/>
      <c r="L51" s="112"/>
      <c r="M51" s="112"/>
      <c r="N51" s="112"/>
      <c r="O51" s="112"/>
      <c r="P51" s="113"/>
      <c r="Q51" s="114"/>
      <c r="R51" s="114"/>
      <c r="S51" s="114"/>
      <c r="T51" s="115"/>
      <c r="U51" s="24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</row>
    <row r="52" ht="14.25" customHeight="1">
      <c r="A52" s="1"/>
      <c r="B52" s="1"/>
      <c r="C52" s="1"/>
      <c r="D52" s="24"/>
      <c r="E52" s="43">
        <v>43.0</v>
      </c>
      <c r="F52" s="56">
        <v>564.0</v>
      </c>
      <c r="G52" s="92"/>
      <c r="H52" s="93">
        <v>564.0</v>
      </c>
      <c r="I52" s="92"/>
      <c r="J52" s="163">
        <v>3931.0</v>
      </c>
      <c r="K52" s="112"/>
      <c r="L52" s="112"/>
      <c r="M52" s="112"/>
      <c r="N52" s="112"/>
      <c r="O52" s="112"/>
      <c r="P52" s="113"/>
      <c r="Q52" s="114"/>
      <c r="R52" s="114"/>
      <c r="S52" s="114"/>
      <c r="T52" s="115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</row>
    <row r="53" ht="14.25" customHeight="1">
      <c r="A53" s="1"/>
      <c r="B53" s="1"/>
      <c r="C53" s="1"/>
      <c r="D53" s="24"/>
      <c r="E53" s="43">
        <v>44.0</v>
      </c>
      <c r="F53" s="56">
        <v>113.0</v>
      </c>
      <c r="G53" s="93">
        <v>113.0</v>
      </c>
      <c r="H53" s="92"/>
      <c r="I53" s="92"/>
      <c r="J53" s="163">
        <v>3932.0</v>
      </c>
      <c r="K53" s="112"/>
      <c r="L53" s="112"/>
      <c r="M53" s="112"/>
      <c r="N53" s="112"/>
      <c r="O53" s="112"/>
      <c r="P53" s="113"/>
      <c r="Q53" s="114"/>
      <c r="R53" s="114"/>
      <c r="S53" s="114"/>
      <c r="T53" s="115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</row>
    <row r="54" ht="14.25" customHeight="1">
      <c r="A54" s="1"/>
      <c r="B54" s="1"/>
      <c r="C54" s="1"/>
      <c r="D54" s="24"/>
      <c r="E54" s="43">
        <v>45.0</v>
      </c>
      <c r="F54" s="56">
        <v>40.0</v>
      </c>
      <c r="G54" s="93">
        <v>40.0</v>
      </c>
      <c r="H54" s="92"/>
      <c r="I54" s="92"/>
      <c r="J54" s="163">
        <v>3933.0</v>
      </c>
      <c r="K54" s="112"/>
      <c r="L54" s="112"/>
      <c r="M54" s="112"/>
      <c r="N54" s="112"/>
      <c r="O54" s="112"/>
      <c r="P54" s="113"/>
      <c r="Q54" s="114"/>
      <c r="R54" s="114"/>
      <c r="S54" s="114"/>
      <c r="T54" s="115"/>
      <c r="U54" s="24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</row>
    <row r="55" ht="14.25" customHeight="1">
      <c r="A55" s="1"/>
      <c r="B55" s="1"/>
      <c r="C55" s="1"/>
      <c r="D55" s="24"/>
      <c r="E55" s="43">
        <v>46.0</v>
      </c>
      <c r="F55" s="56">
        <v>65.0</v>
      </c>
      <c r="G55" s="92"/>
      <c r="H55" s="93">
        <v>65.0</v>
      </c>
      <c r="I55" s="92"/>
      <c r="J55" s="163">
        <v>3934.0</v>
      </c>
      <c r="K55" s="112"/>
      <c r="L55" s="112"/>
      <c r="M55" s="112"/>
      <c r="N55" s="112"/>
      <c r="O55" s="112"/>
      <c r="P55" s="113"/>
      <c r="Q55" s="114"/>
      <c r="R55" s="114"/>
      <c r="S55" s="114"/>
      <c r="T55" s="115"/>
      <c r="U55" s="24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</row>
    <row r="56" ht="14.25" customHeight="1">
      <c r="A56" s="1"/>
      <c r="B56" s="1"/>
      <c r="C56" s="1"/>
      <c r="D56" s="24"/>
      <c r="E56" s="43">
        <v>47.0</v>
      </c>
      <c r="F56" s="56">
        <v>338.0</v>
      </c>
      <c r="G56" s="93">
        <v>300.0</v>
      </c>
      <c r="H56" s="93">
        <v>38.0</v>
      </c>
      <c r="I56" s="92"/>
      <c r="J56" s="163">
        <v>3935.0</v>
      </c>
      <c r="K56" s="112"/>
      <c r="L56" s="112"/>
      <c r="M56" s="112"/>
      <c r="N56" s="112"/>
      <c r="O56" s="112"/>
      <c r="P56" s="113"/>
      <c r="Q56" s="114"/>
      <c r="R56" s="114"/>
      <c r="S56" s="114"/>
      <c r="T56" s="115"/>
      <c r="U56" s="24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</row>
    <row r="57" ht="14.25" customHeight="1">
      <c r="A57" s="1"/>
      <c r="B57" s="1"/>
      <c r="C57" s="1"/>
      <c r="D57" s="24"/>
      <c r="E57" s="43">
        <v>48.0</v>
      </c>
      <c r="F57" s="56">
        <v>19.0</v>
      </c>
      <c r="G57" s="93">
        <v>2.0</v>
      </c>
      <c r="H57" s="93">
        <v>17.0</v>
      </c>
      <c r="I57" s="92"/>
      <c r="J57" s="163">
        <v>3936.0</v>
      </c>
      <c r="K57" s="112"/>
      <c r="L57" s="112"/>
      <c r="M57" s="112"/>
      <c r="N57" s="112"/>
      <c r="O57" s="112"/>
      <c r="P57" s="113"/>
      <c r="Q57" s="114"/>
      <c r="R57" s="114"/>
      <c r="S57" s="114"/>
      <c r="T57" s="115"/>
      <c r="U57" s="24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</row>
    <row r="58" ht="14.25" customHeight="1">
      <c r="A58" s="1"/>
      <c r="B58" s="1"/>
      <c r="C58" s="1"/>
      <c r="D58" s="24"/>
      <c r="E58" s="43">
        <v>49.0</v>
      </c>
      <c r="F58" s="56">
        <v>43.0</v>
      </c>
      <c r="G58" s="92"/>
      <c r="H58" s="93">
        <v>43.0</v>
      </c>
      <c r="I58" s="92"/>
      <c r="J58" s="163">
        <v>3937.0</v>
      </c>
      <c r="K58" s="112"/>
      <c r="L58" s="112"/>
      <c r="M58" s="112"/>
      <c r="N58" s="112"/>
      <c r="O58" s="112"/>
      <c r="P58" s="113"/>
      <c r="Q58" s="114"/>
      <c r="R58" s="114"/>
      <c r="S58" s="114"/>
      <c r="T58" s="115"/>
      <c r="U58" s="24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</row>
    <row r="59" ht="14.25" customHeight="1">
      <c r="A59" s="1"/>
      <c r="B59" s="1"/>
      <c r="C59" s="1"/>
      <c r="D59" s="24"/>
      <c r="E59" s="43">
        <v>50.0</v>
      </c>
      <c r="F59" s="56">
        <v>525.0</v>
      </c>
      <c r="G59" s="93">
        <v>525.0</v>
      </c>
      <c r="H59" s="92"/>
      <c r="I59" s="92"/>
      <c r="J59" s="163">
        <v>3938.0</v>
      </c>
      <c r="K59" s="112"/>
      <c r="L59" s="112"/>
      <c r="M59" s="112"/>
      <c r="N59" s="112"/>
      <c r="O59" s="112"/>
      <c r="P59" s="113"/>
      <c r="Q59" s="114"/>
      <c r="R59" s="114"/>
      <c r="S59" s="114"/>
      <c r="T59" s="115"/>
      <c r="U59" s="24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</row>
    <row r="60" ht="14.25" customHeight="1">
      <c r="A60" s="1"/>
      <c r="B60" s="1"/>
      <c r="C60" s="1"/>
      <c r="D60" s="24"/>
      <c r="E60" s="43">
        <v>51.0</v>
      </c>
      <c r="F60" s="56">
        <v>187.0</v>
      </c>
      <c r="G60" s="92"/>
      <c r="H60" s="93">
        <v>187.0</v>
      </c>
      <c r="I60" s="92"/>
      <c r="J60" s="163">
        <v>3939.0</v>
      </c>
      <c r="K60" s="112"/>
      <c r="L60" s="112"/>
      <c r="M60" s="112"/>
      <c r="N60" s="112"/>
      <c r="O60" s="112"/>
      <c r="P60" s="113"/>
      <c r="Q60" s="114"/>
      <c r="R60" s="114"/>
      <c r="S60" s="114"/>
      <c r="T60" s="115"/>
      <c r="U60" s="24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</row>
    <row r="61" ht="14.25" customHeight="1">
      <c r="A61" s="1"/>
      <c r="B61" s="1"/>
      <c r="C61" s="1"/>
      <c r="D61" s="24"/>
      <c r="E61" s="43">
        <v>52.0</v>
      </c>
      <c r="F61" s="56">
        <v>2541.0</v>
      </c>
      <c r="G61" s="92"/>
      <c r="H61" s="93">
        <v>2541.0</v>
      </c>
      <c r="J61" s="163">
        <v>3940.0</v>
      </c>
      <c r="K61" s="112"/>
      <c r="L61" s="112"/>
      <c r="M61" s="112"/>
      <c r="N61" s="112"/>
      <c r="O61" s="112"/>
      <c r="P61" s="113"/>
      <c r="Q61" s="114"/>
      <c r="R61" s="114"/>
      <c r="S61" s="114"/>
      <c r="T61" s="115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</row>
    <row r="62" ht="14.25" customHeight="1">
      <c r="A62" s="1"/>
      <c r="B62" s="1"/>
      <c r="C62" s="1"/>
      <c r="D62" s="24"/>
      <c r="E62" s="43">
        <v>53.0</v>
      </c>
      <c r="F62" s="56">
        <v>390.0</v>
      </c>
      <c r="G62" s="92"/>
      <c r="H62" s="93">
        <v>390.0</v>
      </c>
      <c r="I62" s="92"/>
      <c r="J62" s="163">
        <v>3941.0</v>
      </c>
      <c r="K62" s="112"/>
      <c r="L62" s="112"/>
      <c r="M62" s="112"/>
      <c r="N62" s="112"/>
      <c r="O62" s="112"/>
      <c r="P62" s="113"/>
      <c r="Q62" s="114"/>
      <c r="R62" s="114"/>
      <c r="S62" s="114"/>
      <c r="T62" s="115"/>
      <c r="U62" s="24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</row>
    <row r="63" ht="14.25" customHeight="1">
      <c r="A63" s="1"/>
      <c r="B63" s="1"/>
      <c r="C63" s="1"/>
      <c r="D63" s="24"/>
      <c r="E63" s="43">
        <v>54.0</v>
      </c>
      <c r="F63" s="56">
        <v>30.0</v>
      </c>
      <c r="G63" s="93">
        <v>30.0</v>
      </c>
      <c r="H63" s="92"/>
      <c r="I63" s="92"/>
      <c r="J63" s="163">
        <v>3942.0</v>
      </c>
      <c r="K63" s="112"/>
      <c r="L63" s="112"/>
      <c r="M63" s="112"/>
      <c r="N63" s="112"/>
      <c r="O63" s="112"/>
      <c r="P63" s="113"/>
      <c r="Q63" s="114"/>
      <c r="R63" s="114"/>
      <c r="S63" s="114"/>
      <c r="T63" s="115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</row>
    <row r="64" ht="14.25" customHeight="1">
      <c r="A64" s="1"/>
      <c r="B64" s="1"/>
      <c r="C64" s="1"/>
      <c r="D64" s="24"/>
      <c r="E64" s="43">
        <v>55.0</v>
      </c>
      <c r="F64" s="56">
        <v>72.0</v>
      </c>
      <c r="G64" s="93">
        <v>72.0</v>
      </c>
      <c r="H64" s="92"/>
      <c r="I64" s="92"/>
      <c r="J64" s="163">
        <v>3943.0</v>
      </c>
      <c r="K64" s="112"/>
      <c r="L64" s="112"/>
      <c r="M64" s="112"/>
      <c r="N64" s="112"/>
      <c r="O64" s="112"/>
      <c r="P64" s="113"/>
      <c r="Q64" s="114"/>
      <c r="R64" s="114"/>
      <c r="S64" s="114"/>
      <c r="T64" s="115"/>
      <c r="U64" s="24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</row>
    <row r="65" ht="14.25" customHeight="1">
      <c r="A65" s="1"/>
      <c r="B65" s="1"/>
      <c r="C65" s="1"/>
      <c r="D65" s="24"/>
      <c r="E65" s="43">
        <v>56.0</v>
      </c>
      <c r="F65" s="56">
        <v>888.0</v>
      </c>
      <c r="G65" s="93">
        <v>888.0</v>
      </c>
      <c r="H65" s="92"/>
      <c r="I65" s="92"/>
      <c r="J65" s="163">
        <v>3944.0</v>
      </c>
      <c r="K65" s="112"/>
      <c r="L65" s="112"/>
      <c r="M65" s="112"/>
      <c r="N65" s="112"/>
      <c r="O65" s="112"/>
      <c r="P65" s="113"/>
      <c r="Q65" s="114"/>
      <c r="R65" s="114"/>
      <c r="S65" s="114"/>
      <c r="T65" s="115"/>
      <c r="U65" s="24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</row>
    <row r="66" ht="14.25" customHeight="1">
      <c r="A66" s="1"/>
      <c r="B66" s="1"/>
      <c r="C66" s="1"/>
      <c r="D66" s="24"/>
      <c r="E66" s="43">
        <v>57.0</v>
      </c>
      <c r="F66" s="56">
        <v>330.0</v>
      </c>
      <c r="G66" s="93">
        <v>330.0</v>
      </c>
      <c r="H66" s="92"/>
      <c r="I66" s="92"/>
      <c r="J66" s="163">
        <v>3945.0</v>
      </c>
      <c r="K66" s="112"/>
      <c r="L66" s="112"/>
      <c r="M66" s="112"/>
      <c r="N66" s="112"/>
      <c r="O66" s="112"/>
      <c r="P66" s="113"/>
      <c r="Q66" s="114"/>
      <c r="R66" s="114"/>
      <c r="S66" s="114"/>
      <c r="T66" s="115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</row>
    <row r="67" ht="14.25" customHeight="1">
      <c r="A67" s="1"/>
      <c r="B67" s="1"/>
      <c r="C67" s="1"/>
      <c r="D67" s="24"/>
      <c r="E67" s="43">
        <v>58.0</v>
      </c>
      <c r="F67" s="56">
        <v>14.0</v>
      </c>
      <c r="G67" s="93"/>
      <c r="H67" s="93">
        <v>14.0</v>
      </c>
      <c r="I67" s="92"/>
      <c r="J67" s="163">
        <v>3946.0</v>
      </c>
      <c r="K67" s="112"/>
      <c r="L67" s="112"/>
      <c r="M67" s="112"/>
      <c r="N67" s="112"/>
      <c r="O67" s="112"/>
      <c r="P67" s="113"/>
      <c r="Q67" s="114"/>
      <c r="R67" s="114"/>
      <c r="S67" s="114"/>
      <c r="T67" s="115"/>
      <c r="U67" s="24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</row>
    <row r="68" ht="14.25" customHeight="1">
      <c r="A68" s="1"/>
      <c r="B68" s="1"/>
      <c r="C68" s="1"/>
      <c r="D68" s="24"/>
      <c r="E68" s="43">
        <v>59.0</v>
      </c>
      <c r="F68" s="56">
        <v>201.0</v>
      </c>
      <c r="G68" s="93">
        <v>201.0</v>
      </c>
      <c r="H68" s="92"/>
      <c r="I68" s="92"/>
      <c r="J68" s="163">
        <v>3947.0</v>
      </c>
      <c r="K68" s="112"/>
      <c r="L68" s="112"/>
      <c r="M68" s="112"/>
      <c r="N68" s="112"/>
      <c r="O68" s="112"/>
      <c r="P68" s="113"/>
      <c r="Q68" s="114"/>
      <c r="R68" s="114"/>
      <c r="S68" s="114"/>
      <c r="T68" s="115"/>
      <c r="U68" s="24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</row>
    <row r="69" ht="14.25" customHeight="1">
      <c r="A69" s="1"/>
      <c r="B69" s="1"/>
      <c r="C69" s="1"/>
      <c r="D69" s="24"/>
      <c r="E69" s="43">
        <v>60.0</v>
      </c>
      <c r="F69" s="56">
        <v>113.0</v>
      </c>
      <c r="G69" s="92"/>
      <c r="H69" s="93">
        <v>113.0</v>
      </c>
      <c r="I69" s="92"/>
      <c r="J69" s="163">
        <v>3948.0</v>
      </c>
      <c r="K69" s="112"/>
      <c r="L69" s="112"/>
      <c r="M69" s="112"/>
      <c r="N69" s="112"/>
      <c r="O69" s="112"/>
      <c r="P69" s="113"/>
      <c r="Q69" s="114"/>
      <c r="R69" s="114"/>
      <c r="S69" s="114"/>
      <c r="T69" s="115"/>
      <c r="U69" s="24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</row>
    <row r="70" ht="14.25" customHeight="1">
      <c r="A70" s="1"/>
      <c r="B70" s="1"/>
      <c r="C70" s="1"/>
      <c r="D70" s="24"/>
      <c r="E70" s="43">
        <v>61.0</v>
      </c>
      <c r="F70" s="56">
        <v>28.0</v>
      </c>
      <c r="G70" s="93">
        <v>28.0</v>
      </c>
      <c r="H70" s="92"/>
      <c r="I70" s="92"/>
      <c r="J70" s="163">
        <v>3949.0</v>
      </c>
      <c r="K70" s="112"/>
      <c r="L70" s="112"/>
      <c r="M70" s="112"/>
      <c r="N70" s="112"/>
      <c r="O70" s="112"/>
      <c r="P70" s="113"/>
      <c r="Q70" s="114"/>
      <c r="R70" s="114"/>
      <c r="S70" s="114"/>
      <c r="T70" s="115"/>
      <c r="U70" s="24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</row>
    <row r="71" ht="14.25" customHeight="1">
      <c r="A71" s="1"/>
      <c r="B71" s="1"/>
      <c r="C71" s="1"/>
      <c r="D71" s="24"/>
      <c r="E71" s="43">
        <v>62.0</v>
      </c>
      <c r="F71" s="56">
        <v>61.0</v>
      </c>
      <c r="G71" s="93">
        <v>61.0</v>
      </c>
      <c r="H71" s="92"/>
      <c r="I71" s="92"/>
      <c r="J71" s="163">
        <v>3950.0</v>
      </c>
      <c r="K71" s="112"/>
      <c r="L71" s="112"/>
      <c r="M71" s="112"/>
      <c r="N71" s="112"/>
      <c r="O71" s="112"/>
      <c r="P71" s="113"/>
      <c r="Q71" s="114"/>
      <c r="R71" s="114"/>
      <c r="S71" s="114"/>
      <c r="T71" s="115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</row>
    <row r="72" ht="14.25" customHeight="1">
      <c r="A72" s="1"/>
      <c r="B72" s="1"/>
      <c r="C72" s="1"/>
      <c r="D72" s="24"/>
      <c r="E72" s="43">
        <v>63.0</v>
      </c>
      <c r="F72" s="56">
        <v>50.0</v>
      </c>
      <c r="G72" s="93">
        <v>50.0</v>
      </c>
      <c r="H72" s="92"/>
      <c r="I72" s="92"/>
      <c r="J72" s="163">
        <v>3951.0</v>
      </c>
      <c r="K72" s="112"/>
      <c r="L72" s="112"/>
      <c r="M72" s="112"/>
      <c r="N72" s="112"/>
      <c r="O72" s="112"/>
      <c r="P72" s="113"/>
      <c r="Q72" s="114"/>
      <c r="R72" s="114"/>
      <c r="S72" s="114"/>
      <c r="T72" s="115"/>
      <c r="U72" s="24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</row>
    <row r="73" ht="14.25" customHeight="1">
      <c r="A73" s="1"/>
      <c r="B73" s="1"/>
      <c r="C73" s="1"/>
      <c r="D73" s="24"/>
      <c r="E73" s="43">
        <v>64.0</v>
      </c>
      <c r="F73" s="56">
        <v>609.0</v>
      </c>
      <c r="G73" s="93">
        <v>609.0</v>
      </c>
      <c r="H73" s="92"/>
      <c r="I73" s="92"/>
      <c r="J73" s="163">
        <v>3952.0</v>
      </c>
      <c r="K73" s="112"/>
      <c r="L73" s="112"/>
      <c r="M73" s="112"/>
      <c r="N73" s="112"/>
      <c r="O73" s="112"/>
      <c r="P73" s="113"/>
      <c r="Q73" s="114"/>
      <c r="R73" s="114"/>
      <c r="S73" s="114"/>
      <c r="T73" s="115"/>
      <c r="U73" s="24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</row>
    <row r="74" ht="14.25" customHeight="1">
      <c r="A74" s="1"/>
      <c r="B74" s="1"/>
      <c r="C74" s="1"/>
      <c r="D74" s="24"/>
      <c r="E74" s="43">
        <v>65.0</v>
      </c>
      <c r="F74" s="56">
        <v>59.0</v>
      </c>
      <c r="G74" s="93">
        <v>59.0</v>
      </c>
      <c r="H74" s="92"/>
      <c r="I74" s="92"/>
      <c r="J74" s="163">
        <v>3953.0</v>
      </c>
      <c r="K74" s="112"/>
      <c r="L74" s="112"/>
      <c r="M74" s="112"/>
      <c r="N74" s="112"/>
      <c r="O74" s="112"/>
      <c r="P74" s="113"/>
      <c r="Q74" s="114"/>
      <c r="R74" s="114"/>
      <c r="S74" s="114"/>
      <c r="T74" s="115"/>
      <c r="U74" s="24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</row>
    <row r="75" ht="14.25" customHeight="1">
      <c r="A75" s="1"/>
      <c r="B75" s="1"/>
      <c r="C75" s="1"/>
      <c r="D75" s="24"/>
      <c r="E75" s="43">
        <v>66.0</v>
      </c>
      <c r="F75" s="56">
        <v>10.0</v>
      </c>
      <c r="G75" s="93">
        <v>10.0</v>
      </c>
      <c r="H75" s="92"/>
      <c r="I75" s="92"/>
      <c r="J75" s="163">
        <v>3954.0</v>
      </c>
      <c r="K75" s="112"/>
      <c r="L75" s="112"/>
      <c r="M75" s="112"/>
      <c r="N75" s="112"/>
      <c r="O75" s="112"/>
      <c r="P75" s="113"/>
      <c r="Q75" s="114"/>
      <c r="R75" s="114"/>
      <c r="S75" s="114"/>
      <c r="T75" s="115"/>
      <c r="U75" s="24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</row>
    <row r="76" ht="14.25" customHeight="1">
      <c r="A76" s="1"/>
      <c r="B76" s="1"/>
      <c r="C76" s="1"/>
      <c r="D76" s="24"/>
      <c r="E76" s="43">
        <v>67.0</v>
      </c>
      <c r="F76" s="56">
        <v>174.0</v>
      </c>
      <c r="G76" s="92"/>
      <c r="H76" s="93">
        <v>174.0</v>
      </c>
      <c r="I76" s="92"/>
      <c r="J76" s="163">
        <v>3955.0</v>
      </c>
      <c r="K76" s="112"/>
      <c r="L76" s="112"/>
      <c r="M76" s="112"/>
      <c r="N76" s="112"/>
      <c r="O76" s="112"/>
      <c r="P76" s="113"/>
      <c r="Q76" s="114"/>
      <c r="R76" s="114"/>
      <c r="S76" s="114"/>
      <c r="T76" s="115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</row>
    <row r="77" ht="14.25" customHeight="1">
      <c r="A77" s="1"/>
      <c r="B77" s="1"/>
      <c r="C77" s="1"/>
      <c r="D77" s="24"/>
      <c r="E77" s="43">
        <v>68.0</v>
      </c>
      <c r="F77" s="56">
        <v>36.0</v>
      </c>
      <c r="G77" s="93">
        <v>36.0</v>
      </c>
      <c r="H77" s="92"/>
      <c r="I77" s="92"/>
      <c r="J77" s="163">
        <v>3956.0</v>
      </c>
      <c r="K77" s="112"/>
      <c r="L77" s="112"/>
      <c r="M77" s="112"/>
      <c r="N77" s="112"/>
      <c r="O77" s="112"/>
      <c r="P77" s="113"/>
      <c r="Q77" s="114"/>
      <c r="R77" s="114"/>
      <c r="S77" s="114"/>
      <c r="T77" s="115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</row>
    <row r="78" ht="14.25" customHeight="1">
      <c r="A78" s="1"/>
      <c r="B78" s="1"/>
      <c r="C78" s="1"/>
      <c r="D78" s="24"/>
      <c r="E78" s="43">
        <v>69.0</v>
      </c>
      <c r="F78" s="56">
        <v>38.0</v>
      </c>
      <c r="G78" s="93">
        <v>38.0</v>
      </c>
      <c r="H78" s="92"/>
      <c r="I78" s="92"/>
      <c r="J78" s="163">
        <v>3957.0</v>
      </c>
      <c r="K78" s="112"/>
      <c r="L78" s="112"/>
      <c r="M78" s="112"/>
      <c r="N78" s="112"/>
      <c r="O78" s="112"/>
      <c r="P78" s="113"/>
      <c r="Q78" s="114"/>
      <c r="R78" s="114"/>
      <c r="S78" s="114"/>
      <c r="T78" s="115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</row>
    <row r="79" ht="14.25" customHeight="1">
      <c r="A79" s="1"/>
      <c r="B79" s="1"/>
      <c r="C79" s="1"/>
      <c r="D79" s="24"/>
      <c r="E79" s="43">
        <v>70.0</v>
      </c>
      <c r="F79" s="56">
        <v>118.0</v>
      </c>
      <c r="G79" s="93">
        <v>118.0</v>
      </c>
      <c r="H79" s="92"/>
      <c r="I79" s="92"/>
      <c r="J79" s="163">
        <v>3958.0</v>
      </c>
      <c r="K79" s="112"/>
      <c r="L79" s="112"/>
      <c r="M79" s="112"/>
      <c r="N79" s="112"/>
      <c r="O79" s="112"/>
      <c r="P79" s="113"/>
      <c r="Q79" s="114"/>
      <c r="R79" s="114"/>
      <c r="S79" s="114"/>
      <c r="T79" s="115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</row>
    <row r="80" ht="14.25" customHeight="1">
      <c r="A80" s="1"/>
      <c r="B80" s="1"/>
      <c r="C80" s="1"/>
      <c r="D80" s="24"/>
      <c r="E80" s="43">
        <v>71.0</v>
      </c>
      <c r="F80" s="56">
        <v>85.0</v>
      </c>
      <c r="G80" s="93">
        <v>85.0</v>
      </c>
      <c r="H80" s="92"/>
      <c r="I80" s="92"/>
      <c r="J80" s="163">
        <v>3960.0</v>
      </c>
      <c r="K80" s="112"/>
      <c r="L80" s="112"/>
      <c r="M80" s="112"/>
      <c r="N80" s="112"/>
      <c r="O80" s="112"/>
      <c r="P80" s="113"/>
      <c r="Q80" s="114"/>
      <c r="R80" s="114"/>
      <c r="S80" s="114"/>
      <c r="T80" s="115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</row>
    <row r="81" ht="14.25" customHeight="1">
      <c r="A81" s="1"/>
      <c r="B81" s="1"/>
      <c r="C81" s="1"/>
      <c r="D81" s="24"/>
      <c r="E81" s="43">
        <v>72.0</v>
      </c>
      <c r="F81" s="56">
        <v>356.0</v>
      </c>
      <c r="G81" s="92"/>
      <c r="H81" s="93">
        <v>356.0</v>
      </c>
      <c r="I81" s="92"/>
      <c r="J81" s="131">
        <v>3961.0</v>
      </c>
      <c r="K81" s="112"/>
      <c r="L81" s="112"/>
      <c r="M81" s="112"/>
      <c r="N81" s="112"/>
      <c r="O81" s="112"/>
      <c r="P81" s="113"/>
      <c r="Q81" s="114"/>
      <c r="R81" s="114"/>
      <c r="S81" s="114"/>
      <c r="T81" s="115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29">
        <v>3962.0</v>
      </c>
      <c r="K82" s="112"/>
      <c r="L82" s="112"/>
      <c r="M82" s="112"/>
      <c r="N82" s="112"/>
      <c r="O82" s="112"/>
      <c r="P82" s="113"/>
      <c r="Q82" s="114"/>
      <c r="R82" s="114"/>
      <c r="S82" s="114"/>
      <c r="T82" s="115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29">
        <v>3963.0</v>
      </c>
      <c r="K83" s="112"/>
      <c r="L83" s="112"/>
      <c r="M83" s="112"/>
      <c r="N83" s="112"/>
      <c r="O83" s="112"/>
      <c r="P83" s="113"/>
      <c r="Q83" s="114"/>
      <c r="R83" s="114"/>
      <c r="S83" s="114"/>
      <c r="T83" s="115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29">
        <v>3964.0</v>
      </c>
      <c r="K84" s="112"/>
      <c r="L84" s="112"/>
      <c r="M84" s="112"/>
      <c r="N84" s="112"/>
      <c r="O84" s="112"/>
      <c r="P84" s="113"/>
      <c r="Q84" s="114"/>
      <c r="R84" s="114"/>
      <c r="S84" s="114"/>
      <c r="T84" s="115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112"/>
      <c r="L85" s="112"/>
      <c r="M85" s="112"/>
      <c r="N85" s="112"/>
      <c r="O85" s="112"/>
      <c r="P85" s="113"/>
      <c r="Q85" s="114"/>
      <c r="R85" s="114"/>
      <c r="S85" s="114"/>
      <c r="T85" s="115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112"/>
      <c r="L86" s="112"/>
      <c r="M86" s="112"/>
      <c r="N86" s="112"/>
      <c r="O86" s="112"/>
      <c r="P86" s="113"/>
      <c r="Q86" s="114"/>
      <c r="R86" s="114"/>
      <c r="S86" s="114"/>
      <c r="T86" s="115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112"/>
      <c r="L87" s="112"/>
      <c r="M87" s="112"/>
      <c r="N87" s="112"/>
      <c r="O87" s="112"/>
      <c r="P87" s="113"/>
      <c r="Q87" s="114"/>
      <c r="R87" s="114"/>
      <c r="S87" s="114"/>
      <c r="T87" s="115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112"/>
      <c r="L88" s="112"/>
      <c r="M88" s="112"/>
      <c r="N88" s="112"/>
      <c r="O88" s="112"/>
      <c r="P88" s="113"/>
      <c r="Q88" s="114"/>
      <c r="R88" s="114"/>
      <c r="S88" s="114"/>
      <c r="T88" s="115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112"/>
      <c r="L89" s="112"/>
      <c r="M89" s="112"/>
      <c r="N89" s="112"/>
      <c r="O89" s="112"/>
      <c r="P89" s="113"/>
      <c r="Q89" s="114"/>
      <c r="R89" s="114"/>
      <c r="S89" s="114"/>
      <c r="T89" s="115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112"/>
      <c r="L90" s="112"/>
      <c r="M90" s="112"/>
      <c r="N90" s="112"/>
      <c r="O90" s="112"/>
      <c r="P90" s="113"/>
      <c r="Q90" s="114"/>
      <c r="R90" s="114"/>
      <c r="S90" s="114"/>
      <c r="T90" s="115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112"/>
      <c r="L91" s="112"/>
      <c r="M91" s="112"/>
      <c r="N91" s="112"/>
      <c r="O91" s="112"/>
      <c r="P91" s="113"/>
      <c r="Q91" s="114"/>
      <c r="R91" s="114"/>
      <c r="S91" s="114"/>
      <c r="T91" s="115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112"/>
      <c r="L92" s="112"/>
      <c r="M92" s="112"/>
      <c r="N92" s="112"/>
      <c r="O92" s="112"/>
      <c r="P92" s="113"/>
      <c r="Q92" s="114"/>
      <c r="R92" s="114"/>
      <c r="S92" s="114"/>
      <c r="T92" s="115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112"/>
      <c r="L93" s="112"/>
      <c r="M93" s="112"/>
      <c r="N93" s="112"/>
      <c r="O93" s="112"/>
      <c r="P93" s="113"/>
      <c r="Q93" s="114"/>
      <c r="R93" s="114"/>
      <c r="S93" s="114"/>
      <c r="T93" s="115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112"/>
      <c r="L94" s="112"/>
      <c r="M94" s="112"/>
      <c r="N94" s="112"/>
      <c r="O94" s="112"/>
      <c r="P94" s="113"/>
      <c r="Q94" s="114"/>
      <c r="R94" s="114"/>
      <c r="S94" s="114"/>
      <c r="T94" s="115"/>
      <c r="U94" s="24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112"/>
      <c r="L95" s="112"/>
      <c r="M95" s="112"/>
      <c r="N95" s="112"/>
      <c r="O95" s="112"/>
      <c r="P95" s="113"/>
      <c r="Q95" s="114"/>
      <c r="R95" s="114"/>
      <c r="S95" s="114"/>
      <c r="T95" s="115"/>
      <c r="U95" s="24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112"/>
      <c r="L96" s="112"/>
      <c r="M96" s="112"/>
      <c r="N96" s="112"/>
      <c r="O96" s="112"/>
      <c r="P96" s="113"/>
      <c r="Q96" s="114"/>
      <c r="R96" s="114"/>
      <c r="S96" s="114"/>
      <c r="T96" s="115"/>
      <c r="U96" s="24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24394</v>
      </c>
      <c r="G97" s="123">
        <f t="shared" si="4"/>
        <v>13658</v>
      </c>
      <c r="H97" s="123">
        <f t="shared" si="4"/>
        <v>9736</v>
      </c>
      <c r="I97" s="123">
        <f t="shared" si="4"/>
        <v>1000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T8:T9"/>
    <mergeCell ref="V8:V9"/>
    <mergeCell ref="B3:X3"/>
    <mergeCell ref="E5:J7"/>
    <mergeCell ref="K5:M7"/>
    <mergeCell ref="O5:T7"/>
    <mergeCell ref="V5:X7"/>
    <mergeCell ref="E8:E9"/>
    <mergeCell ref="F8:F9"/>
    <mergeCell ref="G8:G9"/>
    <mergeCell ref="H8:H9"/>
    <mergeCell ref="B36:C37"/>
    <mergeCell ref="I8:I9"/>
    <mergeCell ref="J8:J9"/>
    <mergeCell ref="K8:K9"/>
    <mergeCell ref="L8:L9"/>
    <mergeCell ref="M8:M9"/>
    <mergeCell ref="O8:O9"/>
    <mergeCell ref="P8:P9"/>
    <mergeCell ref="Q8:Q9"/>
    <mergeCell ref="O31:P31"/>
    <mergeCell ref="R8:R9"/>
    <mergeCell ref="S8:S9"/>
    <mergeCell ref="W8:W9"/>
    <mergeCell ref="X8:X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35821.0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331089.0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50322.0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21033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7215</v>
      </c>
      <c r="D10" s="24"/>
      <c r="E10" s="43">
        <v>1.0</v>
      </c>
      <c r="F10" s="44">
        <v>56.0</v>
      </c>
      <c r="G10" s="45">
        <v>50.0</v>
      </c>
      <c r="H10" s="45">
        <v>6.0</v>
      </c>
      <c r="I10" s="45"/>
      <c r="J10" s="129">
        <v>3961.0</v>
      </c>
      <c r="K10" s="24"/>
      <c r="L10" s="47"/>
      <c r="M10" s="47">
        <v>1045.0</v>
      </c>
      <c r="N10" s="47">
        <v>3820.0</v>
      </c>
      <c r="O10" s="49"/>
      <c r="P10" s="85" t="s">
        <v>72</v>
      </c>
      <c r="Q10" s="51"/>
      <c r="R10" s="52">
        <v>50.0</v>
      </c>
      <c r="S10" s="53"/>
      <c r="T10" s="54"/>
      <c r="U10" s="55"/>
      <c r="V10" s="24"/>
      <c r="W10" s="47">
        <v>74.0</v>
      </c>
      <c r="X10" s="47"/>
      <c r="Y10" s="47" t="s">
        <v>119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12677</v>
      </c>
      <c r="D11" s="24"/>
      <c r="E11" s="43">
        <v>2.0</v>
      </c>
      <c r="F11" s="56">
        <v>100.0</v>
      </c>
      <c r="G11" s="57">
        <v>100.0</v>
      </c>
      <c r="H11" s="58"/>
      <c r="I11" s="59"/>
      <c r="J11" s="129">
        <v>3962.0</v>
      </c>
      <c r="K11" s="24"/>
      <c r="L11" s="48"/>
      <c r="M11" s="165">
        <v>136.0</v>
      </c>
      <c r="N11" s="165" t="s">
        <v>120</v>
      </c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2051</v>
      </c>
      <c r="D12" s="24"/>
      <c r="E12" s="43">
        <v>3.0</v>
      </c>
      <c r="F12" s="63">
        <v>90.0</v>
      </c>
      <c r="G12" s="64"/>
      <c r="H12" s="64">
        <v>90.0</v>
      </c>
      <c r="I12" s="65"/>
      <c r="J12" s="129">
        <v>3963.0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396.0</v>
      </c>
      <c r="G13" s="64"/>
      <c r="H13" s="64">
        <v>396.0</v>
      </c>
      <c r="I13" s="65"/>
      <c r="J13" s="129">
        <v>3964.0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1181</v>
      </c>
      <c r="D14" s="24"/>
      <c r="E14" s="43">
        <v>5.0</v>
      </c>
      <c r="F14" s="56">
        <v>177.0</v>
      </c>
      <c r="G14" s="64">
        <v>177.0</v>
      </c>
      <c r="H14" s="65"/>
      <c r="I14" s="65"/>
      <c r="J14" s="129">
        <v>3965.0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74</v>
      </c>
      <c r="D15" s="24"/>
      <c r="E15" s="43">
        <v>6.0</v>
      </c>
      <c r="F15" s="56">
        <v>126.0</v>
      </c>
      <c r="G15" s="64">
        <v>126.0</v>
      </c>
      <c r="H15" s="64"/>
      <c r="I15" s="65"/>
      <c r="J15" s="129">
        <v>3966.0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50</v>
      </c>
      <c r="D16" s="24"/>
      <c r="E16" s="43">
        <v>7.0</v>
      </c>
      <c r="F16" s="56">
        <v>595.0</v>
      </c>
      <c r="G16" s="64"/>
      <c r="H16" s="64">
        <v>595.0</v>
      </c>
      <c r="I16" s="65"/>
      <c r="J16" s="129">
        <v>3967.0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50</v>
      </c>
      <c r="D17" s="24"/>
      <c r="E17" s="43">
        <v>8.0</v>
      </c>
      <c r="F17" s="56">
        <v>90.0</v>
      </c>
      <c r="G17" s="64"/>
      <c r="H17" s="64">
        <v>90.0</v>
      </c>
      <c r="I17" s="65"/>
      <c r="J17" s="129">
        <v>3968.0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135.0</v>
      </c>
      <c r="G18" s="64">
        <v>135.0</v>
      </c>
      <c r="H18" s="64"/>
      <c r="I18" s="65"/>
      <c r="J18" s="129">
        <v>3969.0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110.0</v>
      </c>
      <c r="G19" s="64">
        <v>110.0</v>
      </c>
      <c r="H19" s="65"/>
      <c r="I19" s="65"/>
      <c r="J19" s="129">
        <v>3970.0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51192</v>
      </c>
      <c r="D20" s="24"/>
      <c r="E20" s="43">
        <v>11.0</v>
      </c>
      <c r="F20" s="56">
        <v>113.0</v>
      </c>
      <c r="G20" s="64">
        <v>113.0</v>
      </c>
      <c r="H20" s="64"/>
      <c r="I20" s="65"/>
      <c r="J20" s="129">
        <v>3971.0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344947</v>
      </c>
      <c r="D21" s="24"/>
      <c r="E21" s="43">
        <v>12.0</v>
      </c>
      <c r="F21" s="56">
        <v>48.0</v>
      </c>
      <c r="G21" s="64">
        <v>48.0</v>
      </c>
      <c r="H21" s="64"/>
      <c r="I21" s="65"/>
      <c r="J21" s="129">
        <v>3972.0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42986</v>
      </c>
      <c r="D22" s="24"/>
      <c r="E22" s="43">
        <v>13.0</v>
      </c>
      <c r="F22" s="56">
        <v>145.0</v>
      </c>
      <c r="G22" s="64"/>
      <c r="H22" s="64">
        <v>145.0</v>
      </c>
      <c r="I22" s="65"/>
      <c r="J22" s="129">
        <v>3973.0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9">
        <v>43327.0</v>
      </c>
      <c r="D23" s="24"/>
      <c r="E23" s="43">
        <v>14.0</v>
      </c>
      <c r="F23" s="56">
        <v>735.0</v>
      </c>
      <c r="G23" s="65"/>
      <c r="H23" s="64">
        <v>735.0</v>
      </c>
      <c r="I23" s="65"/>
      <c r="J23" s="129">
        <v>3974.0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-341</v>
      </c>
      <c r="D24" s="24"/>
      <c r="E24" s="43">
        <v>15.0</v>
      </c>
      <c r="F24" s="56">
        <v>1208.0</v>
      </c>
      <c r="G24" s="64">
        <v>1208.0</v>
      </c>
      <c r="H24" s="65"/>
      <c r="I24" s="65"/>
      <c r="J24" s="129">
        <v>3975.0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175.0</v>
      </c>
      <c r="G25" s="64"/>
      <c r="H25" s="64">
        <v>175.0</v>
      </c>
      <c r="I25" s="65"/>
      <c r="J25" s="129">
        <v>3976.0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21107</v>
      </c>
      <c r="D26" s="24"/>
      <c r="E26" s="43">
        <v>17.0</v>
      </c>
      <c r="F26" s="56">
        <v>263.0</v>
      </c>
      <c r="G26" s="64">
        <v>263.0</v>
      </c>
      <c r="H26" s="65"/>
      <c r="I26" s="65"/>
      <c r="J26" s="129">
        <v>3977.0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>
        <v>227.0</v>
      </c>
      <c r="G27" s="64">
        <v>227.0</v>
      </c>
      <c r="H27" s="65"/>
      <c r="I27" s="65"/>
      <c r="J27" s="129">
        <v>3978.0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>
        <v>64.0</v>
      </c>
      <c r="G28" s="64">
        <v>64.0</v>
      </c>
      <c r="H28" s="65"/>
      <c r="I28" s="65"/>
      <c r="J28" s="129">
        <v>3979.0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631.0</v>
      </c>
      <c r="G29" s="64"/>
      <c r="H29" s="64">
        <v>631.0</v>
      </c>
      <c r="I29" s="65"/>
      <c r="J29" s="129">
        <v>3980.0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92.0</v>
      </c>
      <c r="G30" s="93">
        <v>92.0</v>
      </c>
      <c r="H30" s="92"/>
      <c r="I30" s="93"/>
      <c r="J30" s="129">
        <v>3981.0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40.0</v>
      </c>
      <c r="G31" s="93">
        <v>40.0</v>
      </c>
      <c r="H31" s="92"/>
      <c r="I31" s="92"/>
      <c r="J31" s="129">
        <v>3982.0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50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120.0</v>
      </c>
      <c r="G32" s="93">
        <v>120.0</v>
      </c>
      <c r="H32" s="92"/>
      <c r="I32" s="92"/>
      <c r="J32" s="129">
        <v>3983.0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60.0</v>
      </c>
      <c r="G33" s="93">
        <v>60.0</v>
      </c>
      <c r="H33" s="92"/>
      <c r="I33" s="92"/>
      <c r="J33" s="129">
        <v>3984.0</v>
      </c>
      <c r="K33" s="24"/>
      <c r="L33" s="104">
        <f t="shared" ref="L33:M33" si="2">sum(L10:L32)</f>
        <v>0</v>
      </c>
      <c r="M33" s="104">
        <f t="shared" si="2"/>
        <v>1181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74</v>
      </c>
      <c r="X33" s="104">
        <f t="shared" si="3"/>
        <v>0</v>
      </c>
      <c r="Y33" s="104">
        <f>W33+X33</f>
        <v>74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1238.0</v>
      </c>
      <c r="G34" s="93"/>
      <c r="H34" s="93">
        <v>1238.0</v>
      </c>
      <c r="I34" s="92"/>
      <c r="J34" s="129">
        <v>3985.0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10.0</v>
      </c>
      <c r="G35" s="93">
        <v>10.0</v>
      </c>
      <c r="H35" s="93"/>
      <c r="I35" s="92"/>
      <c r="J35" s="129">
        <v>3986.0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230.0</v>
      </c>
      <c r="G36" s="93">
        <v>230.0</v>
      </c>
      <c r="H36" s="93"/>
      <c r="I36" s="92"/>
      <c r="J36" s="129">
        <v>3987.0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11.0</v>
      </c>
      <c r="G37" s="93">
        <v>11.0</v>
      </c>
      <c r="H37" s="92"/>
      <c r="I37" s="92"/>
      <c r="J37" s="129">
        <v>3988.0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588.0</v>
      </c>
      <c r="G38" s="93"/>
      <c r="H38" s="92"/>
      <c r="I38" s="93">
        <v>588.0</v>
      </c>
      <c r="J38" s="129" t="s">
        <v>112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987.0</v>
      </c>
      <c r="G39" s="93"/>
      <c r="H39" s="93">
        <v>987.0</v>
      </c>
      <c r="I39" s="92"/>
      <c r="J39" s="129">
        <v>3990.0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82.0</v>
      </c>
      <c r="G40" s="93">
        <v>82.0</v>
      </c>
      <c r="H40" s="93"/>
      <c r="I40" s="92"/>
      <c r="J40" s="129">
        <v>3991.0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918.0</v>
      </c>
      <c r="G41" s="93"/>
      <c r="H41" s="93">
        <v>918.0</v>
      </c>
      <c r="I41" s="92"/>
      <c r="J41" s="129">
        <v>3992.0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22.0</v>
      </c>
      <c r="G42" s="93"/>
      <c r="H42" s="93">
        <v>22.0</v>
      </c>
      <c r="I42" s="92"/>
      <c r="J42" s="129">
        <v>3993.0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84.0</v>
      </c>
      <c r="G43" s="93"/>
      <c r="H43" s="93">
        <v>84.0</v>
      </c>
      <c r="I43" s="92"/>
      <c r="J43" s="129">
        <v>3994.0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35.0</v>
      </c>
      <c r="G44" s="93">
        <v>35.0</v>
      </c>
      <c r="H44" s="93"/>
      <c r="I44" s="92"/>
      <c r="J44" s="129">
        <v>3995.0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311.0</v>
      </c>
      <c r="G45" s="93">
        <v>311.0</v>
      </c>
      <c r="H45" s="92"/>
      <c r="I45" s="92"/>
      <c r="J45" s="129">
        <v>3996.0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134.0</v>
      </c>
      <c r="G46" s="93">
        <v>134.0</v>
      </c>
      <c r="H46" s="92"/>
      <c r="I46" s="92"/>
      <c r="J46" s="129">
        <v>3997.0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810.0</v>
      </c>
      <c r="G47" s="93">
        <v>810.0</v>
      </c>
      <c r="H47" s="93"/>
      <c r="I47" s="92"/>
      <c r="J47" s="129">
        <v>3998.0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299.0</v>
      </c>
      <c r="G48" s="93"/>
      <c r="H48" s="93">
        <v>299.0</v>
      </c>
      <c r="I48" s="92"/>
      <c r="J48" s="129">
        <v>3999.0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293.0</v>
      </c>
      <c r="G49" s="92"/>
      <c r="H49" s="93">
        <v>293.0</v>
      </c>
      <c r="I49" s="92"/>
      <c r="J49" s="129">
        <v>4000.0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188.0</v>
      </c>
      <c r="G50" s="93">
        <v>188.0</v>
      </c>
      <c r="H50" s="93"/>
      <c r="I50" s="92"/>
      <c r="J50" s="129">
        <v>4001.0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371.0</v>
      </c>
      <c r="G51" s="93">
        <v>371.0</v>
      </c>
      <c r="H51" s="92"/>
      <c r="I51" s="92"/>
      <c r="J51" s="129">
        <v>4002.0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537.0</v>
      </c>
      <c r="G52" s="93">
        <v>74.0</v>
      </c>
      <c r="H52" s="93">
        <v>463.0</v>
      </c>
      <c r="I52" s="92"/>
      <c r="J52" s="129">
        <v>4003.0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32.0</v>
      </c>
      <c r="G53" s="93">
        <v>32.0</v>
      </c>
      <c r="H53" s="92"/>
      <c r="I53" s="92"/>
      <c r="J53" s="129">
        <v>4004.0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148.0</v>
      </c>
      <c r="G54" s="93">
        <v>148.0</v>
      </c>
      <c r="H54" s="92"/>
      <c r="I54" s="92"/>
      <c r="J54" s="129">
        <v>4005.0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83.0</v>
      </c>
      <c r="G55" s="93">
        <v>83.0</v>
      </c>
      <c r="H55" s="92"/>
      <c r="I55" s="92"/>
      <c r="J55" s="129">
        <v>4006.0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400.0</v>
      </c>
      <c r="G56" s="93">
        <v>400.0</v>
      </c>
      <c r="H56" s="92"/>
      <c r="I56" s="92"/>
      <c r="J56" s="129">
        <v>4007.0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70.0</v>
      </c>
      <c r="G57" s="93">
        <v>70.0</v>
      </c>
      <c r="H57" s="92"/>
      <c r="I57" s="92"/>
      <c r="J57" s="129">
        <v>4008.0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1640.0</v>
      </c>
      <c r="G58" s="92"/>
      <c r="H58" s="93">
        <v>1640.0</v>
      </c>
      <c r="I58" s="92"/>
      <c r="J58" s="129">
        <v>4009.0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315.0</v>
      </c>
      <c r="G59" s="92"/>
      <c r="H59" s="93">
        <v>315.0</v>
      </c>
      <c r="I59" s="92"/>
      <c r="J59" s="129">
        <v>4010.0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456.0</v>
      </c>
      <c r="G60" s="93">
        <v>456.0</v>
      </c>
      <c r="H60" s="92"/>
      <c r="I60" s="92"/>
      <c r="J60" s="129">
        <v>4011.0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119.0</v>
      </c>
      <c r="G61" s="92"/>
      <c r="H61" s="93">
        <v>119.0</v>
      </c>
      <c r="I61" s="92"/>
      <c r="J61" s="129">
        <v>4012.0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105.0</v>
      </c>
      <c r="G62" s="92"/>
      <c r="H62" s="93">
        <v>105.0</v>
      </c>
      <c r="I62" s="92"/>
      <c r="J62" s="129">
        <v>4013.0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925.0</v>
      </c>
      <c r="G63" s="92"/>
      <c r="H63" s="93">
        <v>925.0</v>
      </c>
      <c r="I63" s="92"/>
      <c r="J63" s="129">
        <v>4014.0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495.0</v>
      </c>
      <c r="G64" s="92"/>
      <c r="H64" s="93">
        <v>495.0</v>
      </c>
      <c r="I64" s="92"/>
      <c r="J64" s="129">
        <v>4015.0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341.0</v>
      </c>
      <c r="G65" s="93"/>
      <c r="H65" s="92"/>
      <c r="I65" s="93">
        <v>341.0</v>
      </c>
      <c r="J65" s="129">
        <v>4016.0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288.0</v>
      </c>
      <c r="G66" s="92"/>
      <c r="H66" s="93">
        <v>288.0</v>
      </c>
      <c r="I66" s="92"/>
      <c r="J66" s="129">
        <v>4017.0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185.0</v>
      </c>
      <c r="G67" s="92"/>
      <c r="H67" s="93">
        <v>185.0</v>
      </c>
      <c r="I67" s="92"/>
      <c r="J67" s="129">
        <v>4018.0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791.0</v>
      </c>
      <c r="G68" s="93">
        <v>791.0</v>
      </c>
      <c r="H68" s="92"/>
      <c r="I68" s="92"/>
      <c r="J68" s="129">
        <v>4019.0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297.0</v>
      </c>
      <c r="G69" s="92"/>
      <c r="H69" s="93">
        <v>297.0</v>
      </c>
      <c r="I69" s="92"/>
      <c r="J69" s="129">
        <v>4020.0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524.0</v>
      </c>
      <c r="G70" s="92"/>
      <c r="H70" s="93">
        <v>524.0</v>
      </c>
      <c r="I70" s="153">
        <v>910.0</v>
      </c>
      <c r="J70" s="129" t="s">
        <v>121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12.0</v>
      </c>
      <c r="G71" s="92"/>
      <c r="H71" s="93">
        <v>12.0</v>
      </c>
      <c r="I71" s="92"/>
      <c r="J71" s="129">
        <v>4022.0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605.0</v>
      </c>
      <c r="G72" s="92"/>
      <c r="H72" s="93">
        <v>605.0</v>
      </c>
      <c r="I72" s="92"/>
      <c r="J72" s="129">
        <v>4023.0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9.0</v>
      </c>
      <c r="G73" s="93">
        <v>9.0</v>
      </c>
      <c r="H73" s="92"/>
      <c r="I73" s="92"/>
      <c r="J73" s="129">
        <v>4024.0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111.0</v>
      </c>
      <c r="G74" s="93">
        <v>111.0</v>
      </c>
      <c r="H74" s="92"/>
      <c r="I74" s="92"/>
      <c r="J74" s="129">
        <v>4025.0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212.0</v>
      </c>
      <c r="G75" s="92"/>
      <c r="H75" s="92"/>
      <c r="I75" s="93">
        <v>212.0</v>
      </c>
      <c r="J75" s="129" t="s">
        <v>122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129">
        <v>4027.0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129">
        <v>4028.0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29">
        <v>4029.0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29">
        <v>4030.0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29">
        <v>4031.0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29">
        <v>4032.0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29">
        <v>4033.0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29">
        <v>4034.0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29">
        <v>4035.0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29">
        <v>4036.0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29">
        <v>4037.0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29">
        <v>4038.0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29">
        <v>4039.0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54"/>
      <c r="I89" s="61"/>
      <c r="J89" s="129">
        <v>4040.0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29">
        <v>4041.0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29">
        <v>4042.0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29">
        <v>4043.0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29">
        <v>4044.0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29">
        <v>4045.0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21107</v>
      </c>
      <c r="G97" s="123">
        <f t="shared" si="4"/>
        <v>7289</v>
      </c>
      <c r="H97" s="123">
        <f t="shared" si="4"/>
        <v>12677</v>
      </c>
      <c r="I97" s="123">
        <f t="shared" si="4"/>
        <v>2051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43327.0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344947.0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50851.0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F100-C15</f>
        <v>36521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G100-W33</f>
        <v>17217</v>
      </c>
      <c r="D10" s="24"/>
      <c r="E10" s="43">
        <v>1.0</v>
      </c>
      <c r="F10" s="44">
        <v>111.0</v>
      </c>
      <c r="G10" s="45"/>
      <c r="H10" s="45">
        <v>111.0</v>
      </c>
      <c r="I10" s="45"/>
      <c r="J10" s="129">
        <v>4027.0</v>
      </c>
      <c r="K10" s="24"/>
      <c r="L10" s="47"/>
      <c r="M10" s="47">
        <v>588.0</v>
      </c>
      <c r="N10" s="47">
        <v>3989.0</v>
      </c>
      <c r="O10" s="49"/>
      <c r="P10" s="85" t="s">
        <v>43</v>
      </c>
      <c r="Q10" s="51"/>
      <c r="R10" s="52">
        <v>2000.0</v>
      </c>
      <c r="S10" s="53"/>
      <c r="T10" s="54"/>
      <c r="U10" s="55"/>
      <c r="V10" s="24"/>
      <c r="W10" s="47">
        <v>810.0</v>
      </c>
      <c r="X10" s="47"/>
      <c r="Y10" s="47" t="s">
        <v>123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H100-X33</f>
        <v>10469</v>
      </c>
      <c r="D11" s="24"/>
      <c r="E11" s="43">
        <v>2.0</v>
      </c>
      <c r="F11" s="56">
        <v>756.0</v>
      </c>
      <c r="G11" s="57">
        <v>756.0</v>
      </c>
      <c r="H11" s="58"/>
      <c r="I11" s="59"/>
      <c r="J11" s="129">
        <v>4028.0</v>
      </c>
      <c r="K11" s="24"/>
      <c r="L11" s="48"/>
      <c r="M11" s="47">
        <v>341.0</v>
      </c>
      <c r="N11" s="47">
        <v>4016.0</v>
      </c>
      <c r="O11" s="49"/>
      <c r="P11" s="72" t="s">
        <v>77</v>
      </c>
      <c r="Q11" s="51"/>
      <c r="R11" s="52">
        <v>200.0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I100</f>
        <v>8837</v>
      </c>
      <c r="D12" s="24"/>
      <c r="E12" s="43">
        <v>3.0</v>
      </c>
      <c r="F12" s="63">
        <v>27.0</v>
      </c>
      <c r="G12" s="64">
        <v>27.0</v>
      </c>
      <c r="H12" s="64"/>
      <c r="I12" s="65"/>
      <c r="J12" s="129">
        <v>4029.0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1804.0</v>
      </c>
      <c r="G13" s="64">
        <v>1804.0</v>
      </c>
      <c r="H13" s="65"/>
      <c r="I13" s="65"/>
      <c r="J13" s="129">
        <v>4030.0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929</v>
      </c>
      <c r="D14" s="24"/>
      <c r="E14" s="43">
        <v>5.0</v>
      </c>
      <c r="F14" s="56">
        <v>117.0</v>
      </c>
      <c r="G14" s="64">
        <v>117.0</v>
      </c>
      <c r="H14" s="65"/>
      <c r="I14" s="65"/>
      <c r="J14" s="129">
        <v>4031.0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810</v>
      </c>
      <c r="D15" s="24"/>
      <c r="E15" s="43">
        <v>6.0</v>
      </c>
      <c r="F15" s="56">
        <v>330.0</v>
      </c>
      <c r="G15" s="64">
        <v>330.0</v>
      </c>
      <c r="H15" s="64"/>
      <c r="I15" s="65"/>
      <c r="J15" s="129">
        <v>4032.0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2200</v>
      </c>
      <c r="D16" s="24"/>
      <c r="E16" s="43">
        <v>7.0</v>
      </c>
      <c r="F16" s="56">
        <v>2142.0</v>
      </c>
      <c r="G16" s="64">
        <v>2142.0</v>
      </c>
      <c r="H16" s="64"/>
      <c r="I16" s="65"/>
      <c r="J16" s="129">
        <v>4033.0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2200</v>
      </c>
      <c r="D17" s="24"/>
      <c r="E17" s="43">
        <v>8.0</v>
      </c>
      <c r="F17" s="56">
        <v>70.0</v>
      </c>
      <c r="G17" s="64">
        <v>70.0</v>
      </c>
      <c r="H17" s="64"/>
      <c r="I17" s="65"/>
      <c r="J17" s="129">
        <v>4034.0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184.0</v>
      </c>
      <c r="G18" s="64">
        <v>184.0</v>
      </c>
      <c r="H18" s="64"/>
      <c r="I18" s="65"/>
      <c r="J18" s="129">
        <v>4035.0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741.0</v>
      </c>
      <c r="G19" s="64">
        <v>741.0</v>
      </c>
      <c r="H19" s="65"/>
      <c r="I19" s="65"/>
      <c r="J19" s="129">
        <v>4036.0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58759</v>
      </c>
      <c r="D20" s="24"/>
      <c r="E20" s="43">
        <v>11.0</v>
      </c>
      <c r="F20" s="56">
        <v>193.0</v>
      </c>
      <c r="G20" s="64">
        <v>193.0</v>
      </c>
      <c r="H20" s="64"/>
      <c r="I20" s="65"/>
      <c r="J20" s="129">
        <v>4037.0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356345</v>
      </c>
      <c r="D21" s="24"/>
      <c r="E21" s="43">
        <v>12.0</v>
      </c>
      <c r="F21" s="56">
        <v>136.0</v>
      </c>
      <c r="G21" s="65"/>
      <c r="H21" s="64">
        <v>136.0</v>
      </c>
      <c r="I21" s="65"/>
      <c r="J21" s="129">
        <v>4038.0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54844</v>
      </c>
      <c r="D22" s="24"/>
      <c r="E22" s="43">
        <v>13.0</v>
      </c>
      <c r="F22" s="56">
        <v>126.0</v>
      </c>
      <c r="G22" s="64"/>
      <c r="H22" s="64">
        <v>126.0</v>
      </c>
      <c r="I22" s="65"/>
      <c r="J22" s="129">
        <v>4039.0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9">
        <v>54844.0</v>
      </c>
      <c r="D23" s="24"/>
      <c r="E23" s="43">
        <v>14.0</v>
      </c>
      <c r="F23" s="56">
        <v>87.0</v>
      </c>
      <c r="G23" s="64">
        <v>77.0</v>
      </c>
      <c r="H23" s="64">
        <v>10.0</v>
      </c>
      <c r="I23" s="65"/>
      <c r="J23" s="129">
        <v>4040.0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>
        <v>138.0</v>
      </c>
      <c r="G24" s="64">
        <v>138.0</v>
      </c>
      <c r="H24" s="65"/>
      <c r="I24" s="65"/>
      <c r="J24" s="129">
        <v>4041.0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27.0</v>
      </c>
      <c r="G25" s="64"/>
      <c r="H25" s="64">
        <v>27.0</v>
      </c>
      <c r="I25" s="65"/>
      <c r="J25" s="129">
        <v>4042.0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F100</f>
        <v>37331</v>
      </c>
      <c r="D26" s="24"/>
      <c r="E26" s="43">
        <v>17.0</v>
      </c>
      <c r="F26" s="56">
        <v>231.0</v>
      </c>
      <c r="G26" s="64"/>
      <c r="H26" s="64">
        <v>231.0</v>
      </c>
      <c r="I26" s="65"/>
      <c r="J26" s="129">
        <v>4043.0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89.0</v>
      </c>
      <c r="D27" s="24"/>
      <c r="E27" s="43">
        <v>18.0</v>
      </c>
      <c r="F27" s="56">
        <v>145.0</v>
      </c>
      <c r="G27" s="64">
        <v>145.0</v>
      </c>
      <c r="H27" s="65"/>
      <c r="I27" s="65"/>
      <c r="J27" s="129">
        <v>4044.0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419.4494382</v>
      </c>
      <c r="D28" s="24"/>
      <c r="E28" s="43">
        <v>19.0</v>
      </c>
      <c r="F28" s="56">
        <v>117.0</v>
      </c>
      <c r="G28" s="64">
        <v>117.0</v>
      </c>
      <c r="H28" s="65"/>
      <c r="I28" s="65"/>
      <c r="J28" s="129">
        <v>4045.0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298.0</v>
      </c>
      <c r="G29" s="64">
        <v>298.0</v>
      </c>
      <c r="H29" s="65"/>
      <c r="I29" s="65"/>
      <c r="J29" s="129">
        <v>4046.0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715.0</v>
      </c>
      <c r="G30" s="93"/>
      <c r="H30" s="153">
        <v>715.0</v>
      </c>
      <c r="I30" s="93"/>
      <c r="J30" s="129" t="s">
        <v>88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100.0</v>
      </c>
      <c r="G31" s="93">
        <v>100.0</v>
      </c>
      <c r="H31" s="92"/>
      <c r="I31" s="92"/>
      <c r="J31" s="129">
        <v>4048.0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2200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261.0</v>
      </c>
      <c r="G32" s="93">
        <v>261.0</v>
      </c>
      <c r="H32" s="92"/>
      <c r="I32" s="92"/>
      <c r="J32" s="129">
        <v>4049.0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307.0</v>
      </c>
      <c r="G33" s="93">
        <v>300.0</v>
      </c>
      <c r="H33" s="93">
        <v>7.0</v>
      </c>
      <c r="I33" s="92"/>
      <c r="J33" s="129">
        <v>4050.0</v>
      </c>
      <c r="K33" s="24"/>
      <c r="L33" s="104">
        <f t="shared" ref="L33:M33" si="2">sum(L10:L32)</f>
        <v>0</v>
      </c>
      <c r="M33" s="104">
        <f t="shared" si="2"/>
        <v>929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810</v>
      </c>
      <c r="X33" s="104">
        <f t="shared" si="3"/>
        <v>0</v>
      </c>
      <c r="Y33" s="104">
        <f>W33+X33</f>
        <v>810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563.0</v>
      </c>
      <c r="G34" s="93">
        <v>563.0</v>
      </c>
      <c r="H34" s="92"/>
      <c r="I34" s="92"/>
      <c r="J34" s="129">
        <v>4051.0</v>
      </c>
      <c r="K34" s="24"/>
      <c r="L34" s="106"/>
      <c r="M34" s="106"/>
      <c r="N34" s="106"/>
      <c r="O34" s="106"/>
      <c r="P34" s="85" t="s">
        <v>40</v>
      </c>
      <c r="Q34" s="107"/>
      <c r="R34" s="130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199.0</v>
      </c>
      <c r="G35" s="93">
        <v>199.0</v>
      </c>
      <c r="H35" s="93"/>
      <c r="I35" s="92"/>
      <c r="J35" s="129">
        <v>4052.0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82.0</v>
      </c>
      <c r="G36" s="92"/>
      <c r="H36" s="93">
        <v>82.0</v>
      </c>
      <c r="I36" s="92"/>
      <c r="J36" s="129">
        <v>4053.0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1737.0</v>
      </c>
      <c r="G37" s="93">
        <v>1000.0</v>
      </c>
      <c r="H37" s="93">
        <v>737.0</v>
      </c>
      <c r="I37" s="92"/>
      <c r="J37" s="129">
        <v>4054.0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350.0</v>
      </c>
      <c r="G38" s="93"/>
      <c r="H38" s="166">
        <v>352.0</v>
      </c>
      <c r="I38" s="92"/>
      <c r="J38" s="129">
        <v>4055.0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224.0</v>
      </c>
      <c r="G39" s="93">
        <v>224.0</v>
      </c>
      <c r="H39" s="93"/>
      <c r="I39" s="92"/>
      <c r="J39" s="129">
        <v>4056.0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547.0</v>
      </c>
      <c r="G40" s="93"/>
      <c r="H40" s="93">
        <v>547.0</v>
      </c>
      <c r="I40" s="92"/>
      <c r="J40" s="129">
        <v>4057.0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125.0</v>
      </c>
      <c r="G41" s="93">
        <v>125.0</v>
      </c>
      <c r="H41" s="93"/>
      <c r="I41" s="92"/>
      <c r="J41" s="129">
        <v>4058.0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748.0</v>
      </c>
      <c r="G42" s="93"/>
      <c r="H42" s="93">
        <v>748.0</v>
      </c>
      <c r="I42" s="92"/>
      <c r="J42" s="129">
        <v>4059.0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70.0</v>
      </c>
      <c r="G43" s="93">
        <v>70.0</v>
      </c>
      <c r="H43" s="92"/>
      <c r="I43" s="92"/>
      <c r="J43" s="129">
        <v>4060.0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979.0</v>
      </c>
      <c r="G44" s="92"/>
      <c r="H44" s="93">
        <v>979.0</v>
      </c>
      <c r="I44" s="92"/>
      <c r="J44" s="129">
        <v>4061.0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260.0</v>
      </c>
      <c r="G45" s="93">
        <v>260.0</v>
      </c>
      <c r="H45" s="92"/>
      <c r="I45" s="92"/>
      <c r="J45" s="129">
        <v>4062.0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168.0</v>
      </c>
      <c r="G46" s="93">
        <v>168.0</v>
      </c>
      <c r="H46" s="92"/>
      <c r="I46" s="92"/>
      <c r="J46" s="129">
        <v>4063.0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100.0</v>
      </c>
      <c r="G47" s="93">
        <v>100.0</v>
      </c>
      <c r="H47" s="93"/>
      <c r="I47" s="92"/>
      <c r="J47" s="129">
        <v>4064.0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146.0</v>
      </c>
      <c r="G48" s="93">
        <v>146.0</v>
      </c>
      <c r="H48" s="92"/>
      <c r="I48" s="92"/>
      <c r="J48" s="129">
        <v>4065.0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199.0</v>
      </c>
      <c r="G49" s="92"/>
      <c r="H49" s="93">
        <v>199.0</v>
      </c>
      <c r="I49" s="92"/>
      <c r="J49" s="129">
        <v>4066.0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200.0</v>
      </c>
      <c r="G50" s="93">
        <v>200.0</v>
      </c>
      <c r="H50" s="93"/>
      <c r="I50" s="92"/>
      <c r="J50" s="129">
        <v>4067.0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153.0</v>
      </c>
      <c r="G51" s="93">
        <v>153.0</v>
      </c>
      <c r="H51" s="92"/>
      <c r="I51" s="92"/>
      <c r="J51" s="129">
        <v>4068.0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451.0</v>
      </c>
      <c r="G52" s="93" t="s">
        <v>42</v>
      </c>
      <c r="H52" s="92"/>
      <c r="I52" s="93">
        <v>451.0</v>
      </c>
      <c r="J52" s="129">
        <v>4069.0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248.0</v>
      </c>
      <c r="G53" s="93">
        <v>248.0</v>
      </c>
      <c r="H53" s="92"/>
      <c r="I53" s="92"/>
      <c r="J53" s="129">
        <v>4070.0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20.0</v>
      </c>
      <c r="G54" s="93">
        <v>20.0</v>
      </c>
      <c r="H54" s="92"/>
      <c r="I54" s="92"/>
      <c r="J54" s="129">
        <v>4071.0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833.0</v>
      </c>
      <c r="G55" s="92"/>
      <c r="H55" s="93">
        <v>833.0</v>
      </c>
      <c r="I55" s="92"/>
      <c r="J55" s="129">
        <v>4072.0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254.0</v>
      </c>
      <c r="G56" s="93">
        <v>254.0</v>
      </c>
      <c r="H56" s="92"/>
      <c r="I56" s="92"/>
      <c r="J56" s="129">
        <v>4073.0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1834.0</v>
      </c>
      <c r="G57" s="93">
        <v>1834.0</v>
      </c>
      <c r="H57" s="92"/>
      <c r="I57" s="92"/>
      <c r="J57" s="129">
        <v>4074.0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52.0</v>
      </c>
      <c r="G58" s="93">
        <v>52.0</v>
      </c>
      <c r="H58" s="92"/>
      <c r="I58" s="92"/>
      <c r="J58" s="129">
        <v>4075.0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49.0</v>
      </c>
      <c r="G59" s="93">
        <v>0.0</v>
      </c>
      <c r="H59" s="93">
        <v>49.0</v>
      </c>
      <c r="I59" s="92"/>
      <c r="J59" s="129">
        <v>4076.0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399.0</v>
      </c>
      <c r="G60" s="93">
        <v>399.0</v>
      </c>
      <c r="H60" s="92"/>
      <c r="I60" s="92"/>
      <c r="J60" s="129">
        <v>4077.0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314.0</v>
      </c>
      <c r="G61" s="93">
        <v>314.0</v>
      </c>
      <c r="H61" s="92"/>
      <c r="I61" s="92"/>
      <c r="J61" s="129">
        <v>4078.0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90.0</v>
      </c>
      <c r="G62" s="93">
        <v>90.0</v>
      </c>
      <c r="H62" s="92"/>
      <c r="I62" s="92"/>
      <c r="J62" s="129">
        <v>4079.0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284.0</v>
      </c>
      <c r="G63" s="93">
        <v>284.0</v>
      </c>
      <c r="H63" s="92"/>
      <c r="I63" s="92"/>
      <c r="J63" s="129">
        <v>4080.0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319.0</v>
      </c>
      <c r="G64" s="93">
        <v>319.0</v>
      </c>
      <c r="H64" s="92"/>
      <c r="I64" s="92"/>
      <c r="J64" s="129">
        <v>4081.0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763.0</v>
      </c>
      <c r="G65" s="92"/>
      <c r="H65" s="93">
        <v>763.0</v>
      </c>
      <c r="I65" s="92"/>
      <c r="J65" s="129">
        <v>4082.0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81.0</v>
      </c>
      <c r="G66" s="93">
        <v>81.0</v>
      </c>
      <c r="H66" s="92"/>
      <c r="I66" s="92"/>
      <c r="J66" s="129">
        <v>4083.0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528.0</v>
      </c>
      <c r="G67" s="93">
        <v>528.0</v>
      </c>
      <c r="H67" s="92"/>
      <c r="I67" s="92"/>
      <c r="J67" s="129">
        <v>4084.0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206.0</v>
      </c>
      <c r="G68" s="93">
        <v>206.0</v>
      </c>
      <c r="H68" s="92"/>
      <c r="I68" s="92"/>
      <c r="J68" s="129">
        <v>4085.0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960.0</v>
      </c>
      <c r="G69" s="93">
        <v>960.0</v>
      </c>
      <c r="H69" s="92"/>
      <c r="I69" s="92"/>
      <c r="J69" s="129">
        <v>4086.0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104.0</v>
      </c>
      <c r="G70" s="93">
        <v>104.0</v>
      </c>
      <c r="H70" s="92"/>
      <c r="I70" s="92"/>
      <c r="J70" s="129">
        <v>4087.0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153.0</v>
      </c>
      <c r="G71" s="93">
        <v>153.0</v>
      </c>
      <c r="H71" s="92"/>
      <c r="I71" s="92"/>
      <c r="J71" s="129">
        <v>4088.0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220.0</v>
      </c>
      <c r="G72" s="92"/>
      <c r="H72" s="93">
        <v>220.0</v>
      </c>
      <c r="I72" s="92"/>
      <c r="J72" s="129">
        <v>4089.0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166.0</v>
      </c>
      <c r="G73" s="93">
        <v>100.0</v>
      </c>
      <c r="H73" s="93">
        <v>66.0</v>
      </c>
      <c r="I73" s="92"/>
      <c r="J73" s="129">
        <v>4090.0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219.0</v>
      </c>
      <c r="G74" s="92"/>
      <c r="H74" s="93">
        <v>219.0</v>
      </c>
      <c r="I74" s="92"/>
      <c r="J74" s="129">
        <v>4091.0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10.0</v>
      </c>
      <c r="G75" s="93">
        <v>10.0</v>
      </c>
      <c r="H75" s="92"/>
      <c r="I75" s="92"/>
      <c r="J75" s="129">
        <v>4092.0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71.0</v>
      </c>
      <c r="G76" s="92"/>
      <c r="H76" s="93">
        <v>71.0</v>
      </c>
      <c r="I76" s="92"/>
      <c r="J76" s="129">
        <v>4093.0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89.0</v>
      </c>
      <c r="G77" s="93">
        <v>89.0</v>
      </c>
      <c r="H77" s="92"/>
      <c r="I77" s="92"/>
      <c r="J77" s="129">
        <v>4094.0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40.0</v>
      </c>
      <c r="G78" s="93">
        <v>40.0</v>
      </c>
      <c r="H78" s="92"/>
      <c r="I78" s="92"/>
      <c r="J78" s="129">
        <v>4095.0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886.0</v>
      </c>
      <c r="G79" s="92"/>
      <c r="H79" s="93">
        <v>886.0</v>
      </c>
      <c r="I79" s="92"/>
      <c r="J79" s="129">
        <v>4096.0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620.0</v>
      </c>
      <c r="G80" s="92"/>
      <c r="H80" s="93">
        <v>620.0</v>
      </c>
      <c r="I80" s="92"/>
      <c r="J80" s="129">
        <v>4097.0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54.0</v>
      </c>
      <c r="G81" s="93">
        <v>54.0</v>
      </c>
      <c r="H81" s="92"/>
      <c r="I81" s="92"/>
      <c r="J81" s="129">
        <v>4098.0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52">
        <v>84.0</v>
      </c>
      <c r="G82" s="61"/>
      <c r="H82" s="54">
        <v>84.0</v>
      </c>
      <c r="I82" s="61"/>
      <c r="J82" s="129">
        <v>4099.0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52">
        <v>7036.0</v>
      </c>
      <c r="G83" s="61"/>
      <c r="H83" s="61"/>
      <c r="I83" s="54">
        <v>7036.0</v>
      </c>
      <c r="J83" s="129">
        <v>4100.0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52">
        <v>16.0</v>
      </c>
      <c r="G84" s="54">
        <v>16.0</v>
      </c>
      <c r="H84" s="61"/>
      <c r="I84" s="61"/>
      <c r="J84" s="129">
        <v>4101.0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52">
        <v>1190.0</v>
      </c>
      <c r="G85" s="61"/>
      <c r="H85" s="61"/>
      <c r="I85" s="54">
        <v>1190.0</v>
      </c>
      <c r="J85" s="129">
        <v>4102.0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52">
        <v>70.0</v>
      </c>
      <c r="G86" s="61"/>
      <c r="H86" s="93">
        <v>70.0</v>
      </c>
      <c r="I86" s="61"/>
      <c r="J86" s="129">
        <v>4103.0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52">
        <v>1136.0</v>
      </c>
      <c r="G87" s="61"/>
      <c r="H87" s="54">
        <v>1136.0</v>
      </c>
      <c r="I87" s="61"/>
      <c r="J87" s="129">
        <v>4104.0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52">
        <v>140.0</v>
      </c>
      <c r="G88" s="61"/>
      <c r="H88" s="54">
        <v>140.0</v>
      </c>
      <c r="I88" s="61"/>
      <c r="J88" s="129">
        <v>4105.0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52">
        <v>87.0</v>
      </c>
      <c r="G89" s="61"/>
      <c r="H89" s="54">
        <v>87.0</v>
      </c>
      <c r="I89" s="61"/>
      <c r="J89" s="129">
        <v>4106.0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52">
        <v>76.0</v>
      </c>
      <c r="G90" s="54" t="s">
        <v>42</v>
      </c>
      <c r="H90" s="54">
        <v>76.0</v>
      </c>
      <c r="I90" s="61"/>
      <c r="J90" s="129">
        <v>4107.0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52">
        <v>271.0</v>
      </c>
      <c r="G91" s="54">
        <v>271.0</v>
      </c>
      <c r="H91" s="61"/>
      <c r="I91" s="61"/>
      <c r="J91" s="129">
        <v>4108.0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52">
        <v>10.0</v>
      </c>
      <c r="G92" s="54">
        <v>10.0</v>
      </c>
      <c r="H92" s="61"/>
      <c r="I92" s="61"/>
      <c r="J92" s="129">
        <v>4109.0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52">
        <v>63.0</v>
      </c>
      <c r="G93" s="54">
        <v>63.0</v>
      </c>
      <c r="H93" s="61"/>
      <c r="I93" s="61"/>
      <c r="J93" s="129">
        <v>4110.0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52">
        <v>272.0</v>
      </c>
      <c r="G94" s="54">
        <v>272.0</v>
      </c>
      <c r="H94" s="54"/>
      <c r="I94" s="61"/>
      <c r="J94" s="129">
        <v>4111.0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52">
        <v>160.0</v>
      </c>
      <c r="G95" s="61"/>
      <c r="I95" s="54">
        <v>160.0</v>
      </c>
      <c r="J95" s="129">
        <v>4112.0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52">
        <v>248.0</v>
      </c>
      <c r="G96" s="54">
        <v>248.0</v>
      </c>
      <c r="I96" s="61"/>
      <c r="J96" s="129">
        <v>4113.0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52">
        <v>40.0</v>
      </c>
      <c r="G97" s="61"/>
      <c r="H97" s="131">
        <v>40.0</v>
      </c>
      <c r="I97" s="61"/>
      <c r="J97" s="129">
        <v>4114.0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52">
        <v>102.0</v>
      </c>
      <c r="G98" s="61"/>
      <c r="H98" s="131">
        <v>102.0</v>
      </c>
      <c r="I98" s="61"/>
      <c r="J98" s="129">
        <v>4115.0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21"/>
      <c r="G99" s="61"/>
      <c r="H99" s="61"/>
      <c r="I99" s="61"/>
      <c r="J99" s="129">
        <v>4116.0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1"/>
      <c r="E100" s="122"/>
      <c r="F100" s="123">
        <f t="shared" ref="F100:I100" si="4">SUM(F10:F99)</f>
        <v>37331</v>
      </c>
      <c r="G100" s="123">
        <f t="shared" si="4"/>
        <v>18027</v>
      </c>
      <c r="H100" s="123">
        <f t="shared" si="4"/>
        <v>10469</v>
      </c>
      <c r="I100" s="123">
        <f t="shared" si="4"/>
        <v>8837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18"/>
      <c r="C101" s="118"/>
      <c r="D101" s="1"/>
      <c r="E101" s="124"/>
      <c r="F101" s="124"/>
      <c r="G101" s="124"/>
      <c r="H101" s="124"/>
      <c r="I101" s="125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18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8"/>
      <c r="F104" s="8"/>
      <c r="G104" s="8"/>
      <c r="H104" s="8"/>
      <c r="I104" s="8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8"/>
      <c r="F105" s="8"/>
      <c r="G105" s="8"/>
      <c r="H105" s="8"/>
      <c r="I105" s="8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8"/>
      <c r="F106" s="8"/>
      <c r="G106" s="8"/>
      <c r="H106" s="8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26"/>
      <c r="H113" s="127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54844.0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356345.0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58759.0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23459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13002</v>
      </c>
      <c r="D10" s="24"/>
      <c r="E10" s="43">
        <v>1.0</v>
      </c>
      <c r="F10" s="44">
        <v>1096.0</v>
      </c>
      <c r="G10" s="45">
        <v>1096.0</v>
      </c>
      <c r="H10" s="45"/>
      <c r="I10" s="45"/>
      <c r="J10" s="129">
        <v>4116.0</v>
      </c>
      <c r="K10" s="24"/>
      <c r="L10" s="47"/>
      <c r="M10" s="47">
        <v>1190.0</v>
      </c>
      <c r="N10" s="47">
        <v>4102.0</v>
      </c>
      <c r="O10" s="49"/>
      <c r="P10" s="85" t="s">
        <v>98</v>
      </c>
      <c r="Q10" s="51"/>
      <c r="R10" s="52">
        <v>10.0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9039</v>
      </c>
      <c r="D11" s="24"/>
      <c r="E11" s="43">
        <v>2.0</v>
      </c>
      <c r="F11" s="56">
        <v>1200.0</v>
      </c>
      <c r="G11" s="57"/>
      <c r="H11" s="58">
        <v>1200.0</v>
      </c>
      <c r="I11" s="59"/>
      <c r="J11" s="129">
        <v>4117.0</v>
      </c>
      <c r="K11" s="24"/>
      <c r="L11" s="47">
        <v>399.0</v>
      </c>
      <c r="M11" s="48"/>
      <c r="N11" s="47" t="s">
        <v>124</v>
      </c>
      <c r="O11" s="49"/>
      <c r="P11" s="72" t="s">
        <v>74</v>
      </c>
      <c r="Q11" s="51"/>
      <c r="R11" s="52">
        <v>1000.0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1418</v>
      </c>
      <c r="D12" s="24"/>
      <c r="E12" s="43">
        <v>3.0</v>
      </c>
      <c r="F12" s="63">
        <v>77.0</v>
      </c>
      <c r="G12" s="64">
        <v>77.0</v>
      </c>
      <c r="H12" s="64"/>
      <c r="I12" s="65"/>
      <c r="J12" s="129">
        <v>4118.0</v>
      </c>
      <c r="K12" s="24"/>
      <c r="L12" s="47">
        <v>300.0</v>
      </c>
      <c r="M12" s="47">
        <v>151.0</v>
      </c>
      <c r="N12" s="47">
        <v>4069.0</v>
      </c>
      <c r="O12" s="49"/>
      <c r="P12" s="72" t="s">
        <v>72</v>
      </c>
      <c r="Q12" s="51"/>
      <c r="R12" s="52">
        <v>300.0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859</v>
      </c>
      <c r="D13" s="24"/>
      <c r="E13" s="43">
        <v>4.0</v>
      </c>
      <c r="F13" s="56">
        <v>698.0</v>
      </c>
      <c r="G13" s="64">
        <v>698.0</v>
      </c>
      <c r="H13" s="65"/>
      <c r="I13" s="65"/>
      <c r="J13" s="129">
        <v>4119.0</v>
      </c>
      <c r="K13" s="24"/>
      <c r="L13" s="47">
        <v>160.0</v>
      </c>
      <c r="M13" s="48"/>
      <c r="N13" s="47">
        <v>4112.0</v>
      </c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1341</v>
      </c>
      <c r="D14" s="24"/>
      <c r="E14" s="43">
        <v>5.0</v>
      </c>
      <c r="F14" s="56">
        <v>200.0</v>
      </c>
      <c r="G14" s="64"/>
      <c r="H14" s="64">
        <v>200.0</v>
      </c>
      <c r="I14" s="65"/>
      <c r="J14" s="129">
        <v>4120.0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307.0</v>
      </c>
      <c r="G15" s="64">
        <v>307.0</v>
      </c>
      <c r="H15" s="64"/>
      <c r="I15" s="65"/>
      <c r="J15" s="129">
        <v>4121.0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1310</v>
      </c>
      <c r="D16" s="24"/>
      <c r="E16" s="43">
        <v>7.0</v>
      </c>
      <c r="F16" s="56">
        <v>337.0</v>
      </c>
      <c r="G16" s="64">
        <v>337.0</v>
      </c>
      <c r="H16" s="64"/>
      <c r="I16" s="65"/>
      <c r="J16" s="129">
        <v>4122.0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1310</v>
      </c>
      <c r="D17" s="24"/>
      <c r="E17" s="43">
        <v>8.0</v>
      </c>
      <c r="F17" s="56">
        <v>418.0</v>
      </c>
      <c r="G17" s="64">
        <v>418.0</v>
      </c>
      <c r="H17" s="64"/>
      <c r="I17" s="65"/>
      <c r="J17" s="129">
        <v>4123.0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100.0</v>
      </c>
      <c r="G18" s="64">
        <v>100.0</v>
      </c>
      <c r="H18" s="64"/>
      <c r="I18" s="65"/>
      <c r="J18" s="129">
        <v>4124.0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124.0</v>
      </c>
      <c r="G19" s="64">
        <v>124.0</v>
      </c>
      <c r="H19" s="65"/>
      <c r="I19" s="65"/>
      <c r="J19" s="129">
        <v>4125.0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57977</v>
      </c>
      <c r="D20" s="24"/>
      <c r="E20" s="43">
        <v>11.0</v>
      </c>
      <c r="F20" s="56">
        <v>180.0</v>
      </c>
      <c r="G20" s="64">
        <v>180.0</v>
      </c>
      <c r="H20" s="64"/>
      <c r="I20" s="65"/>
      <c r="J20" s="129">
        <v>4126.0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366725</v>
      </c>
      <c r="D21" s="24"/>
      <c r="E21" s="43">
        <v>12.0</v>
      </c>
      <c r="F21" s="56">
        <v>12.0</v>
      </c>
      <c r="G21" s="64">
        <v>12.0</v>
      </c>
      <c r="H21" s="64"/>
      <c r="I21" s="65"/>
      <c r="J21" s="129">
        <v>4127.0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63895</v>
      </c>
      <c r="D22" s="24"/>
      <c r="E22" s="43">
        <v>13.0</v>
      </c>
      <c r="F22" s="56">
        <v>671.0</v>
      </c>
      <c r="G22" s="64">
        <v>671.0</v>
      </c>
      <c r="H22" s="64"/>
      <c r="I22" s="65"/>
      <c r="J22" s="129">
        <v>4128.0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9">
        <v>63.895</v>
      </c>
      <c r="D23" s="24"/>
      <c r="E23" s="43">
        <v>14.0</v>
      </c>
      <c r="F23" s="56">
        <v>665.0</v>
      </c>
      <c r="G23" s="65"/>
      <c r="H23" s="65"/>
      <c r="I23" s="64">
        <v>665.0</v>
      </c>
      <c r="J23" s="129" t="s">
        <v>100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63831.105</v>
      </c>
      <c r="D24" s="24"/>
      <c r="E24" s="43">
        <v>15.0</v>
      </c>
      <c r="F24" s="56">
        <v>120.0</v>
      </c>
      <c r="G24" s="64">
        <v>120.0</v>
      </c>
      <c r="H24" s="65"/>
      <c r="I24" s="65"/>
      <c r="J24" s="129">
        <v>4130.0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140.0</v>
      </c>
      <c r="G25" s="64">
        <v>140.0</v>
      </c>
      <c r="H25" s="65"/>
      <c r="I25" s="65"/>
      <c r="J25" s="129">
        <v>4131.0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23459</v>
      </c>
      <c r="D26" s="24"/>
      <c r="E26" s="43">
        <v>17.0</v>
      </c>
      <c r="F26" s="56">
        <v>451.0</v>
      </c>
      <c r="G26" s="64"/>
      <c r="H26" s="64">
        <v>451.0</v>
      </c>
      <c r="I26" s="65"/>
      <c r="J26" s="129">
        <v>4132.0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74.0</v>
      </c>
      <c r="D27" s="24"/>
      <c r="E27" s="43">
        <v>18.0</v>
      </c>
      <c r="F27" s="56">
        <v>531.0</v>
      </c>
      <c r="G27" s="64">
        <v>531.0</v>
      </c>
      <c r="H27" s="65"/>
      <c r="I27" s="65"/>
      <c r="J27" s="129">
        <v>4133.0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317.0135135</v>
      </c>
      <c r="D28" s="24"/>
      <c r="E28" s="43">
        <v>19.0</v>
      </c>
      <c r="F28" s="56">
        <v>250.0</v>
      </c>
      <c r="G28" s="64">
        <v>100.0</v>
      </c>
      <c r="H28" s="64">
        <v>150.0</v>
      </c>
      <c r="I28" s="65"/>
      <c r="J28" s="129">
        <v>4134.0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51.0</v>
      </c>
      <c r="G29" s="64">
        <v>51.0</v>
      </c>
      <c r="H29" s="65"/>
      <c r="I29" s="65"/>
      <c r="J29" s="129">
        <v>4135.0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118.0</v>
      </c>
      <c r="G30" s="93">
        <v>118.0</v>
      </c>
      <c r="H30" s="92"/>
      <c r="I30" s="93"/>
      <c r="J30" s="129">
        <v>4136.0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1087.0</v>
      </c>
      <c r="G31" s="93">
        <v>1000.0</v>
      </c>
      <c r="H31" s="93">
        <v>87.0</v>
      </c>
      <c r="I31" s="92"/>
      <c r="J31" s="129">
        <v>4137.0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1310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611.0</v>
      </c>
      <c r="G32" s="93">
        <v>611.0</v>
      </c>
      <c r="H32" s="92"/>
      <c r="I32" s="92"/>
      <c r="J32" s="129">
        <v>4138.0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566.0</v>
      </c>
      <c r="G33" s="93"/>
      <c r="H33" s="93">
        <v>566.0</v>
      </c>
      <c r="I33" s="93"/>
      <c r="J33" s="129"/>
      <c r="K33" s="24"/>
      <c r="L33" s="104">
        <f t="shared" ref="L33:M33" si="2">sum(L10:L32)</f>
        <v>859</v>
      </c>
      <c r="M33" s="104">
        <f t="shared" si="2"/>
        <v>1341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306.0</v>
      </c>
      <c r="G34" s="93"/>
      <c r="H34" s="93">
        <v>306.0</v>
      </c>
      <c r="I34" s="92"/>
      <c r="J34" s="129">
        <v>4140.0</v>
      </c>
      <c r="K34" s="24"/>
      <c r="L34" s="106"/>
      <c r="M34" s="106"/>
      <c r="N34" s="106"/>
      <c r="O34" s="106"/>
      <c r="P34" s="85" t="s">
        <v>40</v>
      </c>
      <c r="Q34" s="107"/>
      <c r="R34" s="130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125.0</v>
      </c>
      <c r="G35" s="93">
        <v>125.0</v>
      </c>
      <c r="H35" s="93"/>
      <c r="I35" s="92"/>
      <c r="J35" s="129">
        <v>4141.0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378.0</v>
      </c>
      <c r="G36" s="93">
        <v>378.0</v>
      </c>
      <c r="H36" s="93"/>
      <c r="I36" s="92"/>
      <c r="J36" s="129">
        <v>4142.0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10.0</v>
      </c>
      <c r="G37" s="93">
        <v>10.0</v>
      </c>
      <c r="H37" s="92"/>
      <c r="I37" s="92"/>
      <c r="J37" s="129">
        <v>4143.0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183.0</v>
      </c>
      <c r="G38" s="93"/>
      <c r="H38" s="93">
        <v>183.0</v>
      </c>
      <c r="I38" s="93" t="s">
        <v>42</v>
      </c>
      <c r="J38" s="129">
        <v>4144.0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387.0</v>
      </c>
      <c r="G39" s="93">
        <v>387.0</v>
      </c>
      <c r="H39" s="93"/>
      <c r="I39" s="93"/>
      <c r="J39" s="129">
        <v>4145.0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131.0</v>
      </c>
      <c r="G40" s="93">
        <v>131.0</v>
      </c>
      <c r="H40" s="93"/>
      <c r="I40" s="92"/>
      <c r="J40" s="129">
        <v>4146.0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550.0</v>
      </c>
      <c r="G41" s="93">
        <v>50.0</v>
      </c>
      <c r="H41" s="93">
        <v>500.0</v>
      </c>
      <c r="I41" s="92"/>
      <c r="J41" s="129">
        <v>4147.0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170.0</v>
      </c>
      <c r="G42" s="93"/>
      <c r="H42" s="93">
        <v>170.0</v>
      </c>
      <c r="I42" s="92"/>
      <c r="J42" s="129">
        <v>4148.0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712.0</v>
      </c>
      <c r="G43" s="93">
        <v>480.0</v>
      </c>
      <c r="H43" s="93">
        <v>232.0</v>
      </c>
      <c r="I43" s="92"/>
      <c r="J43" s="129">
        <v>4149.0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543.0</v>
      </c>
      <c r="G44" s="93">
        <v>543.0</v>
      </c>
      <c r="H44" s="93"/>
      <c r="I44" s="92"/>
      <c r="J44" s="129">
        <v>4150.0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549.0</v>
      </c>
      <c r="G45" s="93"/>
      <c r="H45" s="93">
        <v>549.0</v>
      </c>
      <c r="I45" s="92"/>
      <c r="J45" s="129">
        <v>4151.0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145.0</v>
      </c>
      <c r="G46" s="93"/>
      <c r="H46" s="93">
        <v>145.0</v>
      </c>
      <c r="I46" s="92"/>
      <c r="J46" s="129">
        <v>4152.0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27.0</v>
      </c>
      <c r="G47" s="93">
        <v>27.0</v>
      </c>
      <c r="H47" s="93"/>
      <c r="I47" s="92"/>
      <c r="J47" s="129">
        <v>4153.0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100.0</v>
      </c>
      <c r="G48" s="93">
        <v>100.0</v>
      </c>
      <c r="H48" s="92"/>
      <c r="I48" s="92"/>
      <c r="J48" s="129">
        <v>4154.0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299.0</v>
      </c>
      <c r="G49" s="93">
        <v>299.0</v>
      </c>
      <c r="H49" s="92"/>
      <c r="I49" s="92"/>
      <c r="J49" s="129">
        <v>4155.0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21.0</v>
      </c>
      <c r="G50" s="93">
        <v>21.0</v>
      </c>
      <c r="H50" s="93"/>
      <c r="I50" s="92"/>
      <c r="J50" s="129">
        <v>4156.0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638.0</v>
      </c>
      <c r="G51" s="93">
        <v>638.0</v>
      </c>
      <c r="H51" s="92"/>
      <c r="I51" s="92"/>
      <c r="J51" s="129">
        <v>4157.0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189.0</v>
      </c>
      <c r="G52" s="93" t="s">
        <v>42</v>
      </c>
      <c r="H52" s="93">
        <v>189.0</v>
      </c>
      <c r="I52" s="92"/>
      <c r="J52" s="129">
        <v>4158.0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126.0</v>
      </c>
      <c r="G53" s="93" t="s">
        <v>42</v>
      </c>
      <c r="H53" s="93">
        <v>126.0</v>
      </c>
      <c r="I53" s="92"/>
      <c r="J53" s="129">
        <v>4159.0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69.0</v>
      </c>
      <c r="G54" s="93">
        <v>69.0</v>
      </c>
      <c r="H54" s="92"/>
      <c r="I54" s="92"/>
      <c r="J54" s="129">
        <v>4160.0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300.0</v>
      </c>
      <c r="G55" s="93">
        <v>300.0</v>
      </c>
      <c r="H55" s="92"/>
      <c r="I55" s="92"/>
      <c r="J55" s="129">
        <v>4161.0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27.0</v>
      </c>
      <c r="G56" s="93">
        <v>27.0</v>
      </c>
      <c r="H56" s="92"/>
      <c r="I56" s="92"/>
      <c r="J56" s="129">
        <v>4162.0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569.0</v>
      </c>
      <c r="G57" s="92"/>
      <c r="H57" s="93">
        <v>569.0</v>
      </c>
      <c r="I57" s="92"/>
      <c r="J57" s="129">
        <v>4163.0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100.0</v>
      </c>
      <c r="G58" s="93">
        <v>100.0</v>
      </c>
      <c r="H58" s="92"/>
      <c r="I58" s="92"/>
      <c r="J58" s="129">
        <v>4164.0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220.0</v>
      </c>
      <c r="G59" s="93">
        <v>37.0</v>
      </c>
      <c r="H59" s="93">
        <v>183.0</v>
      </c>
      <c r="I59" s="92"/>
      <c r="J59" s="129">
        <v>4165.0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82.0</v>
      </c>
      <c r="G60" s="92"/>
      <c r="H60" s="93">
        <v>82.0</v>
      </c>
      <c r="I60" s="92"/>
      <c r="J60" s="129">
        <v>4166.0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40.0</v>
      </c>
      <c r="G61" s="93">
        <v>40.0</v>
      </c>
      <c r="H61" s="92"/>
      <c r="I61" s="92"/>
      <c r="J61" s="129">
        <v>4167.0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10.0</v>
      </c>
      <c r="G62" s="93">
        <v>10.0</v>
      </c>
      <c r="H62" s="92"/>
      <c r="I62" s="92"/>
      <c r="J62" s="129">
        <v>4168.0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147.0</v>
      </c>
      <c r="G63" s="93">
        <v>147.0</v>
      </c>
      <c r="H63" s="92"/>
      <c r="I63" s="92"/>
      <c r="J63" s="129">
        <v>4169.0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164.0</v>
      </c>
      <c r="G64" s="92"/>
      <c r="H64" s="93">
        <v>164.0</v>
      </c>
      <c r="I64" s="92"/>
      <c r="J64" s="129">
        <v>4170.0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581.0</v>
      </c>
      <c r="G65" s="92"/>
      <c r="H65" s="93">
        <v>581.0</v>
      </c>
      <c r="I65" s="92"/>
      <c r="J65" s="129">
        <v>4171.0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228.0</v>
      </c>
      <c r="G66" s="93">
        <v>228.0</v>
      </c>
      <c r="H66" s="92"/>
      <c r="I66" s="92"/>
      <c r="J66" s="129">
        <v>4172.0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197.0</v>
      </c>
      <c r="G67" s="93">
        <v>197.0</v>
      </c>
      <c r="H67" s="92"/>
      <c r="I67" s="92"/>
      <c r="J67" s="129">
        <v>4173.0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670.0</v>
      </c>
      <c r="G68" s="93" t="s">
        <v>42</v>
      </c>
      <c r="H68" s="93">
        <v>670.0</v>
      </c>
      <c r="I68" s="92"/>
      <c r="J68" s="129">
        <v>4174.0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729.0</v>
      </c>
      <c r="G69" s="93">
        <v>729.0</v>
      </c>
      <c r="H69" s="92"/>
      <c r="I69" s="92"/>
      <c r="J69" s="129">
        <v>4175.0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134.0</v>
      </c>
      <c r="G70" s="92"/>
      <c r="H70" s="93">
        <v>134.0</v>
      </c>
      <c r="I70" s="92"/>
      <c r="J70" s="129">
        <v>4176.0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100.0</v>
      </c>
      <c r="G71" s="92"/>
      <c r="H71" s="93">
        <v>100.0</v>
      </c>
      <c r="I71" s="92"/>
      <c r="J71" s="129">
        <v>4177.0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10.0</v>
      </c>
      <c r="G72" s="93">
        <v>10.0</v>
      </c>
      <c r="H72" s="92"/>
      <c r="I72" s="92"/>
      <c r="J72" s="129">
        <v>4178.0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441.0</v>
      </c>
      <c r="G73" s="93">
        <v>441.0</v>
      </c>
      <c r="H73" s="92"/>
      <c r="I73" s="92"/>
      <c r="J73" s="129">
        <v>4179.0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10.0</v>
      </c>
      <c r="G74" s="93">
        <v>10.0</v>
      </c>
      <c r="H74" s="92"/>
      <c r="I74" s="92"/>
      <c r="J74" s="129">
        <v>4180.0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260.0</v>
      </c>
      <c r="G75" s="93">
        <v>260.0</v>
      </c>
      <c r="H75" s="92"/>
      <c r="I75" s="92"/>
      <c r="J75" s="129">
        <v>4181.0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146.0</v>
      </c>
      <c r="G76" s="92"/>
      <c r="H76" s="93">
        <v>146.0</v>
      </c>
      <c r="I76" s="92"/>
      <c r="J76" s="129">
        <v>4182.0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662.0</v>
      </c>
      <c r="G77" s="92"/>
      <c r="H77" s="93">
        <v>662.0</v>
      </c>
      <c r="I77" s="92"/>
      <c r="J77" s="129">
        <v>4183.0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50.0</v>
      </c>
      <c r="G78" s="93">
        <v>50.0</v>
      </c>
      <c r="H78" s="92"/>
      <c r="I78" s="92"/>
      <c r="J78" s="129">
        <v>4184.0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693.0</v>
      </c>
      <c r="G79" s="92"/>
      <c r="H79" s="93">
        <v>693.0</v>
      </c>
      <c r="I79" s="92"/>
      <c r="J79" s="129">
        <v>4185.0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401.0</v>
      </c>
      <c r="G80" s="93">
        <v>400.0</v>
      </c>
      <c r="H80" s="93">
        <v>1.0</v>
      </c>
      <c r="I80" s="92"/>
      <c r="J80" s="129">
        <v>4186.0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12.0</v>
      </c>
      <c r="G81" s="93">
        <v>12.0</v>
      </c>
      <c r="H81" s="92"/>
      <c r="I81" s="92"/>
      <c r="J81" s="129">
        <v>4187.0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52">
        <v>753.0</v>
      </c>
      <c r="G82" s="61"/>
      <c r="H82" s="61"/>
      <c r="I82" s="54">
        <v>753.0</v>
      </c>
      <c r="J82" s="129">
        <v>4188.0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52">
        <v>55.0</v>
      </c>
      <c r="G83" s="54">
        <v>55.0</v>
      </c>
      <c r="H83" s="61"/>
      <c r="I83" s="61"/>
      <c r="J83" s="129">
        <v>4189.0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52" t="s">
        <v>42</v>
      </c>
      <c r="G84" s="61"/>
      <c r="H84" s="61"/>
      <c r="I84" s="54" t="s">
        <v>42</v>
      </c>
      <c r="J84" s="129">
        <v>4190.0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29">
        <v>4191.0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29">
        <v>4192.0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29">
        <v>4193.0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29">
        <v>4194.0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29">
        <v>4195.0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29">
        <v>4196.0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29">
        <v>4197.0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54" t="s">
        <v>42</v>
      </c>
      <c r="I92" s="61"/>
      <c r="J92" s="129">
        <v>4198.0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29">
        <v>4199.0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29">
        <v>4200.0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23459</v>
      </c>
      <c r="G97" s="123">
        <f t="shared" si="4"/>
        <v>13002</v>
      </c>
      <c r="H97" s="123">
        <f t="shared" si="4"/>
        <v>9039</v>
      </c>
      <c r="I97" s="123">
        <f t="shared" si="4"/>
        <v>1418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46008.0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63895.0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366725.0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57977.0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26687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16109</v>
      </c>
      <c r="D10" s="24"/>
      <c r="E10" s="43">
        <v>1.0</v>
      </c>
      <c r="F10" s="44">
        <v>42.0</v>
      </c>
      <c r="G10" s="45">
        <v>42.0</v>
      </c>
      <c r="H10" s="45"/>
      <c r="I10" s="45"/>
      <c r="J10" s="129">
        <v>4190.0</v>
      </c>
      <c r="K10" s="24"/>
      <c r="L10" s="47"/>
      <c r="M10" s="47">
        <v>753.0</v>
      </c>
      <c r="N10" s="47">
        <v>4188.0</v>
      </c>
      <c r="O10" s="49"/>
      <c r="P10" s="85" t="s">
        <v>98</v>
      </c>
      <c r="Q10" s="51"/>
      <c r="R10" s="52">
        <v>10.0</v>
      </c>
      <c r="S10" s="53"/>
      <c r="T10" s="54"/>
      <c r="U10" s="55"/>
      <c r="V10" s="24"/>
      <c r="W10" s="137">
        <v>539.0</v>
      </c>
      <c r="X10" s="47"/>
      <c r="Y10" s="47" t="s">
        <v>125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7153</v>
      </c>
      <c r="D11" s="24"/>
      <c r="E11" s="43">
        <v>2.0</v>
      </c>
      <c r="F11" s="56">
        <v>180.0</v>
      </c>
      <c r="G11" s="57"/>
      <c r="H11" s="58">
        <v>180.0</v>
      </c>
      <c r="I11" s="59"/>
      <c r="J11" s="129">
        <v>4191.0</v>
      </c>
      <c r="K11" s="24"/>
      <c r="L11" s="48"/>
      <c r="M11" s="48"/>
      <c r="N11" s="48"/>
      <c r="O11" s="49"/>
      <c r="P11" s="72" t="s">
        <v>126</v>
      </c>
      <c r="Q11" s="51"/>
      <c r="R11" s="52">
        <v>200.0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3425</v>
      </c>
      <c r="D12" s="24"/>
      <c r="E12" s="43">
        <v>3.0</v>
      </c>
      <c r="F12" s="63">
        <v>111.0</v>
      </c>
      <c r="G12" s="64"/>
      <c r="H12" s="64">
        <v>111.0</v>
      </c>
      <c r="I12" s="65"/>
      <c r="J12" s="129">
        <v>4192.0</v>
      </c>
      <c r="K12" s="24"/>
      <c r="L12" s="48"/>
      <c r="M12" s="48"/>
      <c r="N12" s="48"/>
      <c r="O12" s="49"/>
      <c r="P12" s="72" t="s">
        <v>43</v>
      </c>
      <c r="Q12" s="51"/>
      <c r="R12" s="52">
        <v>1000.0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649.0</v>
      </c>
      <c r="G13" s="64">
        <v>539.0</v>
      </c>
      <c r="H13" s="138">
        <v>110.0</v>
      </c>
      <c r="I13" s="65"/>
      <c r="J13" s="129" t="s">
        <v>127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753</v>
      </c>
      <c r="D14" s="24"/>
      <c r="E14" s="43">
        <v>5.0</v>
      </c>
      <c r="F14" s="56">
        <v>280.0</v>
      </c>
      <c r="G14" s="64">
        <v>280.0</v>
      </c>
      <c r="H14" s="65"/>
      <c r="I14" s="65"/>
      <c r="J14" s="129">
        <v>4194.0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539</v>
      </c>
      <c r="D15" s="24"/>
      <c r="E15" s="43">
        <v>6.0</v>
      </c>
      <c r="F15" s="56">
        <v>981.0</v>
      </c>
      <c r="G15" s="64"/>
      <c r="H15" s="64">
        <v>981.0</v>
      </c>
      <c r="I15" s="65"/>
      <c r="J15" s="129">
        <v>4195.0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1210</v>
      </c>
      <c r="D16" s="24"/>
      <c r="E16" s="43">
        <v>7.0</v>
      </c>
      <c r="F16" s="56">
        <v>249.0</v>
      </c>
      <c r="G16" s="64">
        <v>249.0</v>
      </c>
      <c r="H16" s="64"/>
      <c r="I16" s="65"/>
      <c r="J16" s="129">
        <v>4196.0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1210</v>
      </c>
      <c r="D17" s="24"/>
      <c r="E17" s="43">
        <v>8.0</v>
      </c>
      <c r="F17" s="56">
        <v>974.0</v>
      </c>
      <c r="G17" s="64">
        <v>974.0</v>
      </c>
      <c r="H17" s="64"/>
      <c r="I17" s="65"/>
      <c r="J17" s="129">
        <v>4197.0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234.0</v>
      </c>
      <c r="G18" s="64">
        <v>234.0</v>
      </c>
      <c r="H18" s="64"/>
      <c r="I18" s="65"/>
      <c r="J18" s="129">
        <v>4198.0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129.0</v>
      </c>
      <c r="G19" s="64"/>
      <c r="H19" s="64">
        <v>129.0</v>
      </c>
      <c r="I19" s="65"/>
      <c r="J19" s="129">
        <v>4199.0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60649</v>
      </c>
      <c r="D20" s="24"/>
      <c r="E20" s="43">
        <v>11.0</v>
      </c>
      <c r="F20" s="56">
        <v>287.0</v>
      </c>
      <c r="G20" s="65"/>
      <c r="H20" s="64">
        <v>287.0</v>
      </c>
      <c r="I20" s="65"/>
      <c r="J20" s="129">
        <v>4200.0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374631</v>
      </c>
      <c r="D21" s="24"/>
      <c r="E21" s="43">
        <v>12.0</v>
      </c>
      <c r="F21" s="56">
        <v>148.0</v>
      </c>
      <c r="G21" s="64">
        <v>148.0</v>
      </c>
      <c r="H21" s="64"/>
      <c r="I21" s="65"/>
      <c r="J21" s="129">
        <v>4201.0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75294</v>
      </c>
      <c r="D22" s="24"/>
      <c r="E22" s="43">
        <v>13.0</v>
      </c>
      <c r="F22" s="56">
        <v>648.0</v>
      </c>
      <c r="G22" s="64">
        <v>648.0</v>
      </c>
      <c r="H22" s="64"/>
      <c r="I22" s="65"/>
      <c r="J22" s="129">
        <v>4202.0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9">
        <v>75294.0</v>
      </c>
      <c r="D23" s="24"/>
      <c r="E23" s="43">
        <v>14.0</v>
      </c>
      <c r="F23" s="56">
        <v>54.0</v>
      </c>
      <c r="G23" s="64">
        <v>54.0</v>
      </c>
      <c r="H23" s="65"/>
      <c r="I23" s="65"/>
      <c r="J23" s="129">
        <v>4203.0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>
        <v>250.0</v>
      </c>
      <c r="G24" s="64">
        <v>250.0</v>
      </c>
      <c r="H24" s="65"/>
      <c r="I24" s="65"/>
      <c r="J24" s="129">
        <v>4204.0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364.0</v>
      </c>
      <c r="G25" s="64">
        <v>364.0</v>
      </c>
      <c r="H25" s="65"/>
      <c r="I25" s="65"/>
      <c r="J25" s="129">
        <v>4205.0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27226</v>
      </c>
      <c r="D26" s="24"/>
      <c r="E26" s="43">
        <v>17.0</v>
      </c>
      <c r="F26" s="56">
        <v>20.0</v>
      </c>
      <c r="G26" s="64">
        <v>20.0</v>
      </c>
      <c r="H26" s="65"/>
      <c r="I26" s="65"/>
      <c r="J26" s="129">
        <v>4206.0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81.0</v>
      </c>
      <c r="D27" s="24"/>
      <c r="E27" s="43">
        <v>18.0</v>
      </c>
      <c r="F27" s="56">
        <v>2.0</v>
      </c>
      <c r="G27" s="64">
        <v>2.0</v>
      </c>
      <c r="H27" s="65"/>
      <c r="I27" s="65"/>
      <c r="J27" s="129">
        <v>4207.0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336.1234568</v>
      </c>
      <c r="D28" s="24"/>
      <c r="E28" s="43">
        <v>19.0</v>
      </c>
      <c r="F28" s="56">
        <v>178.0</v>
      </c>
      <c r="G28" s="64">
        <v>178.0</v>
      </c>
      <c r="H28" s="65"/>
      <c r="I28" s="65"/>
      <c r="J28" s="129">
        <v>4208.0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295.0</v>
      </c>
      <c r="G29" s="64">
        <v>295.0</v>
      </c>
      <c r="H29" s="65"/>
      <c r="I29" s="65"/>
      <c r="J29" s="129">
        <v>4209.0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76.0</v>
      </c>
      <c r="G30" s="93">
        <v>76.0</v>
      </c>
      <c r="H30" s="92"/>
      <c r="I30" s="93"/>
      <c r="J30" s="129">
        <v>4210.0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217.0</v>
      </c>
      <c r="G31" s="93">
        <v>217.0</v>
      </c>
      <c r="H31" s="92"/>
      <c r="I31" s="92"/>
      <c r="J31" s="129">
        <v>4211.0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1210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197.0</v>
      </c>
      <c r="G32" s="93">
        <v>197.0</v>
      </c>
      <c r="H32" s="92"/>
      <c r="I32" s="92"/>
      <c r="J32" s="129">
        <v>4212.0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27.0</v>
      </c>
      <c r="G33" s="93">
        <v>27.0</v>
      </c>
      <c r="H33" s="92"/>
      <c r="I33" s="92"/>
      <c r="J33" s="129">
        <v>4213.0</v>
      </c>
      <c r="K33" s="24"/>
      <c r="L33" s="104">
        <f t="shared" ref="L33:M33" si="2">sum(L10:L32)</f>
        <v>0</v>
      </c>
      <c r="M33" s="104">
        <f t="shared" si="2"/>
        <v>753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539</v>
      </c>
      <c r="X33" s="104">
        <f t="shared" si="3"/>
        <v>0</v>
      </c>
      <c r="Y33" s="104">
        <f>W33+X33</f>
        <v>539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663.0</v>
      </c>
      <c r="G34" s="93">
        <v>663.0</v>
      </c>
      <c r="H34" s="92"/>
      <c r="I34" s="92"/>
      <c r="J34" s="129">
        <v>4214.0</v>
      </c>
      <c r="K34" s="24"/>
      <c r="L34" s="106"/>
      <c r="M34" s="106"/>
      <c r="N34" s="106"/>
      <c r="O34" s="106"/>
      <c r="P34" s="85" t="s">
        <v>40</v>
      </c>
      <c r="Q34" s="107"/>
      <c r="R34" s="130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1333.0</v>
      </c>
      <c r="G35" s="92"/>
      <c r="H35" s="93">
        <v>1333.0</v>
      </c>
      <c r="I35" s="92"/>
      <c r="J35" s="129">
        <v>4215.0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189.0</v>
      </c>
      <c r="G36" s="93">
        <v>189.0</v>
      </c>
      <c r="H36" s="93"/>
      <c r="I36" s="92"/>
      <c r="J36" s="129">
        <v>4216.0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113.0</v>
      </c>
      <c r="G37" s="93">
        <v>113.0</v>
      </c>
      <c r="H37" s="92"/>
      <c r="I37" s="92"/>
      <c r="J37" s="129">
        <v>4217.0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370.0</v>
      </c>
      <c r="G38" s="93">
        <v>370.0</v>
      </c>
      <c r="H38" s="92"/>
      <c r="I38" s="92"/>
      <c r="J38" s="129">
        <v>4218.0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2536.0</v>
      </c>
      <c r="G39" s="93"/>
      <c r="H39" s="93"/>
      <c r="I39" s="93">
        <v>2536.0</v>
      </c>
      <c r="J39" s="129" t="s">
        <v>128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265.0</v>
      </c>
      <c r="G40" s="93">
        <v>265.0</v>
      </c>
      <c r="H40" s="93"/>
      <c r="I40" s="93"/>
      <c r="J40" s="129">
        <v>4220.0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85.0</v>
      </c>
      <c r="G41" s="93">
        <v>85.0</v>
      </c>
      <c r="H41" s="93"/>
      <c r="I41" s="92"/>
      <c r="J41" s="129">
        <v>4221.0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105.0</v>
      </c>
      <c r="G42" s="93">
        <v>105.0</v>
      </c>
      <c r="H42" s="93"/>
      <c r="I42" s="92"/>
      <c r="J42" s="129">
        <v>4222.0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69.0</v>
      </c>
      <c r="G43" s="93">
        <v>69.0</v>
      </c>
      <c r="H43" s="92"/>
      <c r="I43" s="92"/>
      <c r="J43" s="129">
        <v>4223.0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156.0</v>
      </c>
      <c r="G44" s="93">
        <v>156.0</v>
      </c>
      <c r="H44" s="93"/>
      <c r="I44" s="92"/>
      <c r="J44" s="129">
        <v>4224.0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68.0</v>
      </c>
      <c r="G45" s="93">
        <v>68.0</v>
      </c>
      <c r="H45" s="92"/>
      <c r="I45" s="92"/>
      <c r="J45" s="129">
        <v>4225.0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99.0</v>
      </c>
      <c r="G46" s="93">
        <v>99.0</v>
      </c>
      <c r="H46" s="92"/>
      <c r="I46" s="92"/>
      <c r="J46" s="129">
        <v>4226.0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275.0</v>
      </c>
      <c r="G47" s="93"/>
      <c r="H47" s="93">
        <v>275.0</v>
      </c>
      <c r="I47" s="92"/>
      <c r="J47" s="129">
        <v>4227.0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80.0</v>
      </c>
      <c r="G48" s="92"/>
      <c r="H48" s="93">
        <v>80.0</v>
      </c>
      <c r="I48" s="92"/>
      <c r="J48" s="129">
        <v>4228.0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112.0</v>
      </c>
      <c r="G49" s="93">
        <v>112.0</v>
      </c>
      <c r="H49" s="92"/>
      <c r="I49" s="92"/>
      <c r="J49" s="129">
        <v>4229.0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241.0</v>
      </c>
      <c r="G50" s="93">
        <v>241.0</v>
      </c>
      <c r="H50" s="93"/>
      <c r="I50" s="92"/>
      <c r="J50" s="129">
        <v>4230.0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595.0</v>
      </c>
      <c r="G51" s="93">
        <v>595.0</v>
      </c>
      <c r="H51" s="92"/>
      <c r="I51" s="92"/>
      <c r="J51" s="129">
        <v>4231.0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1090.0</v>
      </c>
      <c r="G52" s="93">
        <v>1090.0</v>
      </c>
      <c r="H52" s="92"/>
      <c r="I52" s="92"/>
      <c r="J52" s="129">
        <v>4232.0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10.0</v>
      </c>
      <c r="G53" s="93">
        <v>10.0</v>
      </c>
      <c r="H53" s="92"/>
      <c r="I53" s="92"/>
      <c r="J53" s="129">
        <v>4233.0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292.0</v>
      </c>
      <c r="G54" s="93">
        <v>292.0</v>
      </c>
      <c r="H54" s="92"/>
      <c r="I54" s="92"/>
      <c r="J54" s="129">
        <v>4234.0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250.0</v>
      </c>
      <c r="G55" s="93" t="s">
        <v>42</v>
      </c>
      <c r="H55" s="167">
        <v>250.0</v>
      </c>
      <c r="I55" s="92"/>
      <c r="J55" s="129">
        <v>4235.0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109.0</v>
      </c>
      <c r="G56" s="93">
        <v>109.0</v>
      </c>
      <c r="H56" s="92"/>
      <c r="I56" s="92"/>
      <c r="J56" s="129">
        <v>4236.0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80.0</v>
      </c>
      <c r="G57" s="93">
        <v>80.0</v>
      </c>
      <c r="H57" s="92"/>
      <c r="I57" s="92"/>
      <c r="J57" s="129">
        <v>4237.0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78.0</v>
      </c>
      <c r="G58" s="93" t="s">
        <v>42</v>
      </c>
      <c r="H58" s="92"/>
      <c r="I58" s="93">
        <v>78.0</v>
      </c>
      <c r="J58" s="129">
        <v>4238.0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98.0</v>
      </c>
      <c r="G59" s="93">
        <v>98.0</v>
      </c>
      <c r="H59" s="92"/>
      <c r="I59" s="92"/>
      <c r="J59" s="129">
        <v>4239.0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406.0</v>
      </c>
      <c r="G60" s="92"/>
      <c r="H60" s="93">
        <v>406.0</v>
      </c>
      <c r="I60" s="92"/>
      <c r="J60" s="129">
        <v>4240.0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833.0</v>
      </c>
      <c r="G61" s="93">
        <v>833.0</v>
      </c>
      <c r="H61" s="92"/>
      <c r="I61" s="92"/>
      <c r="J61" s="129">
        <v>4241.0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296.0</v>
      </c>
      <c r="G62" s="93">
        <v>296.0</v>
      </c>
      <c r="H62" s="92"/>
      <c r="I62" s="92"/>
      <c r="J62" s="129">
        <v>4242.0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317.0</v>
      </c>
      <c r="G63" s="92"/>
      <c r="H63" s="93">
        <v>317.0</v>
      </c>
      <c r="I63" s="92"/>
      <c r="J63" s="129">
        <v>4243.0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275.0</v>
      </c>
      <c r="G64" s="92"/>
      <c r="H64" s="93">
        <v>275.0</v>
      </c>
      <c r="I64" s="92"/>
      <c r="J64" s="129">
        <v>4244.0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111.0</v>
      </c>
      <c r="G65" s="93">
        <v>111.0</v>
      </c>
      <c r="H65" s="92"/>
      <c r="I65" s="92"/>
      <c r="J65" s="129">
        <v>4245.0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143.0</v>
      </c>
      <c r="G66" s="93">
        <v>140.0</v>
      </c>
      <c r="H66" s="167">
        <v>3.0</v>
      </c>
      <c r="I66" s="92"/>
      <c r="J66" s="129">
        <v>4246.0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290.0</v>
      </c>
      <c r="G67" s="92"/>
      <c r="H67" s="93">
        <v>290.0</v>
      </c>
      <c r="I67" s="92"/>
      <c r="J67" s="129">
        <v>4247.0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195.0</v>
      </c>
      <c r="G68" s="92"/>
      <c r="H68" s="93">
        <v>195.0</v>
      </c>
      <c r="I68" s="92"/>
      <c r="J68" s="129">
        <v>4248.0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20.0</v>
      </c>
      <c r="G69" s="93">
        <v>20.0</v>
      </c>
      <c r="H69" s="92"/>
      <c r="I69" s="92"/>
      <c r="J69" s="129">
        <v>4249.0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2066.0</v>
      </c>
      <c r="G70" s="93">
        <v>2066.0</v>
      </c>
      <c r="H70" s="92"/>
      <c r="I70" s="92"/>
      <c r="J70" s="129">
        <v>4250.0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474.0</v>
      </c>
      <c r="G71" s="93">
        <v>474.0</v>
      </c>
      <c r="H71" s="92"/>
      <c r="I71" s="92"/>
      <c r="J71" s="129">
        <v>4251.0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88.0</v>
      </c>
      <c r="G72" s="93">
        <v>88.0</v>
      </c>
      <c r="H72" s="92"/>
      <c r="I72" s="92"/>
      <c r="J72" s="129">
        <v>4252.0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299.0</v>
      </c>
      <c r="G73" s="93">
        <v>299.0</v>
      </c>
      <c r="H73" s="92"/>
      <c r="I73" s="92"/>
      <c r="J73" s="129">
        <v>4253.0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772.0</v>
      </c>
      <c r="G74" s="92"/>
      <c r="H74" s="93">
        <v>772.0</v>
      </c>
      <c r="I74" s="92"/>
      <c r="J74" s="129">
        <v>4254.0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10.0</v>
      </c>
      <c r="G75" s="92"/>
      <c r="H75" s="93">
        <v>10.0</v>
      </c>
      <c r="I75" s="92"/>
      <c r="J75" s="129">
        <v>4255.0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1034.0</v>
      </c>
      <c r="G76" s="93">
        <v>1034.0</v>
      </c>
      <c r="H76" s="92"/>
      <c r="I76" s="92"/>
      <c r="J76" s="129">
        <v>4256.0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106.0</v>
      </c>
      <c r="G77" s="92"/>
      <c r="H77" s="93">
        <v>106.0</v>
      </c>
      <c r="I77" s="92"/>
      <c r="J77" s="129">
        <v>4257.0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1374.0</v>
      </c>
      <c r="G78" s="93">
        <v>1374.0</v>
      </c>
      <c r="H78" s="92"/>
      <c r="I78" s="92"/>
      <c r="J78" s="129">
        <v>4258.0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135.0</v>
      </c>
      <c r="G79" s="92"/>
      <c r="H79" s="93">
        <v>135.0</v>
      </c>
      <c r="I79" s="92"/>
      <c r="J79" s="129">
        <v>4259.0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59.0</v>
      </c>
      <c r="G80" s="93">
        <v>59.0</v>
      </c>
      <c r="H80" s="92"/>
      <c r="I80" s="92"/>
      <c r="J80" s="129">
        <v>4260.0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234.0</v>
      </c>
      <c r="G81" s="93">
        <v>234.0</v>
      </c>
      <c r="H81" s="92"/>
      <c r="I81" s="92"/>
      <c r="J81" s="129">
        <v>4261.0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52">
        <v>125.0</v>
      </c>
      <c r="G82" s="61"/>
      <c r="H82" s="54">
        <v>125.0</v>
      </c>
      <c r="I82" s="61"/>
      <c r="J82" s="129">
        <v>4262.0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52">
        <v>310.0</v>
      </c>
      <c r="G83" s="61"/>
      <c r="H83" s="54">
        <v>310.0</v>
      </c>
      <c r="I83" s="61"/>
      <c r="J83" s="129">
        <v>4263.0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52">
        <v>811.0</v>
      </c>
      <c r="G84" s="61"/>
      <c r="H84" s="61"/>
      <c r="I84" s="54">
        <v>811.0</v>
      </c>
      <c r="J84" s="129">
        <v>4264.0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52">
        <v>124.0</v>
      </c>
      <c r="G85" s="61"/>
      <c r="H85" s="54">
        <v>124.0</v>
      </c>
      <c r="I85" s="61"/>
      <c r="J85" s="129">
        <v>4265.0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52">
        <v>18.0</v>
      </c>
      <c r="G86" s="61"/>
      <c r="H86" s="54">
        <v>18.0</v>
      </c>
      <c r="I86" s="61"/>
      <c r="J86" s="129">
        <v>4266.0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52">
        <v>140.0</v>
      </c>
      <c r="G87" s="61"/>
      <c r="H87" s="54">
        <v>140.0</v>
      </c>
      <c r="I87" s="61"/>
      <c r="J87" s="129">
        <v>4267.0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52">
        <v>139.0</v>
      </c>
      <c r="G88" s="61"/>
      <c r="H88" s="54">
        <v>139.0</v>
      </c>
      <c r="I88" s="61"/>
      <c r="J88" s="129">
        <v>4268.0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52">
        <v>17.0</v>
      </c>
      <c r="G89" s="54">
        <v>17.0</v>
      </c>
      <c r="H89" s="61"/>
      <c r="I89" s="61"/>
      <c r="J89" s="129">
        <v>4269.0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52">
        <v>52.0</v>
      </c>
      <c r="G90" s="61"/>
      <c r="H90" s="54">
        <v>52.0</v>
      </c>
      <c r="I90" s="61"/>
      <c r="J90" s="129">
        <v>4270.0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29">
        <v>4271.0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29">
        <v>4272.0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29">
        <v>4273.0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29">
        <v>4274.0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129">
        <v>4275.0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129">
        <v>4276.0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27226</v>
      </c>
      <c r="G97" s="123">
        <f t="shared" si="4"/>
        <v>16648</v>
      </c>
      <c r="H97" s="123">
        <f t="shared" si="4"/>
        <v>7153</v>
      </c>
      <c r="I97" s="123">
        <f t="shared" si="4"/>
        <v>3425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11" width="6.0"/>
    <col customWidth="1" min="12" max="15" width="14.71"/>
    <col customWidth="1" min="16" max="16" width="20.14"/>
    <col customWidth="1" min="17" max="17" width="4.29"/>
    <col customWidth="1" min="18" max="18" width="15.86"/>
    <col customWidth="1" min="19" max="19" width="15.71"/>
    <col customWidth="1" min="20" max="20" width="16.14"/>
    <col customWidth="1" min="21" max="21" width="1.43"/>
    <col customWidth="1" min="22" max="22" width="22.71"/>
    <col customWidth="1" min="23" max="23" width="9.86"/>
    <col customWidth="1" min="24" max="24" width="13.0"/>
    <col customWidth="1" min="25" max="25" width="11.29"/>
    <col customWidth="1" min="26" max="26" width="12.43"/>
    <col customWidth="1" min="27" max="27" width="25.14"/>
    <col customWidth="1" min="28" max="28" width="6.71"/>
    <col customWidth="1" min="29" max="29" width="19.0"/>
    <col customWidth="1" min="30" max="30" width="14.0"/>
    <col customWidth="1" min="31" max="31" width="21.71"/>
    <col customWidth="1" min="32" max="45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4.25" customHeight="1">
      <c r="A2" s="1"/>
      <c r="B2" s="2" t="s">
        <v>0</v>
      </c>
      <c r="C2" s="128">
        <v>46009.0</v>
      </c>
      <c r="D2" s="1"/>
      <c r="E2" s="1"/>
      <c r="F2" s="1"/>
      <c r="G2" s="1"/>
      <c r="H2" s="1"/>
      <c r="I2" s="1"/>
      <c r="J2" s="1"/>
      <c r="K2" s="1"/>
      <c r="L2" s="1"/>
      <c r="M2" s="4"/>
      <c r="N2" s="4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7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9"/>
      <c r="S4" s="9"/>
      <c r="T4" s="9"/>
      <c r="U4" s="9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ht="14.25" customHeight="1">
      <c r="A5" s="10"/>
      <c r="B5" s="11" t="s">
        <v>2</v>
      </c>
      <c r="C5" s="12">
        <v>75294.0</v>
      </c>
      <c r="D5" s="10"/>
      <c r="E5" s="168"/>
      <c r="F5" s="168"/>
      <c r="G5" s="168"/>
      <c r="H5" s="168"/>
      <c r="I5" s="168"/>
      <c r="J5" s="168"/>
      <c r="K5" s="13" t="s">
        <v>3</v>
      </c>
      <c r="L5" s="14"/>
      <c r="M5" s="14"/>
      <c r="N5" s="14"/>
      <c r="O5" s="14"/>
      <c r="P5" s="15"/>
      <c r="Q5" s="10"/>
      <c r="R5" s="16" t="s">
        <v>4</v>
      </c>
      <c r="S5" s="14"/>
      <c r="T5" s="15"/>
      <c r="U5" s="17"/>
      <c r="V5" s="18" t="s">
        <v>5</v>
      </c>
      <c r="W5" s="14"/>
      <c r="X5" s="14"/>
      <c r="Y5" s="14"/>
      <c r="Z5" s="14"/>
      <c r="AA5" s="15"/>
      <c r="AB5" s="10"/>
      <c r="AC5" s="19" t="s">
        <v>6</v>
      </c>
      <c r="AD5" s="14"/>
      <c r="AE5" s="15"/>
      <c r="AF5" s="10"/>
      <c r="AG5" s="10"/>
      <c r="AH5" s="10"/>
      <c r="AI5" s="10"/>
      <c r="AJ5" s="10"/>
      <c r="AK5" s="10"/>
      <c r="AL5" s="10"/>
      <c r="AM5" s="10"/>
      <c r="AN5" s="10"/>
      <c r="AO5" s="10"/>
    </row>
    <row r="6" ht="14.25" customHeight="1">
      <c r="A6" s="10"/>
      <c r="B6" s="20" t="s">
        <v>7</v>
      </c>
      <c r="C6" s="21">
        <v>374631.0</v>
      </c>
      <c r="D6" s="10"/>
      <c r="E6" s="168"/>
      <c r="F6" s="168"/>
      <c r="G6" s="168"/>
      <c r="H6" s="168"/>
      <c r="I6" s="168"/>
      <c r="J6" s="168"/>
      <c r="K6" s="22"/>
      <c r="P6" s="23"/>
      <c r="Q6" s="10"/>
      <c r="R6" s="22"/>
      <c r="T6" s="23"/>
      <c r="U6" s="17"/>
      <c r="V6" s="22"/>
      <c r="AA6" s="23"/>
      <c r="AB6" s="10"/>
      <c r="AC6" s="22"/>
      <c r="AE6" s="23"/>
      <c r="AF6" s="10"/>
      <c r="AG6" s="10"/>
      <c r="AH6" s="10"/>
      <c r="AI6" s="10"/>
      <c r="AJ6" s="10"/>
      <c r="AK6" s="10"/>
      <c r="AL6" s="10"/>
      <c r="AM6" s="10"/>
      <c r="AN6" s="10"/>
      <c r="AO6" s="10"/>
    </row>
    <row r="7" ht="14.25" customHeight="1">
      <c r="A7" s="24"/>
      <c r="B7" s="25" t="s">
        <v>8</v>
      </c>
      <c r="C7" s="21">
        <v>60649.0</v>
      </c>
      <c r="D7" s="24"/>
      <c r="E7" s="168"/>
      <c r="F7" s="168"/>
      <c r="G7" s="168"/>
      <c r="H7" s="168"/>
      <c r="I7" s="168"/>
      <c r="J7" s="168"/>
      <c r="K7" s="26"/>
      <c r="L7" s="27"/>
      <c r="M7" s="27"/>
      <c r="N7" s="27"/>
      <c r="O7" s="27"/>
      <c r="P7" s="28"/>
      <c r="Q7" s="24"/>
      <c r="R7" s="26"/>
      <c r="S7" s="27"/>
      <c r="T7" s="28"/>
      <c r="U7" s="17"/>
      <c r="V7" s="26"/>
      <c r="W7" s="27"/>
      <c r="X7" s="27"/>
      <c r="Y7" s="27"/>
      <c r="Z7" s="27"/>
      <c r="AA7" s="28"/>
      <c r="AB7" s="24"/>
      <c r="AC7" s="26"/>
      <c r="AD7" s="27"/>
      <c r="AE7" s="28"/>
      <c r="AF7" s="24"/>
      <c r="AG7" s="24"/>
      <c r="AH7" s="24"/>
      <c r="AI7" s="24"/>
      <c r="AJ7" s="24"/>
      <c r="AK7" s="24"/>
      <c r="AL7" s="24"/>
      <c r="AM7" s="24"/>
      <c r="AN7" s="24"/>
      <c r="AO7" s="24"/>
    </row>
    <row r="8" ht="14.25" customHeight="1">
      <c r="A8" s="24"/>
      <c r="B8" s="25" t="s">
        <v>9</v>
      </c>
      <c r="C8" s="21"/>
      <c r="D8" s="24"/>
      <c r="E8" s="169"/>
      <c r="F8" s="169"/>
      <c r="G8" s="169"/>
      <c r="H8" s="169"/>
      <c r="I8" s="169"/>
      <c r="J8" s="169"/>
      <c r="K8" s="29" t="s">
        <v>10</v>
      </c>
      <c r="L8" s="29" t="s">
        <v>11</v>
      </c>
      <c r="M8" s="29" t="s">
        <v>12</v>
      </c>
      <c r="N8" s="30" t="s">
        <v>13</v>
      </c>
      <c r="O8" s="29" t="s">
        <v>14</v>
      </c>
      <c r="P8" s="31" t="s">
        <v>15</v>
      </c>
      <c r="Q8" s="24"/>
      <c r="R8" s="32" t="s">
        <v>12</v>
      </c>
      <c r="S8" s="32" t="s">
        <v>13</v>
      </c>
      <c r="T8" s="32" t="s">
        <v>15</v>
      </c>
      <c r="U8" s="17"/>
      <c r="V8" s="33" t="s">
        <v>16</v>
      </c>
      <c r="W8" s="34" t="s">
        <v>17</v>
      </c>
      <c r="X8" s="35" t="s">
        <v>12</v>
      </c>
      <c r="Y8" s="36" t="s">
        <v>13</v>
      </c>
      <c r="Z8" s="35" t="s">
        <v>14</v>
      </c>
      <c r="AA8" s="34" t="s">
        <v>15</v>
      </c>
      <c r="AB8" s="24"/>
      <c r="AC8" s="32" t="s">
        <v>12</v>
      </c>
      <c r="AD8" s="32" t="s">
        <v>13</v>
      </c>
      <c r="AE8" s="32" t="s">
        <v>15</v>
      </c>
      <c r="AF8" s="24"/>
      <c r="AG8" s="24"/>
      <c r="AH8" s="24"/>
      <c r="AI8" s="24"/>
      <c r="AJ8" s="24"/>
      <c r="AK8" s="24"/>
      <c r="AL8" s="24"/>
      <c r="AM8" s="24"/>
      <c r="AN8" s="24"/>
      <c r="AO8" s="24"/>
    </row>
    <row r="9" ht="14.25" customHeight="1">
      <c r="A9" s="24"/>
      <c r="B9" s="37" t="s">
        <v>18</v>
      </c>
      <c r="C9" s="38">
        <f>L104-C15</f>
        <v>36968</v>
      </c>
      <c r="D9" s="24"/>
      <c r="E9" s="169"/>
      <c r="F9" s="169"/>
      <c r="G9" s="169"/>
      <c r="H9" s="169"/>
      <c r="I9" s="169"/>
      <c r="J9" s="169"/>
      <c r="K9" s="39"/>
      <c r="L9" s="40"/>
      <c r="M9" s="39"/>
      <c r="N9" s="39"/>
      <c r="O9" s="39"/>
      <c r="P9" s="39"/>
      <c r="Q9" s="24"/>
      <c r="R9" s="39"/>
      <c r="S9" s="39"/>
      <c r="T9" s="39"/>
      <c r="U9" s="17"/>
      <c r="V9" s="39"/>
      <c r="W9" s="39"/>
      <c r="X9" s="39"/>
      <c r="Y9" s="39"/>
      <c r="Z9" s="39"/>
      <c r="AA9" s="39"/>
      <c r="AB9" s="24"/>
      <c r="AC9" s="39"/>
      <c r="AD9" s="39"/>
      <c r="AE9" s="39"/>
      <c r="AF9" s="24"/>
      <c r="AG9" s="24"/>
      <c r="AH9" s="24"/>
      <c r="AI9" s="24"/>
      <c r="AJ9" s="24"/>
      <c r="AK9" s="24"/>
      <c r="AL9" s="24"/>
      <c r="AM9" s="24"/>
      <c r="AN9" s="24"/>
      <c r="AO9" s="24"/>
    </row>
    <row r="10" ht="14.25" customHeight="1">
      <c r="A10" s="24"/>
      <c r="B10" s="41" t="s">
        <v>19</v>
      </c>
      <c r="C10" s="42">
        <f>M104-AC33</f>
        <v>15150</v>
      </c>
      <c r="D10" s="24"/>
      <c r="E10" s="170"/>
      <c r="F10" s="170"/>
      <c r="G10" s="170"/>
      <c r="H10" s="170"/>
      <c r="I10" s="170"/>
      <c r="J10" s="170"/>
      <c r="K10" s="43">
        <v>1.0</v>
      </c>
      <c r="L10" s="44">
        <v>943.0</v>
      </c>
      <c r="M10" s="45" t="s">
        <v>42</v>
      </c>
      <c r="N10" s="45">
        <v>943.0</v>
      </c>
      <c r="O10" s="45"/>
      <c r="P10" s="129">
        <v>4271.0</v>
      </c>
      <c r="Q10" s="24"/>
      <c r="R10" s="47">
        <v>3333.0</v>
      </c>
      <c r="S10" s="47"/>
      <c r="T10" s="47">
        <v>3737.0</v>
      </c>
      <c r="U10" s="49"/>
      <c r="V10" s="85" t="s">
        <v>43</v>
      </c>
      <c r="W10" s="51"/>
      <c r="X10" s="52">
        <v>1000.0</v>
      </c>
      <c r="Y10" s="53"/>
      <c r="Z10" s="54"/>
      <c r="AA10" s="55"/>
      <c r="AB10" s="24"/>
      <c r="AC10" s="47">
        <v>67.0</v>
      </c>
      <c r="AD10" s="47"/>
      <c r="AE10" s="47" t="s">
        <v>129</v>
      </c>
      <c r="AF10" s="24"/>
      <c r="AG10" s="24"/>
      <c r="AH10" s="24"/>
      <c r="AI10" s="24"/>
      <c r="AJ10" s="24"/>
      <c r="AK10" s="24"/>
      <c r="AL10" s="24"/>
      <c r="AM10" s="24"/>
      <c r="AN10" s="24"/>
      <c r="AO10" s="24"/>
    </row>
    <row r="11" ht="14.25" customHeight="1">
      <c r="A11" s="24"/>
      <c r="B11" s="41" t="s">
        <v>20</v>
      </c>
      <c r="C11" s="42">
        <f>N104-AD33</f>
        <v>19747</v>
      </c>
      <c r="D11" s="24"/>
      <c r="E11" s="170"/>
      <c r="F11" s="170"/>
      <c r="G11" s="170"/>
      <c r="H11" s="170"/>
      <c r="I11" s="170"/>
      <c r="J11" s="170"/>
      <c r="K11" s="43">
        <v>2.0</v>
      </c>
      <c r="L11" s="56">
        <v>399.0</v>
      </c>
      <c r="M11" s="57">
        <v>399.0</v>
      </c>
      <c r="N11" s="58"/>
      <c r="O11" s="59"/>
      <c r="P11" s="129">
        <v>4272.0</v>
      </c>
      <c r="Q11" s="24"/>
      <c r="R11" s="47">
        <v>665.0</v>
      </c>
      <c r="S11" s="48"/>
      <c r="T11" s="47">
        <v>4129.0</v>
      </c>
      <c r="U11" s="49"/>
      <c r="V11" s="60"/>
      <c r="W11" s="51"/>
      <c r="X11" s="52"/>
      <c r="Y11" s="53"/>
      <c r="Z11" s="61"/>
      <c r="AA11" s="62"/>
      <c r="AB11" s="24"/>
      <c r="AC11" s="48"/>
      <c r="AD11" s="47"/>
      <c r="AE11" s="48"/>
      <c r="AF11" s="24"/>
      <c r="AG11" s="24"/>
      <c r="AH11" s="24"/>
      <c r="AI11" s="24"/>
      <c r="AJ11" s="24"/>
      <c r="AK11" s="24"/>
      <c r="AL11" s="24"/>
      <c r="AM11" s="24"/>
      <c r="AN11" s="24"/>
      <c r="AO11" s="24"/>
    </row>
    <row r="12" ht="14.25" customHeight="1">
      <c r="A12" s="24"/>
      <c r="B12" s="41" t="s">
        <v>21</v>
      </c>
      <c r="C12" s="42">
        <f>O104</f>
        <v>2071</v>
      </c>
      <c r="D12" s="24"/>
      <c r="E12" s="170"/>
      <c r="F12" s="170"/>
      <c r="G12" s="170"/>
      <c r="H12" s="170"/>
      <c r="I12" s="170"/>
      <c r="J12" s="170"/>
      <c r="K12" s="43">
        <v>3.0</v>
      </c>
      <c r="L12" s="63">
        <v>593.0</v>
      </c>
      <c r="M12" s="64">
        <v>593.0</v>
      </c>
      <c r="N12" s="64"/>
      <c r="O12" s="65"/>
      <c r="P12" s="129">
        <v>4273.0</v>
      </c>
      <c r="Q12" s="24"/>
      <c r="R12" s="48"/>
      <c r="S12" s="47">
        <v>811.0</v>
      </c>
      <c r="T12" s="47">
        <v>4264.0</v>
      </c>
      <c r="U12" s="49"/>
      <c r="V12" s="60"/>
      <c r="W12" s="51"/>
      <c r="X12" s="53"/>
      <c r="Y12" s="52"/>
      <c r="Z12" s="61"/>
      <c r="AA12" s="62"/>
      <c r="AB12" s="24"/>
      <c r="AC12" s="48"/>
      <c r="AD12" s="48"/>
      <c r="AE12" s="48"/>
      <c r="AF12" s="24"/>
      <c r="AG12" s="24"/>
      <c r="AH12" s="24"/>
      <c r="AI12" s="24"/>
      <c r="AJ12" s="24"/>
      <c r="AK12" s="24"/>
      <c r="AL12" s="24"/>
      <c r="AM12" s="24"/>
      <c r="AN12" s="24"/>
      <c r="AO12" s="24"/>
    </row>
    <row r="13" ht="14.25" customHeight="1">
      <c r="A13" s="24"/>
      <c r="B13" s="66" t="s">
        <v>22</v>
      </c>
      <c r="C13" s="67">
        <f>R33</f>
        <v>4865</v>
      </c>
      <c r="D13" s="24"/>
      <c r="E13" s="170"/>
      <c r="F13" s="170"/>
      <c r="G13" s="170"/>
      <c r="H13" s="170"/>
      <c r="I13" s="170"/>
      <c r="J13" s="170"/>
      <c r="K13" s="43">
        <v>4.0</v>
      </c>
      <c r="L13" s="56">
        <v>135.0</v>
      </c>
      <c r="M13" s="64"/>
      <c r="N13" s="64">
        <v>135.0</v>
      </c>
      <c r="O13" s="65"/>
      <c r="P13" s="129">
        <v>4274.0</v>
      </c>
      <c r="Q13" s="24"/>
      <c r="R13" s="165">
        <v>867.0</v>
      </c>
      <c r="S13" s="171"/>
      <c r="T13" s="165" t="s">
        <v>130</v>
      </c>
      <c r="U13" s="49"/>
      <c r="V13" s="60"/>
      <c r="W13" s="51"/>
      <c r="X13" s="52"/>
      <c r="Y13" s="52"/>
      <c r="Z13" s="61"/>
      <c r="AA13" s="62"/>
      <c r="AB13" s="24"/>
      <c r="AC13" s="48"/>
      <c r="AD13" s="48"/>
      <c r="AE13" s="48"/>
      <c r="AF13" s="24"/>
      <c r="AG13" s="24"/>
      <c r="AH13" s="24"/>
      <c r="AI13" s="24"/>
      <c r="AJ13" s="24"/>
      <c r="AK13" s="24"/>
      <c r="AL13" s="24"/>
      <c r="AM13" s="24"/>
      <c r="AN13" s="24"/>
      <c r="AO13" s="24"/>
    </row>
    <row r="14" ht="14.25" customHeight="1">
      <c r="A14" s="24"/>
      <c r="B14" s="66" t="s">
        <v>23</v>
      </c>
      <c r="C14" s="67">
        <f>S33</f>
        <v>811</v>
      </c>
      <c r="D14" s="24"/>
      <c r="E14" s="170"/>
      <c r="F14" s="170"/>
      <c r="G14" s="170"/>
      <c r="H14" s="170"/>
      <c r="I14" s="170"/>
      <c r="J14" s="170"/>
      <c r="K14" s="43">
        <v>5.0</v>
      </c>
      <c r="L14" s="56">
        <v>205.0</v>
      </c>
      <c r="M14" s="64">
        <v>205.0</v>
      </c>
      <c r="N14" s="65"/>
      <c r="O14" s="65"/>
      <c r="P14" s="129">
        <v>4275.0</v>
      </c>
      <c r="Q14" s="24"/>
      <c r="R14" s="48"/>
      <c r="S14" s="48"/>
      <c r="T14" s="48"/>
      <c r="U14" s="49"/>
      <c r="V14" s="60"/>
      <c r="W14" s="51"/>
      <c r="X14" s="53"/>
      <c r="Y14" s="52"/>
      <c r="Z14" s="61"/>
      <c r="AA14" s="62"/>
      <c r="AB14" s="24"/>
      <c r="AC14" s="48"/>
      <c r="AD14" s="48"/>
      <c r="AE14" s="48"/>
      <c r="AF14" s="24"/>
      <c r="AG14" s="24"/>
      <c r="AH14" s="24"/>
      <c r="AI14" s="24"/>
      <c r="AJ14" s="24"/>
      <c r="AK14" s="24"/>
      <c r="AL14" s="24"/>
      <c r="AM14" s="24"/>
      <c r="AN14" s="24"/>
      <c r="AO14" s="24"/>
    </row>
    <row r="15" ht="14.25" customHeight="1">
      <c r="A15" s="24"/>
      <c r="B15" s="68" t="s">
        <v>24</v>
      </c>
      <c r="C15" s="69">
        <f>AE33</f>
        <v>67</v>
      </c>
      <c r="D15" s="24"/>
      <c r="E15" s="170"/>
      <c r="F15" s="170"/>
      <c r="G15" s="170"/>
      <c r="H15" s="170"/>
      <c r="I15" s="170"/>
      <c r="J15" s="170"/>
      <c r="K15" s="43">
        <v>6.0</v>
      </c>
      <c r="L15" s="56">
        <v>503.0</v>
      </c>
      <c r="M15" s="64" t="s">
        <v>42</v>
      </c>
      <c r="N15" s="64">
        <v>503.0</v>
      </c>
      <c r="O15" s="65"/>
      <c r="P15" s="129">
        <v>4276.0</v>
      </c>
      <c r="Q15" s="24"/>
      <c r="R15" s="48"/>
      <c r="S15" s="48"/>
      <c r="T15" s="48"/>
      <c r="U15" s="49"/>
      <c r="V15" s="60"/>
      <c r="W15" s="51"/>
      <c r="X15" s="53"/>
      <c r="Y15" s="53"/>
      <c r="Z15" s="61"/>
      <c r="AA15" s="62"/>
      <c r="AB15" s="24"/>
      <c r="AC15" s="48"/>
      <c r="AD15" s="48"/>
      <c r="AE15" s="48"/>
      <c r="AF15" s="24"/>
      <c r="AG15" s="24"/>
      <c r="AH15" s="24"/>
      <c r="AI15" s="24"/>
      <c r="AJ15" s="24"/>
      <c r="AK15" s="24"/>
      <c r="AL15" s="24"/>
      <c r="AM15" s="24"/>
      <c r="AN15" s="24"/>
      <c r="AO15" s="24"/>
    </row>
    <row r="16" ht="14.25" customHeight="1">
      <c r="A16" s="24"/>
      <c r="B16" s="37" t="s">
        <v>25</v>
      </c>
      <c r="C16" s="70">
        <f>X31+Y31+Z31</f>
        <v>1000</v>
      </c>
      <c r="D16" s="24"/>
      <c r="E16" s="170"/>
      <c r="F16" s="170"/>
      <c r="G16" s="170"/>
      <c r="H16" s="170"/>
      <c r="I16" s="170"/>
      <c r="J16" s="170"/>
      <c r="K16" s="43">
        <v>7.0</v>
      </c>
      <c r="L16" s="56">
        <v>10.0</v>
      </c>
      <c r="M16" s="64" t="s">
        <v>42</v>
      </c>
      <c r="N16" s="64">
        <v>10.0</v>
      </c>
      <c r="O16" s="65"/>
      <c r="P16" s="129">
        <v>4277.0</v>
      </c>
      <c r="Q16" s="24"/>
      <c r="R16" s="48"/>
      <c r="S16" s="48"/>
      <c r="T16" s="48"/>
      <c r="U16" s="49"/>
      <c r="V16" s="60"/>
      <c r="W16" s="51"/>
      <c r="X16" s="53"/>
      <c r="Y16" s="53"/>
      <c r="Z16" s="61"/>
      <c r="AA16" s="62"/>
      <c r="AB16" s="24"/>
      <c r="AC16" s="48"/>
      <c r="AD16" s="48"/>
      <c r="AE16" s="48"/>
      <c r="AF16" s="24"/>
      <c r="AG16" s="24"/>
      <c r="AH16" s="24"/>
      <c r="AI16" s="24"/>
      <c r="AJ16" s="24"/>
      <c r="AK16" s="24"/>
      <c r="AL16" s="24"/>
      <c r="AM16" s="24"/>
      <c r="AN16" s="24"/>
      <c r="AO16" s="24"/>
    </row>
    <row r="17" ht="14.25" customHeight="1">
      <c r="A17" s="24"/>
      <c r="B17" s="41" t="s">
        <v>26</v>
      </c>
      <c r="C17" s="71">
        <f>X31</f>
        <v>1000</v>
      </c>
      <c r="D17" s="24"/>
      <c r="E17" s="170"/>
      <c r="F17" s="170"/>
      <c r="G17" s="170"/>
      <c r="H17" s="170"/>
      <c r="I17" s="170"/>
      <c r="J17" s="170"/>
      <c r="K17" s="43">
        <v>8.0</v>
      </c>
      <c r="L17" s="56">
        <v>335.0</v>
      </c>
      <c r="M17" s="65"/>
      <c r="N17" s="64">
        <v>335.0</v>
      </c>
      <c r="O17" s="65"/>
      <c r="P17" s="129">
        <v>4278.0</v>
      </c>
      <c r="Q17" s="24"/>
      <c r="R17" s="48"/>
      <c r="S17" s="48"/>
      <c r="T17" s="48"/>
      <c r="U17" s="49"/>
      <c r="V17" s="72"/>
      <c r="W17" s="51"/>
      <c r="X17" s="52"/>
      <c r="Y17" s="53"/>
      <c r="Z17" s="61"/>
      <c r="AA17" s="62"/>
      <c r="AB17" s="24"/>
      <c r="AC17" s="48"/>
      <c r="AD17" s="48"/>
      <c r="AE17" s="48"/>
      <c r="AF17" s="24"/>
      <c r="AG17" s="24"/>
      <c r="AH17" s="24"/>
      <c r="AI17" s="24"/>
      <c r="AJ17" s="24"/>
      <c r="AK17" s="24"/>
      <c r="AL17" s="24"/>
      <c r="AM17" s="24"/>
      <c r="AN17" s="24"/>
      <c r="AO17" s="24"/>
    </row>
    <row r="18" ht="14.25" customHeight="1">
      <c r="A18" s="24"/>
      <c r="B18" s="41" t="s">
        <v>27</v>
      </c>
      <c r="C18" s="71">
        <f>Y31</f>
        <v>0</v>
      </c>
      <c r="D18" s="24"/>
      <c r="E18" s="170"/>
      <c r="F18" s="170"/>
      <c r="G18" s="170"/>
      <c r="H18" s="170"/>
      <c r="I18" s="170"/>
      <c r="J18" s="170"/>
      <c r="K18" s="43">
        <v>9.0</v>
      </c>
      <c r="L18" s="56">
        <v>592.0</v>
      </c>
      <c r="M18" s="64"/>
      <c r="N18" s="64">
        <v>592.0</v>
      </c>
      <c r="O18" s="65"/>
      <c r="P18" s="129">
        <v>4279.0</v>
      </c>
      <c r="Q18" s="24"/>
      <c r="R18" s="48"/>
      <c r="S18" s="48"/>
      <c r="T18" s="48"/>
      <c r="U18" s="49"/>
      <c r="V18" s="60"/>
      <c r="W18" s="51"/>
      <c r="X18" s="53"/>
      <c r="Y18" s="53"/>
      <c r="Z18" s="61"/>
      <c r="AA18" s="62"/>
      <c r="AB18" s="24"/>
      <c r="AC18" s="48"/>
      <c r="AD18" s="48"/>
      <c r="AE18" s="48"/>
      <c r="AF18" s="24"/>
      <c r="AG18" s="24"/>
      <c r="AH18" s="24"/>
      <c r="AI18" s="24"/>
      <c r="AJ18" s="24"/>
      <c r="AK18" s="24"/>
      <c r="AL18" s="24"/>
      <c r="AM18" s="24"/>
      <c r="AN18" s="24"/>
      <c r="AO18" s="24"/>
    </row>
    <row r="19" ht="14.25" customHeight="1">
      <c r="A19" s="24"/>
      <c r="B19" s="41" t="s">
        <v>28</v>
      </c>
      <c r="C19" s="71">
        <f>Z31</f>
        <v>0</v>
      </c>
      <c r="D19" s="24"/>
      <c r="E19" s="170"/>
      <c r="F19" s="170"/>
      <c r="G19" s="170"/>
      <c r="H19" s="170"/>
      <c r="I19" s="170"/>
      <c r="J19" s="170"/>
      <c r="K19" s="43">
        <v>10.0</v>
      </c>
      <c r="L19" s="56">
        <v>756.0</v>
      </c>
      <c r="M19" s="64"/>
      <c r="N19" s="64">
        <v>756.0</v>
      </c>
      <c r="O19" s="65"/>
      <c r="P19" s="129">
        <v>4280.0</v>
      </c>
      <c r="Q19" s="24"/>
      <c r="R19" s="48"/>
      <c r="S19" s="48"/>
      <c r="T19" s="48"/>
      <c r="U19" s="73"/>
      <c r="V19" s="72"/>
      <c r="W19" s="51"/>
      <c r="X19" s="52"/>
      <c r="Y19" s="53"/>
      <c r="Z19" s="61"/>
      <c r="AA19" s="62"/>
      <c r="AB19" s="24"/>
      <c r="AC19" s="48"/>
      <c r="AD19" s="48"/>
      <c r="AE19" s="48"/>
      <c r="AF19" s="24"/>
      <c r="AG19" s="24"/>
      <c r="AH19" s="24"/>
      <c r="AI19" s="24"/>
      <c r="AJ19" s="24"/>
      <c r="AK19" s="24"/>
      <c r="AL19" s="24"/>
      <c r="AM19" s="24"/>
      <c r="AN19" s="24"/>
      <c r="AO19" s="24"/>
    </row>
    <row r="20" ht="14.25" customHeight="1">
      <c r="A20" s="24"/>
      <c r="B20" s="74" t="s">
        <v>29</v>
      </c>
      <c r="C20" s="75">
        <f>C7+C12-C13-C14-C19</f>
        <v>57044</v>
      </c>
      <c r="D20" s="24"/>
      <c r="E20" s="170"/>
      <c r="F20" s="170"/>
      <c r="G20" s="170"/>
      <c r="H20" s="170"/>
      <c r="I20" s="170"/>
      <c r="J20" s="170"/>
      <c r="K20" s="43">
        <v>11.0</v>
      </c>
      <c r="L20" s="56">
        <v>100.0</v>
      </c>
      <c r="M20" s="64">
        <v>100.0</v>
      </c>
      <c r="N20" s="64"/>
      <c r="O20" s="65"/>
      <c r="P20" s="129">
        <v>4281.0</v>
      </c>
      <c r="Q20" s="24"/>
      <c r="R20" s="48"/>
      <c r="S20" s="48"/>
      <c r="T20" s="48"/>
      <c r="U20" s="73"/>
      <c r="V20" s="76"/>
      <c r="W20" s="51"/>
      <c r="X20" s="53"/>
      <c r="Y20" s="53"/>
      <c r="Z20" s="61"/>
      <c r="AA20" s="55"/>
      <c r="AB20" s="24"/>
      <c r="AC20" s="48"/>
      <c r="AD20" s="48"/>
      <c r="AE20" s="48"/>
      <c r="AF20" s="24"/>
      <c r="AG20" s="24"/>
      <c r="AH20" s="24"/>
      <c r="AI20" s="24"/>
      <c r="AJ20" s="24"/>
      <c r="AK20" s="24"/>
      <c r="AL20" s="24"/>
      <c r="AM20" s="24"/>
      <c r="AN20" s="24"/>
      <c r="AO20" s="24"/>
    </row>
    <row r="21" ht="14.25" customHeight="1">
      <c r="A21" s="24"/>
      <c r="B21" s="77" t="s">
        <v>30</v>
      </c>
      <c r="C21" s="78">
        <f>C6+C11+C14-C18-Y33</f>
        <v>395189</v>
      </c>
      <c r="D21" s="24"/>
      <c r="E21" s="170"/>
      <c r="F21" s="170"/>
      <c r="G21" s="170"/>
      <c r="H21" s="170"/>
      <c r="I21" s="170"/>
      <c r="J21" s="170"/>
      <c r="K21" s="43">
        <v>12.0</v>
      </c>
      <c r="L21" s="56">
        <v>614.0</v>
      </c>
      <c r="M21" s="65"/>
      <c r="N21" s="64">
        <v>614.0</v>
      </c>
      <c r="O21" s="65"/>
      <c r="P21" s="129">
        <v>4282.0</v>
      </c>
      <c r="Q21" s="24"/>
      <c r="R21" s="48"/>
      <c r="S21" s="48"/>
      <c r="T21" s="48"/>
      <c r="U21" s="73"/>
      <c r="V21" s="76"/>
      <c r="W21" s="51"/>
      <c r="X21" s="53"/>
      <c r="Y21" s="53"/>
      <c r="Z21" s="61"/>
      <c r="AA21" s="55"/>
      <c r="AB21" s="24"/>
      <c r="AC21" s="48"/>
      <c r="AD21" s="48"/>
      <c r="AE21" s="48"/>
      <c r="AF21" s="24"/>
      <c r="AG21" s="24"/>
      <c r="AH21" s="24"/>
      <c r="AI21" s="24"/>
      <c r="AJ21" s="24"/>
      <c r="AK21" s="24"/>
      <c r="AL21" s="24"/>
      <c r="AM21" s="24"/>
      <c r="AN21" s="24"/>
      <c r="AO21" s="24"/>
    </row>
    <row r="22" ht="14.25" customHeight="1">
      <c r="A22" s="24"/>
      <c r="B22" s="79" t="s">
        <v>31</v>
      </c>
      <c r="C22" s="80">
        <f>C5+C8+C10+C13-C17-X32-X34</f>
        <v>90809</v>
      </c>
      <c r="D22" s="24"/>
      <c r="E22" s="170"/>
      <c r="F22" s="170"/>
      <c r="G22" s="170"/>
      <c r="H22" s="170"/>
      <c r="I22" s="170"/>
      <c r="J22" s="170"/>
      <c r="K22" s="43">
        <v>13.0</v>
      </c>
      <c r="L22" s="56">
        <v>314.0</v>
      </c>
      <c r="M22" s="64"/>
      <c r="N22" s="64">
        <v>314.0</v>
      </c>
      <c r="O22" s="65"/>
      <c r="P22" s="129">
        <v>4283.0</v>
      </c>
      <c r="Q22" s="24"/>
      <c r="R22" s="48"/>
      <c r="S22" s="48"/>
      <c r="T22" s="48"/>
      <c r="U22" s="49"/>
      <c r="V22" s="60"/>
      <c r="W22" s="51"/>
      <c r="X22" s="53"/>
      <c r="Y22" s="53"/>
      <c r="Z22" s="61"/>
      <c r="AA22" s="55"/>
      <c r="AB22" s="24"/>
      <c r="AC22" s="48"/>
      <c r="AD22" s="48"/>
      <c r="AE22" s="48"/>
      <c r="AF22" s="24"/>
      <c r="AG22" s="24"/>
      <c r="AH22" s="24"/>
      <c r="AI22" s="24"/>
      <c r="AJ22" s="24"/>
      <c r="AK22" s="24"/>
      <c r="AL22" s="24"/>
      <c r="AM22" s="24"/>
      <c r="AN22" s="24"/>
      <c r="AO22" s="24"/>
    </row>
    <row r="23" ht="14.25" customHeight="1">
      <c r="A23" s="24"/>
      <c r="B23" s="81" t="s">
        <v>32</v>
      </c>
      <c r="C23" s="139">
        <v>90809.0</v>
      </c>
      <c r="D23" s="24"/>
      <c r="E23" s="170"/>
      <c r="F23" s="170"/>
      <c r="G23" s="170"/>
      <c r="H23" s="170"/>
      <c r="I23" s="170"/>
      <c r="J23" s="170"/>
      <c r="K23" s="43">
        <v>14.0</v>
      </c>
      <c r="L23" s="56">
        <v>102.0</v>
      </c>
      <c r="M23" s="64">
        <v>102.0</v>
      </c>
      <c r="N23" s="65"/>
      <c r="O23" s="65"/>
      <c r="P23" s="129">
        <v>4284.0</v>
      </c>
      <c r="Q23" s="24"/>
      <c r="R23" s="48"/>
      <c r="S23" s="48"/>
      <c r="T23" s="48"/>
      <c r="U23" s="49"/>
      <c r="V23" s="60"/>
      <c r="W23" s="51"/>
      <c r="X23" s="53"/>
      <c r="Y23" s="53"/>
      <c r="Z23" s="61"/>
      <c r="AA23" s="62"/>
      <c r="AB23" s="24"/>
      <c r="AC23" s="48"/>
      <c r="AD23" s="48"/>
      <c r="AE23" s="48"/>
      <c r="AF23" s="24"/>
      <c r="AG23" s="24"/>
      <c r="AH23" s="24"/>
      <c r="AI23" s="24"/>
      <c r="AJ23" s="24"/>
      <c r="AK23" s="24"/>
      <c r="AL23" s="24"/>
      <c r="AM23" s="24"/>
      <c r="AN23" s="24"/>
      <c r="AO23" s="24"/>
    </row>
    <row r="24" ht="14.25" customHeight="1">
      <c r="A24" s="24"/>
      <c r="B24" s="83" t="s">
        <v>33</v>
      </c>
      <c r="C24" s="84">
        <f>C22-C23</f>
        <v>0</v>
      </c>
      <c r="D24" s="24"/>
      <c r="E24" s="170"/>
      <c r="F24" s="170"/>
      <c r="G24" s="170"/>
      <c r="H24" s="170"/>
      <c r="I24" s="170"/>
      <c r="J24" s="170"/>
      <c r="K24" s="43">
        <v>15.0</v>
      </c>
      <c r="L24" s="56">
        <v>80.0</v>
      </c>
      <c r="M24" s="64">
        <v>80.0</v>
      </c>
      <c r="N24" s="65"/>
      <c r="O24" s="65"/>
      <c r="P24" s="129">
        <v>4285.0</v>
      </c>
      <c r="Q24" s="24"/>
      <c r="R24" s="48"/>
      <c r="S24" s="48"/>
      <c r="T24" s="48"/>
      <c r="U24" s="49"/>
      <c r="V24" s="60"/>
      <c r="W24" s="51"/>
      <c r="X24" s="52"/>
      <c r="Y24" s="53"/>
      <c r="Z24" s="61"/>
      <c r="AA24" s="55"/>
      <c r="AB24" s="24"/>
      <c r="AC24" s="48"/>
      <c r="AD24" s="48"/>
      <c r="AE24" s="48"/>
      <c r="AF24" s="24"/>
      <c r="AG24" s="24"/>
      <c r="AH24" s="24"/>
      <c r="AI24" s="24"/>
      <c r="AJ24" s="24"/>
      <c r="AK24" s="24"/>
      <c r="AL24" s="24"/>
      <c r="AM24" s="24"/>
      <c r="AN24" s="24"/>
      <c r="AO24" s="24"/>
    </row>
    <row r="25" ht="14.25" customHeight="1">
      <c r="A25" s="24"/>
      <c r="B25" s="1"/>
      <c r="C25" s="1"/>
      <c r="D25" s="24"/>
      <c r="E25" s="170"/>
      <c r="F25" s="170"/>
      <c r="G25" s="170"/>
      <c r="H25" s="170"/>
      <c r="I25" s="170"/>
      <c r="J25" s="170"/>
      <c r="K25" s="43">
        <v>16.0</v>
      </c>
      <c r="L25" s="56">
        <v>2054.0</v>
      </c>
      <c r="M25" s="64">
        <v>2054.0</v>
      </c>
      <c r="N25" s="65"/>
      <c r="O25" s="65"/>
      <c r="P25" s="129">
        <v>4286.0</v>
      </c>
      <c r="Q25" s="24"/>
      <c r="R25" s="48"/>
      <c r="S25" s="48"/>
      <c r="T25" s="48"/>
      <c r="U25" s="49"/>
      <c r="V25" s="60"/>
      <c r="W25" s="51"/>
      <c r="X25" s="53"/>
      <c r="Y25" s="53"/>
      <c r="Z25" s="61"/>
      <c r="AA25" s="55"/>
      <c r="AB25" s="24"/>
      <c r="AC25" s="48"/>
      <c r="AD25" s="48"/>
      <c r="AE25" s="48"/>
      <c r="AF25" s="24"/>
      <c r="AG25" s="24"/>
      <c r="AH25" s="24"/>
      <c r="AI25" s="24"/>
      <c r="AJ25" s="24"/>
      <c r="AK25" s="24"/>
      <c r="AL25" s="24"/>
      <c r="AM25" s="24"/>
      <c r="AN25" s="24"/>
      <c r="AO25" s="24"/>
    </row>
    <row r="26" ht="14.25" customHeight="1">
      <c r="A26" s="24"/>
      <c r="B26" s="85" t="s">
        <v>34</v>
      </c>
      <c r="C26" s="86">
        <f>L104</f>
        <v>37035</v>
      </c>
      <c r="D26" s="24"/>
      <c r="E26" s="170"/>
      <c r="F26" s="170"/>
      <c r="G26" s="170"/>
      <c r="H26" s="170"/>
      <c r="I26" s="170"/>
      <c r="J26" s="170"/>
      <c r="K26" s="43">
        <v>17.0</v>
      </c>
      <c r="L26" s="56">
        <v>175.0</v>
      </c>
      <c r="M26" s="64" t="s">
        <v>42</v>
      </c>
      <c r="N26" s="64">
        <v>175.0</v>
      </c>
      <c r="O26" s="65"/>
      <c r="P26" s="129">
        <v>4287.0</v>
      </c>
      <c r="Q26" s="24"/>
      <c r="R26" s="48"/>
      <c r="S26" s="48"/>
      <c r="T26" s="48"/>
      <c r="U26" s="49"/>
      <c r="V26" s="60"/>
      <c r="W26" s="51"/>
      <c r="X26" s="53"/>
      <c r="Y26" s="53"/>
      <c r="Z26" s="61"/>
      <c r="AA26" s="55"/>
      <c r="AB26" s="24"/>
      <c r="AC26" s="48"/>
      <c r="AD26" s="48"/>
      <c r="AE26" s="48"/>
      <c r="AF26" s="24"/>
      <c r="AG26" s="24"/>
      <c r="AH26" s="24"/>
      <c r="AI26" s="24"/>
      <c r="AJ26" s="24"/>
      <c r="AK26" s="24"/>
      <c r="AL26" s="24"/>
      <c r="AM26" s="24"/>
      <c r="AN26" s="24"/>
      <c r="AO26" s="24"/>
    </row>
    <row r="27" ht="14.25" customHeight="1">
      <c r="A27" s="24"/>
      <c r="B27" s="85" t="s">
        <v>35</v>
      </c>
      <c r="C27" s="87">
        <v>90.0</v>
      </c>
      <c r="D27" s="24"/>
      <c r="E27" s="170"/>
      <c r="F27" s="170"/>
      <c r="G27" s="170"/>
      <c r="H27" s="170"/>
      <c r="I27" s="170"/>
      <c r="J27" s="170"/>
      <c r="K27" s="43">
        <v>18.0</v>
      </c>
      <c r="L27" s="56">
        <v>275.0</v>
      </c>
      <c r="M27" s="64"/>
      <c r="N27" s="64">
        <v>275.0</v>
      </c>
      <c r="O27" s="65"/>
      <c r="P27" s="129">
        <v>4288.0</v>
      </c>
      <c r="Q27" s="24"/>
      <c r="R27" s="48"/>
      <c r="S27" s="48"/>
      <c r="T27" s="48"/>
      <c r="U27" s="49"/>
      <c r="V27" s="60"/>
      <c r="W27" s="51"/>
      <c r="X27" s="53"/>
      <c r="Y27" s="53"/>
      <c r="Z27" s="61"/>
      <c r="AA27" s="55"/>
      <c r="AB27" s="24"/>
      <c r="AC27" s="48"/>
      <c r="AD27" s="48"/>
      <c r="AE27" s="48"/>
      <c r="AF27" s="24"/>
      <c r="AG27" s="24"/>
      <c r="AH27" s="24"/>
      <c r="AI27" s="24"/>
      <c r="AJ27" s="24"/>
      <c r="AK27" s="24"/>
      <c r="AL27" s="24"/>
      <c r="AM27" s="24"/>
      <c r="AN27" s="24"/>
      <c r="AO27" s="24"/>
    </row>
    <row r="28" ht="16.5" customHeight="1">
      <c r="A28" s="24"/>
      <c r="B28" s="88" t="s">
        <v>36</v>
      </c>
      <c r="C28" s="89">
        <f>C26/C27</f>
        <v>411.5</v>
      </c>
      <c r="D28" s="24"/>
      <c r="E28" s="170"/>
      <c r="F28" s="170"/>
      <c r="G28" s="170"/>
      <c r="H28" s="170"/>
      <c r="I28" s="170"/>
      <c r="J28" s="170"/>
      <c r="K28" s="43">
        <v>19.0</v>
      </c>
      <c r="L28" s="56">
        <v>670.0</v>
      </c>
      <c r="M28" s="64">
        <v>670.0</v>
      </c>
      <c r="N28" s="65"/>
      <c r="O28" s="65"/>
      <c r="P28" s="129">
        <v>4289.0</v>
      </c>
      <c r="Q28" s="24"/>
      <c r="R28" s="48"/>
      <c r="S28" s="48"/>
      <c r="T28" s="48"/>
      <c r="U28" s="49"/>
      <c r="V28" s="60"/>
      <c r="W28" s="51"/>
      <c r="X28" s="53"/>
      <c r="Y28" s="53"/>
      <c r="Z28" s="61"/>
      <c r="AA28" s="55"/>
      <c r="AB28" s="24"/>
      <c r="AC28" s="48"/>
      <c r="AD28" s="48"/>
      <c r="AE28" s="48"/>
      <c r="AF28" s="24"/>
      <c r="AG28" s="24"/>
      <c r="AH28" s="24"/>
      <c r="AI28" s="24"/>
      <c r="AJ28" s="24"/>
      <c r="AK28" s="24"/>
      <c r="AL28" s="24"/>
      <c r="AM28" s="24"/>
      <c r="AN28" s="24"/>
      <c r="AO28" s="24"/>
    </row>
    <row r="29" ht="14.25" customHeight="1">
      <c r="A29" s="24"/>
      <c r="B29" s="1"/>
      <c r="C29" s="1"/>
      <c r="D29" s="24"/>
      <c r="E29" s="170"/>
      <c r="F29" s="170"/>
      <c r="G29" s="170"/>
      <c r="H29" s="170"/>
      <c r="I29" s="170"/>
      <c r="J29" s="170"/>
      <c r="K29" s="43">
        <v>20.0</v>
      </c>
      <c r="L29" s="56">
        <v>215.0</v>
      </c>
      <c r="M29" s="64" t="s">
        <v>42</v>
      </c>
      <c r="N29" s="64">
        <v>215.0</v>
      </c>
      <c r="O29" s="65"/>
      <c r="P29" s="129">
        <v>4290.0</v>
      </c>
      <c r="Q29" s="24"/>
      <c r="R29" s="48"/>
      <c r="S29" s="48"/>
      <c r="T29" s="48"/>
      <c r="U29" s="49"/>
      <c r="V29" s="60"/>
      <c r="W29" s="51"/>
      <c r="X29" s="53"/>
      <c r="Y29" s="53"/>
      <c r="Z29" s="61"/>
      <c r="AA29" s="55"/>
      <c r="AB29" s="24"/>
      <c r="AC29" s="48"/>
      <c r="AD29" s="48"/>
      <c r="AE29" s="48"/>
      <c r="AF29" s="24"/>
      <c r="AG29" s="24"/>
      <c r="AH29" s="24"/>
      <c r="AI29" s="24"/>
      <c r="AJ29" s="24"/>
      <c r="AK29" s="24"/>
      <c r="AL29" s="24"/>
      <c r="AM29" s="24"/>
      <c r="AN29" s="24"/>
      <c r="AO29" s="24"/>
    </row>
    <row r="30" ht="14.25" customHeight="1">
      <c r="A30" s="24"/>
      <c r="B30" s="90" t="s">
        <v>37</v>
      </c>
      <c r="C30" s="91" t="str">
        <f>X32</f>
        <v/>
      </c>
      <c r="D30" s="24"/>
      <c r="E30" s="170"/>
      <c r="F30" s="170"/>
      <c r="G30" s="170"/>
      <c r="H30" s="170"/>
      <c r="I30" s="170"/>
      <c r="J30" s="170"/>
      <c r="K30" s="43">
        <v>21.0</v>
      </c>
      <c r="L30" s="56">
        <v>82.0</v>
      </c>
      <c r="M30" s="93">
        <v>82.0</v>
      </c>
      <c r="N30" s="92"/>
      <c r="O30" s="93"/>
      <c r="P30" s="129">
        <v>4291.0</v>
      </c>
      <c r="Q30" s="24"/>
      <c r="R30" s="48"/>
      <c r="S30" s="48"/>
      <c r="T30" s="48"/>
      <c r="U30" s="49"/>
      <c r="V30" s="60"/>
      <c r="W30" s="51"/>
      <c r="X30" s="53"/>
      <c r="Y30" s="52"/>
      <c r="Z30" s="54"/>
      <c r="AA30" s="55"/>
      <c r="AB30" s="24"/>
      <c r="AC30" s="48"/>
      <c r="AD30" s="48"/>
      <c r="AE30" s="48"/>
      <c r="AF30" s="24"/>
      <c r="AG30" s="24"/>
      <c r="AH30" s="24"/>
      <c r="AI30" s="24"/>
      <c r="AJ30" s="24"/>
      <c r="AK30" s="24"/>
      <c r="AL30" s="24"/>
      <c r="AM30" s="24"/>
      <c r="AN30" s="24"/>
      <c r="AO30" s="24"/>
    </row>
    <row r="31" ht="14.25" customHeight="1">
      <c r="A31" s="24"/>
      <c r="B31" s="85" t="s">
        <v>38</v>
      </c>
      <c r="C31" s="89" t="str">
        <f>Y33</f>
        <v/>
      </c>
      <c r="D31" s="24"/>
      <c r="E31" s="170"/>
      <c r="F31" s="170"/>
      <c r="G31" s="170"/>
      <c r="H31" s="170"/>
      <c r="I31" s="170"/>
      <c r="J31" s="170"/>
      <c r="K31" s="43">
        <v>22.0</v>
      </c>
      <c r="L31" s="56">
        <v>566.0</v>
      </c>
      <c r="M31" s="93">
        <v>20.0</v>
      </c>
      <c r="N31" s="93">
        <v>546.0</v>
      </c>
      <c r="O31" s="92"/>
      <c r="P31" s="129">
        <v>4292.0</v>
      </c>
      <c r="Q31" s="24"/>
      <c r="R31" s="48"/>
      <c r="S31" s="48"/>
      <c r="T31" s="48"/>
      <c r="U31" s="94"/>
      <c r="V31" s="95" t="s">
        <v>39</v>
      </c>
      <c r="W31" s="7"/>
      <c r="X31" s="96">
        <f t="shared" ref="X31:Z31" si="1">SUM(X10:X30)</f>
        <v>1000</v>
      </c>
      <c r="Y31" s="96">
        <f t="shared" si="1"/>
        <v>0</v>
      </c>
      <c r="Z31" s="96">
        <f t="shared" si="1"/>
        <v>0</v>
      </c>
      <c r="AA31" s="97"/>
      <c r="AB31" s="24"/>
      <c r="AC31" s="48"/>
      <c r="AD31" s="48"/>
      <c r="AE31" s="48"/>
      <c r="AF31" s="24"/>
      <c r="AG31" s="24"/>
      <c r="AH31" s="24"/>
      <c r="AI31" s="24"/>
      <c r="AJ31" s="24"/>
      <c r="AK31" s="24"/>
      <c r="AL31" s="24"/>
      <c r="AM31" s="24"/>
      <c r="AN31" s="24"/>
      <c r="AO31" s="24"/>
    </row>
    <row r="32" ht="14.25" customHeight="1">
      <c r="A32" s="24"/>
      <c r="B32" s="85" t="s">
        <v>40</v>
      </c>
      <c r="C32" s="89">
        <f>X34</f>
        <v>3500</v>
      </c>
      <c r="D32" s="24"/>
      <c r="E32" s="170"/>
      <c r="F32" s="170"/>
      <c r="G32" s="170"/>
      <c r="H32" s="170"/>
      <c r="I32" s="170"/>
      <c r="J32" s="170"/>
      <c r="K32" s="43">
        <v>23.0</v>
      </c>
      <c r="L32" s="56">
        <v>290.0</v>
      </c>
      <c r="M32" s="93" t="s">
        <v>42</v>
      </c>
      <c r="N32" s="93">
        <v>290.0</v>
      </c>
      <c r="O32" s="92"/>
      <c r="P32" s="129">
        <v>4293.0</v>
      </c>
      <c r="Q32" s="24"/>
      <c r="R32" s="48"/>
      <c r="S32" s="48"/>
      <c r="T32" s="48"/>
      <c r="U32" s="98"/>
      <c r="V32" s="90" t="s">
        <v>37</v>
      </c>
      <c r="W32" s="51"/>
      <c r="X32" s="99"/>
      <c r="Y32" s="100"/>
      <c r="Z32" s="101"/>
      <c r="AA32" s="55"/>
      <c r="AB32" s="24"/>
      <c r="AC32" s="48"/>
      <c r="AD32" s="48"/>
      <c r="AE32" s="48"/>
      <c r="AF32" s="24"/>
      <c r="AG32" s="24"/>
      <c r="AH32" s="24"/>
      <c r="AI32" s="24"/>
      <c r="AJ32" s="24"/>
      <c r="AK32" s="24"/>
      <c r="AL32" s="24"/>
      <c r="AM32" s="24"/>
      <c r="AN32" s="24"/>
      <c r="AO32" s="24"/>
    </row>
    <row r="33" ht="14.25" customHeight="1">
      <c r="A33" s="24"/>
      <c r="B33" s="102"/>
      <c r="C33" s="103"/>
      <c r="D33" s="24"/>
      <c r="E33" s="170"/>
      <c r="F33" s="170"/>
      <c r="G33" s="170"/>
      <c r="H33" s="170"/>
      <c r="I33" s="170"/>
      <c r="J33" s="170"/>
      <c r="K33" s="43">
        <v>24.0</v>
      </c>
      <c r="L33" s="56">
        <v>90.0</v>
      </c>
      <c r="M33" s="93" t="s">
        <v>42</v>
      </c>
      <c r="N33" s="93">
        <v>90.0</v>
      </c>
      <c r="O33" s="92"/>
      <c r="P33" s="129">
        <v>4294.0</v>
      </c>
      <c r="Q33" s="24"/>
      <c r="R33" s="104">
        <f t="shared" ref="R33:S33" si="2">sum(R10:R32)</f>
        <v>4865</v>
      </c>
      <c r="S33" s="104">
        <f t="shared" si="2"/>
        <v>811</v>
      </c>
      <c r="T33" s="104"/>
      <c r="U33" s="105"/>
      <c r="V33" s="85" t="s">
        <v>38</v>
      </c>
      <c r="W33" s="51"/>
      <c r="X33" s="100"/>
      <c r="Y33" s="52"/>
      <c r="Z33" s="101"/>
      <c r="AA33" s="55"/>
      <c r="AB33" s="24"/>
      <c r="AC33" s="104">
        <f t="shared" ref="AC33:AD33" si="3">sum(AC10:AC32)</f>
        <v>67</v>
      </c>
      <c r="AD33" s="104">
        <f t="shared" si="3"/>
        <v>0</v>
      </c>
      <c r="AE33" s="104">
        <f>AC33+AD33</f>
        <v>67</v>
      </c>
      <c r="AF33" s="24"/>
      <c r="AG33" s="24"/>
      <c r="AH33" s="24"/>
      <c r="AI33" s="24"/>
      <c r="AJ33" s="24"/>
      <c r="AK33" s="24"/>
      <c r="AL33" s="24"/>
      <c r="AM33" s="24"/>
      <c r="AN33" s="24"/>
      <c r="AO33" s="24"/>
    </row>
    <row r="34" ht="14.25" customHeight="1">
      <c r="A34" s="1"/>
      <c r="B34" s="102"/>
      <c r="C34" s="9"/>
      <c r="D34" s="24"/>
      <c r="E34" s="170"/>
      <c r="F34" s="170"/>
      <c r="G34" s="170"/>
      <c r="H34" s="170"/>
      <c r="I34" s="170"/>
      <c r="J34" s="170"/>
      <c r="K34" s="43">
        <v>25.0</v>
      </c>
      <c r="L34" s="56">
        <v>164.0</v>
      </c>
      <c r="M34" s="93"/>
      <c r="N34" s="93">
        <v>164.0</v>
      </c>
      <c r="O34" s="92"/>
      <c r="P34" s="129">
        <v>4295.0</v>
      </c>
      <c r="Q34" s="24"/>
      <c r="R34" s="106"/>
      <c r="S34" s="106"/>
      <c r="T34" s="106"/>
      <c r="U34" s="106"/>
      <c r="V34" s="85" t="s">
        <v>40</v>
      </c>
      <c r="W34" s="107"/>
      <c r="X34" s="130">
        <v>3500.0</v>
      </c>
      <c r="Y34" s="109"/>
      <c r="Z34" s="110"/>
      <c r="AA34" s="111"/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4"/>
      <c r="AM34" s="24"/>
      <c r="AN34" s="24"/>
      <c r="AO34" s="24"/>
    </row>
    <row r="35" ht="14.25" customHeight="1">
      <c r="A35" s="1"/>
      <c r="B35" s="1"/>
      <c r="C35" s="1"/>
      <c r="D35" s="24"/>
      <c r="E35" s="170"/>
      <c r="F35" s="170"/>
      <c r="G35" s="170"/>
      <c r="H35" s="170"/>
      <c r="I35" s="170"/>
      <c r="J35" s="170"/>
      <c r="K35" s="43">
        <v>26.0</v>
      </c>
      <c r="L35" s="56">
        <v>189.0</v>
      </c>
      <c r="M35" s="93">
        <v>189.0</v>
      </c>
      <c r="N35" s="93"/>
      <c r="O35" s="92"/>
      <c r="P35" s="129">
        <v>4296.0</v>
      </c>
      <c r="Q35" s="24"/>
      <c r="R35" s="112"/>
      <c r="S35" s="112"/>
      <c r="T35" s="112"/>
      <c r="U35" s="112"/>
      <c r="V35" s="112"/>
      <c r="W35" s="113"/>
      <c r="X35" s="114"/>
      <c r="Y35" s="114"/>
      <c r="Z35" s="114"/>
      <c r="AA35" s="115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</row>
    <row r="36" ht="14.25" customHeight="1">
      <c r="A36" s="1"/>
      <c r="B36" s="116"/>
      <c r="D36" s="24"/>
      <c r="E36" s="170"/>
      <c r="F36" s="170"/>
      <c r="G36" s="170"/>
      <c r="H36" s="170"/>
      <c r="I36" s="170"/>
      <c r="J36" s="170"/>
      <c r="K36" s="43">
        <v>27.0</v>
      </c>
      <c r="L36" s="56">
        <v>1114.0</v>
      </c>
      <c r="M36" s="92"/>
      <c r="N36" s="93">
        <v>1114.0</v>
      </c>
      <c r="O36" s="92"/>
      <c r="P36" s="129">
        <v>4297.0</v>
      </c>
      <c r="Q36" s="24"/>
      <c r="R36" s="112"/>
      <c r="S36" s="112"/>
      <c r="T36" s="112"/>
      <c r="U36" s="112"/>
      <c r="V36" s="112"/>
      <c r="W36" s="113"/>
      <c r="X36" s="114"/>
      <c r="Y36" s="114"/>
      <c r="Z36" s="114"/>
      <c r="AA36" s="115"/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4"/>
      <c r="AM36" s="24"/>
      <c r="AN36" s="24"/>
      <c r="AO36" s="24"/>
    </row>
    <row r="37" ht="14.25" customHeight="1">
      <c r="A37" s="1"/>
      <c r="D37" s="24"/>
      <c r="E37" s="170"/>
      <c r="F37" s="170"/>
      <c r="G37" s="170"/>
      <c r="H37" s="170"/>
      <c r="I37" s="170"/>
      <c r="J37" s="170"/>
      <c r="K37" s="43">
        <v>28.0</v>
      </c>
      <c r="L37" s="56">
        <v>529.0</v>
      </c>
      <c r="M37" s="93">
        <v>2.0</v>
      </c>
      <c r="N37" s="93">
        <v>527.0</v>
      </c>
      <c r="O37" s="92"/>
      <c r="P37" s="129">
        <v>4298.0</v>
      </c>
      <c r="Q37" s="24"/>
      <c r="R37" s="112"/>
      <c r="S37" s="117"/>
      <c r="T37" s="112"/>
      <c r="U37" s="112"/>
      <c r="V37" s="112"/>
      <c r="W37" s="113"/>
      <c r="X37" s="114"/>
      <c r="Y37" s="114"/>
      <c r="Z37" s="114"/>
      <c r="AA37" s="115"/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4"/>
      <c r="AM37" s="24"/>
      <c r="AN37" s="24"/>
      <c r="AO37" s="24"/>
    </row>
    <row r="38" ht="14.25" customHeight="1">
      <c r="A38" s="1"/>
      <c r="B38" s="118"/>
      <c r="C38" s="118"/>
      <c r="D38" s="24"/>
      <c r="E38" s="170"/>
      <c r="F38" s="170"/>
      <c r="G38" s="170"/>
      <c r="H38" s="170"/>
      <c r="I38" s="170"/>
      <c r="J38" s="170"/>
      <c r="K38" s="43">
        <v>29.0</v>
      </c>
      <c r="L38" s="56">
        <v>224.0</v>
      </c>
      <c r="M38" s="93">
        <v>224.0</v>
      </c>
      <c r="N38" s="92"/>
      <c r="O38" s="92"/>
      <c r="P38" s="129">
        <v>4299.0</v>
      </c>
      <c r="Q38" s="24"/>
      <c r="R38" s="112"/>
      <c r="S38" s="117"/>
      <c r="T38" s="112"/>
      <c r="U38" s="112"/>
      <c r="V38" s="112"/>
      <c r="W38" s="113"/>
      <c r="X38" s="114"/>
      <c r="Y38" s="114"/>
      <c r="Z38" s="114"/>
      <c r="AA38" s="115"/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4"/>
      <c r="AM38" s="24"/>
      <c r="AN38" s="24"/>
      <c r="AO38" s="24"/>
    </row>
    <row r="39" ht="14.25" customHeight="1">
      <c r="A39" s="1"/>
      <c r="B39" s="1"/>
      <c r="C39" s="1"/>
      <c r="D39" s="24"/>
      <c r="E39" s="170"/>
      <c r="F39" s="170"/>
      <c r="G39" s="170"/>
      <c r="H39" s="170"/>
      <c r="I39" s="170"/>
      <c r="J39" s="170"/>
      <c r="K39" s="43">
        <v>30.0</v>
      </c>
      <c r="L39" s="56">
        <v>100.0</v>
      </c>
      <c r="M39" s="93">
        <v>100.0</v>
      </c>
      <c r="N39" s="93"/>
      <c r="O39" s="92"/>
      <c r="P39" s="129">
        <v>4300.0</v>
      </c>
      <c r="Q39" s="24"/>
      <c r="R39" s="112"/>
      <c r="S39" s="117"/>
      <c r="T39" s="112"/>
      <c r="U39" s="112"/>
      <c r="V39" s="112"/>
      <c r="W39" s="113"/>
      <c r="X39" s="114"/>
      <c r="Y39" s="114"/>
      <c r="Z39" s="114"/>
      <c r="AA39" s="115"/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4"/>
      <c r="AM39" s="24"/>
      <c r="AN39" s="24"/>
      <c r="AO39" s="24"/>
    </row>
    <row r="40" ht="14.25" customHeight="1">
      <c r="A40" s="1"/>
      <c r="B40" s="1"/>
      <c r="C40" s="1"/>
      <c r="D40" s="24"/>
      <c r="E40" s="170"/>
      <c r="F40" s="170"/>
      <c r="G40" s="170"/>
      <c r="H40" s="170"/>
      <c r="I40" s="170"/>
      <c r="J40" s="170"/>
      <c r="K40" s="43">
        <v>31.0</v>
      </c>
      <c r="L40" s="56">
        <v>90.0</v>
      </c>
      <c r="M40" s="93">
        <v>90.0</v>
      </c>
      <c r="N40" s="93"/>
      <c r="O40" s="92"/>
      <c r="P40" s="129">
        <v>4301.0</v>
      </c>
      <c r="Q40" s="24"/>
      <c r="R40" s="112"/>
      <c r="S40" s="112"/>
      <c r="T40" s="112"/>
      <c r="U40" s="112"/>
      <c r="V40" s="112"/>
      <c r="W40" s="113"/>
      <c r="X40" s="114"/>
      <c r="Y40" s="114"/>
      <c r="Z40" s="114"/>
      <c r="AA40" s="115"/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</row>
    <row r="41" ht="14.25" customHeight="1">
      <c r="A41" s="1"/>
      <c r="B41" s="1"/>
      <c r="C41" s="1"/>
      <c r="D41" s="24"/>
      <c r="E41" s="170"/>
      <c r="F41" s="170"/>
      <c r="G41" s="170"/>
      <c r="H41" s="170"/>
      <c r="I41" s="170"/>
      <c r="J41" s="170"/>
      <c r="K41" s="43">
        <v>32.0</v>
      </c>
      <c r="L41" s="56">
        <v>33.0</v>
      </c>
      <c r="M41" s="93">
        <v>33.0</v>
      </c>
      <c r="N41" s="93"/>
      <c r="O41" s="92"/>
      <c r="P41" s="129">
        <v>4302.0</v>
      </c>
      <c r="Q41" s="24"/>
      <c r="R41" s="112"/>
      <c r="S41" s="112"/>
      <c r="T41" s="112"/>
      <c r="U41" s="112"/>
      <c r="V41" s="148" t="s">
        <v>131</v>
      </c>
      <c r="W41" s="113"/>
      <c r="X41" s="119"/>
      <c r="Y41" s="114"/>
      <c r="Z41" s="114"/>
      <c r="AA41" s="115"/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</row>
    <row r="42" ht="14.25" customHeight="1">
      <c r="A42" s="1"/>
      <c r="B42" s="1"/>
      <c r="C42" s="1"/>
      <c r="D42" s="24"/>
      <c r="E42" s="170"/>
      <c r="F42" s="170"/>
      <c r="G42" s="170"/>
      <c r="H42" s="170"/>
      <c r="I42" s="170"/>
      <c r="J42" s="170"/>
      <c r="K42" s="43">
        <v>33.0</v>
      </c>
      <c r="L42" s="56">
        <v>90.0</v>
      </c>
      <c r="M42" s="93">
        <v>90.0</v>
      </c>
      <c r="N42" s="93"/>
      <c r="O42" s="92"/>
      <c r="P42" s="129">
        <v>4303.0</v>
      </c>
      <c r="Q42" s="24"/>
      <c r="R42" s="112"/>
      <c r="S42" s="117"/>
      <c r="T42" s="112"/>
      <c r="U42" s="112"/>
      <c r="V42" s="112"/>
      <c r="W42" s="113"/>
      <c r="X42" s="114"/>
      <c r="Y42" s="114"/>
      <c r="Z42" s="114"/>
      <c r="AA42" s="115"/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</row>
    <row r="43" ht="14.25" customHeight="1">
      <c r="A43" s="1"/>
      <c r="B43" s="1"/>
      <c r="C43" s="1"/>
      <c r="D43" s="24"/>
      <c r="E43" s="170"/>
      <c r="F43" s="170"/>
      <c r="G43" s="170"/>
      <c r="H43" s="170"/>
      <c r="I43" s="170"/>
      <c r="J43" s="170"/>
      <c r="K43" s="43">
        <v>34.0</v>
      </c>
      <c r="L43" s="56">
        <v>400.0</v>
      </c>
      <c r="M43" s="93">
        <v>400.0</v>
      </c>
      <c r="N43" s="92"/>
      <c r="O43" s="92"/>
      <c r="P43" s="129">
        <v>4304.0</v>
      </c>
      <c r="Q43" s="24"/>
      <c r="R43" s="112"/>
      <c r="S43" s="112"/>
      <c r="T43" s="112"/>
      <c r="U43" s="112"/>
      <c r="V43" s="112"/>
      <c r="W43" s="113"/>
      <c r="X43" s="114"/>
      <c r="Y43" s="114"/>
      <c r="Z43" s="114"/>
      <c r="AA43" s="115"/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</row>
    <row r="44" ht="14.25" customHeight="1">
      <c r="A44" s="1"/>
      <c r="B44" s="1"/>
      <c r="C44" s="1"/>
      <c r="D44" s="24"/>
      <c r="E44" s="170"/>
      <c r="F44" s="170"/>
      <c r="G44" s="170"/>
      <c r="H44" s="170"/>
      <c r="I44" s="170"/>
      <c r="J44" s="170"/>
      <c r="K44" s="43">
        <v>35.0</v>
      </c>
      <c r="L44" s="56">
        <v>484.0</v>
      </c>
      <c r="M44" s="92"/>
      <c r="N44" s="93">
        <v>484.0</v>
      </c>
      <c r="O44" s="92"/>
      <c r="P44" s="129">
        <v>4305.0</v>
      </c>
      <c r="Q44" s="24"/>
      <c r="R44" s="112"/>
      <c r="S44" s="112"/>
      <c r="T44" s="112"/>
      <c r="U44" s="112"/>
      <c r="V44" s="112"/>
      <c r="W44" s="113"/>
      <c r="X44" s="114"/>
      <c r="Y44" s="114"/>
      <c r="Z44" s="114"/>
      <c r="AA44" s="115"/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</row>
    <row r="45" ht="14.25" customHeight="1">
      <c r="A45" s="1"/>
      <c r="B45" s="1"/>
      <c r="C45" s="1"/>
      <c r="D45" s="24"/>
      <c r="E45" s="170"/>
      <c r="F45" s="170"/>
      <c r="G45" s="170"/>
      <c r="H45" s="170"/>
      <c r="I45" s="170"/>
      <c r="J45" s="170"/>
      <c r="K45" s="43">
        <v>36.0</v>
      </c>
      <c r="L45" s="56">
        <v>813.0</v>
      </c>
      <c r="M45" s="93">
        <v>813.0</v>
      </c>
      <c r="N45" s="92"/>
      <c r="O45" s="92"/>
      <c r="P45" s="129">
        <v>4306.0</v>
      </c>
      <c r="Q45" s="24"/>
      <c r="R45" s="112"/>
      <c r="S45" s="112"/>
      <c r="T45" s="112"/>
      <c r="U45" s="112"/>
      <c r="V45" s="112"/>
      <c r="W45" s="113"/>
      <c r="X45" s="114"/>
      <c r="Y45" s="114"/>
      <c r="Z45" s="114"/>
      <c r="AA45" s="115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</row>
    <row r="46" ht="14.25" customHeight="1">
      <c r="A46" s="1"/>
      <c r="B46" s="1"/>
      <c r="C46" s="1"/>
      <c r="D46" s="24"/>
      <c r="E46" s="170"/>
      <c r="F46" s="170"/>
      <c r="G46" s="170"/>
      <c r="H46" s="170"/>
      <c r="I46" s="170"/>
      <c r="J46" s="170"/>
      <c r="K46" s="43">
        <v>37.0</v>
      </c>
      <c r="L46" s="56">
        <v>67.0</v>
      </c>
      <c r="M46" s="93"/>
      <c r="N46" s="93">
        <v>67.0</v>
      </c>
      <c r="O46" s="92"/>
      <c r="P46" s="129">
        <v>4307.0</v>
      </c>
      <c r="Q46" s="24"/>
      <c r="R46" s="112"/>
      <c r="S46" s="112"/>
      <c r="T46" s="112"/>
      <c r="U46" s="112"/>
      <c r="V46" s="112"/>
      <c r="W46" s="113"/>
      <c r="X46" s="114"/>
      <c r="Y46" s="114"/>
      <c r="Z46" s="114"/>
      <c r="AA46" s="115"/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</row>
    <row r="47" ht="14.25" customHeight="1">
      <c r="A47" s="1"/>
      <c r="B47" s="1"/>
      <c r="C47" s="1"/>
      <c r="D47" s="24"/>
      <c r="E47" s="170"/>
      <c r="F47" s="170"/>
      <c r="G47" s="170"/>
      <c r="H47" s="170"/>
      <c r="I47" s="170"/>
      <c r="J47" s="170"/>
      <c r="K47" s="43">
        <v>38.0</v>
      </c>
      <c r="L47" s="56">
        <v>116.0</v>
      </c>
      <c r="M47" s="93">
        <v>116.0</v>
      </c>
      <c r="N47" s="93"/>
      <c r="O47" s="92"/>
      <c r="P47" s="129">
        <v>4308.0</v>
      </c>
      <c r="Q47" s="24"/>
      <c r="R47" s="112"/>
      <c r="S47" s="112"/>
      <c r="T47" s="112"/>
      <c r="U47" s="112"/>
      <c r="V47" s="112"/>
      <c r="W47" s="113"/>
      <c r="X47" s="114"/>
      <c r="Y47" s="114"/>
      <c r="Z47" s="114"/>
      <c r="AA47" s="115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</row>
    <row r="48" ht="14.25" customHeight="1">
      <c r="A48" s="1"/>
      <c r="B48" s="1"/>
      <c r="C48" s="1"/>
      <c r="D48" s="24"/>
      <c r="E48" s="170"/>
      <c r="F48" s="170"/>
      <c r="G48" s="170"/>
      <c r="H48" s="170"/>
      <c r="I48" s="170"/>
      <c r="J48" s="170"/>
      <c r="K48" s="43">
        <v>39.0</v>
      </c>
      <c r="L48" s="56">
        <v>89.0</v>
      </c>
      <c r="M48" s="93">
        <v>89.0</v>
      </c>
      <c r="N48" s="92"/>
      <c r="O48" s="92"/>
      <c r="P48" s="129">
        <v>4309.0</v>
      </c>
      <c r="Q48" s="24"/>
      <c r="R48" s="112"/>
      <c r="S48" s="112"/>
      <c r="T48" s="112"/>
      <c r="U48" s="112"/>
      <c r="V48" s="112"/>
      <c r="W48" s="113"/>
      <c r="X48" s="114"/>
      <c r="Y48" s="114"/>
      <c r="Z48" s="114"/>
      <c r="AA48" s="115"/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4"/>
      <c r="AM48" s="24"/>
      <c r="AN48" s="24"/>
      <c r="AO48" s="24"/>
    </row>
    <row r="49" ht="14.25" customHeight="1">
      <c r="A49" s="1"/>
      <c r="B49" s="118"/>
      <c r="C49" s="1"/>
      <c r="D49" s="24"/>
      <c r="E49" s="170"/>
      <c r="F49" s="170"/>
      <c r="G49" s="170"/>
      <c r="H49" s="170"/>
      <c r="I49" s="170"/>
      <c r="J49" s="170"/>
      <c r="K49" s="43">
        <v>40.0</v>
      </c>
      <c r="L49" s="56">
        <v>91.0</v>
      </c>
      <c r="M49" s="93">
        <v>91.0</v>
      </c>
      <c r="N49" s="92"/>
      <c r="O49" s="92"/>
      <c r="P49" s="129">
        <v>4310.0</v>
      </c>
      <c r="Q49" s="24"/>
      <c r="R49" s="112"/>
      <c r="S49" s="112"/>
      <c r="T49" s="112"/>
      <c r="U49" s="112"/>
      <c r="V49" s="112"/>
      <c r="W49" s="113"/>
      <c r="X49" s="114"/>
      <c r="Y49" s="114"/>
      <c r="Z49" s="114"/>
      <c r="AA49" s="115"/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4"/>
      <c r="AM49" s="24"/>
      <c r="AN49" s="24"/>
      <c r="AO49" s="24"/>
    </row>
    <row r="50" ht="14.25" customHeight="1">
      <c r="A50" s="1"/>
      <c r="B50" s="1"/>
      <c r="C50" s="1"/>
      <c r="D50" s="24"/>
      <c r="E50" s="170"/>
      <c r="F50" s="170"/>
      <c r="G50" s="170"/>
      <c r="H50" s="170"/>
      <c r="I50" s="170"/>
      <c r="J50" s="170"/>
      <c r="K50" s="43">
        <v>41.0</v>
      </c>
      <c r="L50" s="56">
        <v>100.0</v>
      </c>
      <c r="M50" s="93">
        <v>100.0</v>
      </c>
      <c r="N50" s="93"/>
      <c r="O50" s="92"/>
      <c r="P50" s="129">
        <v>4311.0</v>
      </c>
      <c r="Q50" s="24"/>
      <c r="R50" s="112"/>
      <c r="S50" s="112"/>
      <c r="T50" s="112"/>
      <c r="U50" s="112"/>
      <c r="V50" s="112"/>
      <c r="W50" s="113"/>
      <c r="X50" s="114"/>
      <c r="Y50" s="114"/>
      <c r="Z50" s="114"/>
      <c r="AA50" s="115"/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4"/>
      <c r="AM50" s="24"/>
      <c r="AN50" s="24"/>
      <c r="AO50" s="24"/>
    </row>
    <row r="51" ht="14.25" customHeight="1">
      <c r="A51" s="1"/>
      <c r="B51" s="1"/>
      <c r="C51" s="1"/>
      <c r="D51" s="24"/>
      <c r="E51" s="170"/>
      <c r="F51" s="170"/>
      <c r="G51" s="170"/>
      <c r="H51" s="170"/>
      <c r="I51" s="170"/>
      <c r="J51" s="170"/>
      <c r="K51" s="43">
        <v>42.0</v>
      </c>
      <c r="L51" s="56">
        <v>166.0</v>
      </c>
      <c r="M51" s="93">
        <v>101.0</v>
      </c>
      <c r="N51" s="93">
        <v>65.0</v>
      </c>
      <c r="O51" s="92"/>
      <c r="P51" s="129">
        <v>4312.0</v>
      </c>
      <c r="Q51" s="24"/>
      <c r="R51" s="112"/>
      <c r="S51" s="112"/>
      <c r="T51" s="112"/>
      <c r="U51" s="112"/>
      <c r="V51" s="112"/>
      <c r="W51" s="113"/>
      <c r="X51" s="114"/>
      <c r="Y51" s="114"/>
      <c r="Z51" s="114"/>
      <c r="AA51" s="115"/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4"/>
      <c r="AM51" s="24"/>
      <c r="AN51" s="24"/>
      <c r="AO51" s="24"/>
    </row>
    <row r="52" ht="14.25" customHeight="1">
      <c r="A52" s="1"/>
      <c r="B52" s="1"/>
      <c r="C52" s="1"/>
      <c r="D52" s="24"/>
      <c r="E52" s="170"/>
      <c r="F52" s="170"/>
      <c r="G52" s="170"/>
      <c r="H52" s="170"/>
      <c r="I52" s="170"/>
      <c r="J52" s="170"/>
      <c r="K52" s="43">
        <v>43.0</v>
      </c>
      <c r="L52" s="56">
        <v>421.0</v>
      </c>
      <c r="M52" s="93">
        <v>421.0</v>
      </c>
      <c r="N52" s="92"/>
      <c r="O52" s="92"/>
      <c r="P52" s="129">
        <v>4313.0</v>
      </c>
      <c r="Q52" s="24"/>
      <c r="R52" s="112"/>
      <c r="S52" s="112"/>
      <c r="T52" s="112"/>
      <c r="U52" s="112"/>
      <c r="V52" s="112"/>
      <c r="W52" s="113"/>
      <c r="X52" s="114"/>
      <c r="Y52" s="114"/>
      <c r="Z52" s="114"/>
      <c r="AA52" s="115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</row>
    <row r="53" ht="14.25" customHeight="1">
      <c r="A53" s="1"/>
      <c r="B53" s="1"/>
      <c r="C53" s="1"/>
      <c r="D53" s="24"/>
      <c r="E53" s="170"/>
      <c r="F53" s="170"/>
      <c r="G53" s="170"/>
      <c r="H53" s="170"/>
      <c r="I53" s="170"/>
      <c r="J53" s="170"/>
      <c r="K53" s="43">
        <v>44.0</v>
      </c>
      <c r="L53" s="56">
        <v>50.0</v>
      </c>
      <c r="M53" s="93">
        <v>50.0</v>
      </c>
      <c r="N53" s="92"/>
      <c r="O53" s="92"/>
      <c r="P53" s="129">
        <v>4314.0</v>
      </c>
      <c r="Q53" s="24"/>
      <c r="R53" s="112"/>
      <c r="S53" s="112"/>
      <c r="T53" s="112"/>
      <c r="U53" s="112"/>
      <c r="V53" s="112"/>
      <c r="W53" s="113"/>
      <c r="X53" s="114"/>
      <c r="Y53" s="114"/>
      <c r="Z53" s="114"/>
      <c r="AA53" s="115"/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4"/>
      <c r="AM53" s="24"/>
      <c r="AN53" s="24"/>
      <c r="AO53" s="24"/>
    </row>
    <row r="54" ht="14.25" customHeight="1">
      <c r="A54" s="1"/>
      <c r="B54" s="1"/>
      <c r="C54" s="1"/>
      <c r="D54" s="24"/>
      <c r="E54" s="170"/>
      <c r="F54" s="170"/>
      <c r="G54" s="170"/>
      <c r="H54" s="170"/>
      <c r="I54" s="170"/>
      <c r="J54" s="170"/>
      <c r="K54" s="43">
        <v>45.0</v>
      </c>
      <c r="L54" s="56">
        <v>434.0</v>
      </c>
      <c r="M54" s="93" t="s">
        <v>42</v>
      </c>
      <c r="N54" s="93">
        <v>434.0</v>
      </c>
      <c r="O54" s="92"/>
      <c r="P54" s="129">
        <v>4315.0</v>
      </c>
      <c r="Q54" s="24"/>
      <c r="R54" s="112"/>
      <c r="S54" s="112"/>
      <c r="T54" s="112"/>
      <c r="U54" s="112"/>
      <c r="V54" s="112"/>
      <c r="W54" s="113"/>
      <c r="X54" s="114"/>
      <c r="Y54" s="114"/>
      <c r="Z54" s="114"/>
      <c r="AA54" s="115"/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4"/>
      <c r="AM54" s="24"/>
      <c r="AN54" s="24"/>
      <c r="AO54" s="24"/>
    </row>
    <row r="55" ht="14.25" customHeight="1">
      <c r="A55" s="1"/>
      <c r="B55" s="1"/>
      <c r="C55" s="1"/>
      <c r="D55" s="24"/>
      <c r="E55" s="170"/>
      <c r="F55" s="170"/>
      <c r="G55" s="170"/>
      <c r="H55" s="170"/>
      <c r="I55" s="170"/>
      <c r="J55" s="170"/>
      <c r="K55" s="43">
        <v>46.0</v>
      </c>
      <c r="L55" s="56">
        <v>267.0</v>
      </c>
      <c r="M55" s="93">
        <v>267.0</v>
      </c>
      <c r="N55" s="92"/>
      <c r="O55" s="92"/>
      <c r="P55" s="129">
        <v>4316.0</v>
      </c>
      <c r="Q55" s="24"/>
      <c r="R55" s="112"/>
      <c r="S55" s="112"/>
      <c r="T55" s="112"/>
      <c r="U55" s="112"/>
      <c r="V55" s="112"/>
      <c r="W55" s="113"/>
      <c r="X55" s="114"/>
      <c r="Y55" s="114"/>
      <c r="Z55" s="114"/>
      <c r="AA55" s="115"/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</row>
    <row r="56" ht="14.25" customHeight="1">
      <c r="A56" s="1"/>
      <c r="B56" s="1"/>
      <c r="C56" s="1"/>
      <c r="D56" s="24"/>
      <c r="E56" s="170"/>
      <c r="F56" s="170"/>
      <c r="G56" s="170"/>
      <c r="H56" s="170"/>
      <c r="I56" s="170"/>
      <c r="J56" s="170"/>
      <c r="K56" s="43">
        <v>47.0</v>
      </c>
      <c r="L56" s="56">
        <v>92.0</v>
      </c>
      <c r="M56" s="93" t="s">
        <v>42</v>
      </c>
      <c r="N56" s="93">
        <v>92.0</v>
      </c>
      <c r="O56" s="92"/>
      <c r="P56" s="129">
        <v>4317.0</v>
      </c>
      <c r="Q56" s="24"/>
      <c r="R56" s="112"/>
      <c r="S56" s="112"/>
      <c r="T56" s="112"/>
      <c r="U56" s="112"/>
      <c r="V56" s="112"/>
      <c r="W56" s="113"/>
      <c r="X56" s="114"/>
      <c r="Y56" s="114"/>
      <c r="Z56" s="114"/>
      <c r="AA56" s="115"/>
      <c r="AB56" s="24"/>
      <c r="AC56" s="24"/>
      <c r="AD56" s="24"/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</row>
    <row r="57" ht="14.25" customHeight="1">
      <c r="A57" s="1"/>
      <c r="B57" s="1"/>
      <c r="C57" s="1"/>
      <c r="D57" s="24"/>
      <c r="E57" s="170"/>
      <c r="F57" s="170"/>
      <c r="G57" s="170"/>
      <c r="H57" s="170"/>
      <c r="I57" s="170"/>
      <c r="J57" s="170"/>
      <c r="K57" s="43">
        <v>48.0</v>
      </c>
      <c r="L57" s="56">
        <v>35.0</v>
      </c>
      <c r="M57" s="93">
        <v>35.0</v>
      </c>
      <c r="N57" s="92"/>
      <c r="O57" s="92"/>
      <c r="P57" s="129">
        <v>4318.0</v>
      </c>
      <c r="Q57" s="24"/>
      <c r="R57" s="112"/>
      <c r="S57" s="112"/>
      <c r="T57" s="112"/>
      <c r="U57" s="112"/>
      <c r="V57" s="112"/>
      <c r="W57" s="113"/>
      <c r="X57" s="114"/>
      <c r="Y57" s="114"/>
      <c r="Z57" s="114"/>
      <c r="AA57" s="115"/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</row>
    <row r="58" ht="14.25" customHeight="1">
      <c r="A58" s="1"/>
      <c r="B58" s="1"/>
      <c r="C58" s="1"/>
      <c r="D58" s="24"/>
      <c r="E58" s="170"/>
      <c r="F58" s="170"/>
      <c r="G58" s="170"/>
      <c r="H58" s="170"/>
      <c r="I58" s="170"/>
      <c r="J58" s="170"/>
      <c r="K58" s="43">
        <v>49.0</v>
      </c>
      <c r="L58" s="56">
        <v>287.0</v>
      </c>
      <c r="M58" s="92"/>
      <c r="N58" s="93">
        <v>287.0</v>
      </c>
      <c r="O58" s="92"/>
      <c r="P58" s="129">
        <v>4319.0</v>
      </c>
      <c r="Q58" s="24"/>
      <c r="R58" s="112"/>
      <c r="S58" s="112"/>
      <c r="T58" s="112"/>
      <c r="U58" s="112"/>
      <c r="V58" s="112"/>
      <c r="W58" s="113"/>
      <c r="X58" s="114"/>
      <c r="Y58" s="114"/>
      <c r="Z58" s="114"/>
      <c r="AA58" s="115"/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</row>
    <row r="59" ht="14.25" customHeight="1">
      <c r="A59" s="1"/>
      <c r="B59" s="1"/>
      <c r="C59" s="1"/>
      <c r="D59" s="24"/>
      <c r="E59" s="170"/>
      <c r="F59" s="170"/>
      <c r="G59" s="170"/>
      <c r="H59" s="170"/>
      <c r="I59" s="170"/>
      <c r="J59" s="170"/>
      <c r="K59" s="43">
        <v>50.0</v>
      </c>
      <c r="L59" s="56">
        <v>102.0</v>
      </c>
      <c r="M59" s="93">
        <v>102.0</v>
      </c>
      <c r="N59" s="92"/>
      <c r="O59" s="92"/>
      <c r="P59" s="129">
        <v>4320.0</v>
      </c>
      <c r="Q59" s="24"/>
      <c r="R59" s="112"/>
      <c r="S59" s="112"/>
      <c r="T59" s="112"/>
      <c r="U59" s="112"/>
      <c r="V59" s="112"/>
      <c r="W59" s="113"/>
      <c r="X59" s="114"/>
      <c r="Y59" s="114"/>
      <c r="Z59" s="114"/>
      <c r="AA59" s="115"/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4"/>
      <c r="AM59" s="24"/>
      <c r="AN59" s="24"/>
      <c r="AO59" s="24"/>
    </row>
    <row r="60" ht="14.25" customHeight="1">
      <c r="A60" s="1"/>
      <c r="B60" s="1"/>
      <c r="C60" s="1"/>
      <c r="D60" s="24"/>
      <c r="E60" s="170"/>
      <c r="F60" s="170"/>
      <c r="G60" s="170"/>
      <c r="H60" s="170"/>
      <c r="I60" s="170"/>
      <c r="J60" s="170"/>
      <c r="K60" s="43">
        <v>51.0</v>
      </c>
      <c r="L60" s="56">
        <v>10.0</v>
      </c>
      <c r="M60" s="93">
        <v>10.0</v>
      </c>
      <c r="N60" s="92"/>
      <c r="O60" s="92"/>
      <c r="P60" s="129">
        <v>4321.0</v>
      </c>
      <c r="Q60" s="24"/>
      <c r="R60" s="112"/>
      <c r="S60" s="112"/>
      <c r="T60" s="112"/>
      <c r="U60" s="112"/>
      <c r="V60" s="112"/>
      <c r="W60" s="113"/>
      <c r="X60" s="114"/>
      <c r="Y60" s="114"/>
      <c r="Z60" s="114"/>
      <c r="AA60" s="115"/>
      <c r="AB60" s="24"/>
      <c r="AC60" s="24"/>
      <c r="AD60" s="24"/>
      <c r="AE60" s="24"/>
      <c r="AF60" s="24"/>
      <c r="AG60" s="24"/>
      <c r="AH60" s="24"/>
      <c r="AI60" s="24"/>
      <c r="AJ60" s="24"/>
      <c r="AK60" s="24"/>
      <c r="AL60" s="24"/>
      <c r="AM60" s="24"/>
      <c r="AN60" s="24"/>
      <c r="AO60" s="24"/>
    </row>
    <row r="61" ht="14.25" customHeight="1">
      <c r="A61" s="1"/>
      <c r="B61" s="1"/>
      <c r="C61" s="1"/>
      <c r="D61" s="24"/>
      <c r="E61" s="170"/>
      <c r="F61" s="170"/>
      <c r="G61" s="170"/>
      <c r="H61" s="170"/>
      <c r="I61" s="170"/>
      <c r="J61" s="170"/>
      <c r="K61" s="43">
        <v>52.0</v>
      </c>
      <c r="L61" s="56">
        <v>292.0</v>
      </c>
      <c r="M61" s="92"/>
      <c r="N61" s="93">
        <v>292.0</v>
      </c>
      <c r="O61" s="92"/>
      <c r="P61" s="129">
        <v>4322.0</v>
      </c>
      <c r="Q61" s="24"/>
      <c r="R61" s="112"/>
      <c r="S61" s="112"/>
      <c r="T61" s="112"/>
      <c r="U61" s="112"/>
      <c r="V61" s="112"/>
      <c r="W61" s="113"/>
      <c r="X61" s="114"/>
      <c r="Y61" s="114"/>
      <c r="Z61" s="114"/>
      <c r="AA61" s="115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24"/>
      <c r="AO61" s="24"/>
    </row>
    <row r="62" ht="14.25" customHeight="1">
      <c r="A62" s="1"/>
      <c r="B62" s="1"/>
      <c r="C62" s="1"/>
      <c r="D62" s="24"/>
      <c r="E62" s="170"/>
      <c r="F62" s="170"/>
      <c r="G62" s="170"/>
      <c r="H62" s="170"/>
      <c r="I62" s="170"/>
      <c r="J62" s="170"/>
      <c r="K62" s="43">
        <v>53.0</v>
      </c>
      <c r="L62" s="56">
        <v>560.0</v>
      </c>
      <c r="M62" s="93">
        <v>560.0</v>
      </c>
      <c r="N62" s="92"/>
      <c r="O62" s="92"/>
      <c r="P62" s="129">
        <v>4323.0</v>
      </c>
      <c r="Q62" s="24"/>
      <c r="R62" s="112"/>
      <c r="S62" s="112"/>
      <c r="T62" s="112"/>
      <c r="U62" s="112"/>
      <c r="V62" s="112"/>
      <c r="W62" s="113"/>
      <c r="X62" s="114"/>
      <c r="Y62" s="114"/>
      <c r="Z62" s="114"/>
      <c r="AA62" s="115"/>
      <c r="AB62" s="24"/>
      <c r="AC62" s="24"/>
      <c r="AD62" s="24"/>
      <c r="AE62" s="24"/>
      <c r="AF62" s="24"/>
      <c r="AG62" s="24"/>
      <c r="AH62" s="24"/>
      <c r="AI62" s="24"/>
      <c r="AJ62" s="24"/>
      <c r="AK62" s="24"/>
      <c r="AL62" s="24"/>
      <c r="AM62" s="24"/>
      <c r="AN62" s="24"/>
      <c r="AO62" s="24"/>
    </row>
    <row r="63" ht="14.25" customHeight="1">
      <c r="A63" s="1"/>
      <c r="B63" s="1"/>
      <c r="C63" s="1"/>
      <c r="D63" s="24"/>
      <c r="E63" s="170"/>
      <c r="F63" s="170"/>
      <c r="G63" s="170"/>
      <c r="H63" s="170"/>
      <c r="I63" s="170"/>
      <c r="J63" s="170"/>
      <c r="K63" s="43">
        <v>54.0</v>
      </c>
      <c r="L63" s="56">
        <v>400.0</v>
      </c>
      <c r="M63" s="93">
        <v>400.0</v>
      </c>
      <c r="N63" s="92"/>
      <c r="O63" s="92"/>
      <c r="P63" s="129">
        <v>4324.0</v>
      </c>
      <c r="Q63" s="24"/>
      <c r="R63" s="112"/>
      <c r="S63" s="112"/>
      <c r="T63" s="112"/>
      <c r="U63" s="112"/>
      <c r="V63" s="112"/>
      <c r="W63" s="113"/>
      <c r="X63" s="114"/>
      <c r="Y63" s="114"/>
      <c r="Z63" s="114"/>
      <c r="AA63" s="115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4"/>
      <c r="AM63" s="24"/>
      <c r="AN63" s="24"/>
      <c r="AO63" s="24"/>
    </row>
    <row r="64" ht="14.25" customHeight="1">
      <c r="A64" s="1"/>
      <c r="B64" s="1"/>
      <c r="C64" s="1"/>
      <c r="D64" s="24"/>
      <c r="E64" s="170"/>
      <c r="F64" s="170"/>
      <c r="G64" s="170"/>
      <c r="H64" s="170"/>
      <c r="I64" s="170"/>
      <c r="J64" s="170"/>
      <c r="K64" s="43">
        <v>55.0</v>
      </c>
      <c r="L64" s="56">
        <v>18.0</v>
      </c>
      <c r="M64" s="93">
        <v>18.0</v>
      </c>
      <c r="N64" s="92"/>
      <c r="O64" s="92"/>
      <c r="P64" s="129">
        <v>4325.0</v>
      </c>
      <c r="Q64" s="24"/>
      <c r="R64" s="112"/>
      <c r="S64" s="112"/>
      <c r="T64" s="112"/>
      <c r="U64" s="112"/>
      <c r="V64" s="112"/>
      <c r="W64" s="113"/>
      <c r="X64" s="114"/>
      <c r="Y64" s="114"/>
      <c r="Z64" s="114"/>
      <c r="AA64" s="115"/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4"/>
      <c r="AM64" s="24"/>
      <c r="AN64" s="24"/>
      <c r="AO64" s="24"/>
    </row>
    <row r="65" ht="14.25" customHeight="1">
      <c r="A65" s="1"/>
      <c r="B65" s="1"/>
      <c r="C65" s="1"/>
      <c r="D65" s="24"/>
      <c r="E65" s="170"/>
      <c r="F65" s="170"/>
      <c r="G65" s="170"/>
      <c r="H65" s="170"/>
      <c r="I65" s="170"/>
      <c r="J65" s="170"/>
      <c r="K65" s="43">
        <v>56.0</v>
      </c>
      <c r="L65" s="56">
        <v>40.0</v>
      </c>
      <c r="M65" s="92"/>
      <c r="N65" s="93">
        <v>40.0</v>
      </c>
      <c r="O65" s="92"/>
      <c r="P65" s="129">
        <v>4326.0</v>
      </c>
      <c r="Q65" s="24"/>
      <c r="R65" s="112"/>
      <c r="S65" s="112"/>
      <c r="T65" s="112"/>
      <c r="U65" s="112"/>
      <c r="V65" s="112"/>
      <c r="W65" s="113"/>
      <c r="X65" s="114"/>
      <c r="Y65" s="114"/>
      <c r="Z65" s="114"/>
      <c r="AA65" s="115"/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4"/>
      <c r="AM65" s="24"/>
      <c r="AN65" s="24"/>
      <c r="AO65" s="24"/>
    </row>
    <row r="66" ht="14.25" customHeight="1">
      <c r="A66" s="1"/>
      <c r="B66" s="1"/>
      <c r="C66" s="1"/>
      <c r="D66" s="24"/>
      <c r="E66" s="170"/>
      <c r="F66" s="170"/>
      <c r="G66" s="170"/>
      <c r="H66" s="170"/>
      <c r="I66" s="170"/>
      <c r="J66" s="170"/>
      <c r="K66" s="43">
        <v>57.0</v>
      </c>
      <c r="L66" s="56">
        <v>60.0</v>
      </c>
      <c r="M66" s="93">
        <v>60.0</v>
      </c>
      <c r="N66" s="92"/>
      <c r="O66" s="92"/>
      <c r="P66" s="129">
        <v>4327.0</v>
      </c>
      <c r="Q66" s="24"/>
      <c r="R66" s="112"/>
      <c r="S66" s="112"/>
      <c r="T66" s="112"/>
      <c r="U66" s="112"/>
      <c r="V66" s="112"/>
      <c r="W66" s="113"/>
      <c r="X66" s="114"/>
      <c r="Y66" s="114"/>
      <c r="Z66" s="114"/>
      <c r="AA66" s="115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4"/>
      <c r="AM66" s="24"/>
      <c r="AN66" s="24"/>
      <c r="AO66" s="24"/>
    </row>
    <row r="67" ht="14.25" customHeight="1">
      <c r="A67" s="1"/>
      <c r="B67" s="1"/>
      <c r="C67" s="1"/>
      <c r="D67" s="24"/>
      <c r="E67" s="170"/>
      <c r="F67" s="170"/>
      <c r="G67" s="170"/>
      <c r="H67" s="170"/>
      <c r="I67" s="170"/>
      <c r="J67" s="170"/>
      <c r="K67" s="43">
        <v>58.0</v>
      </c>
      <c r="L67" s="56">
        <v>406.0</v>
      </c>
      <c r="M67" s="92"/>
      <c r="N67" s="93">
        <v>406.0</v>
      </c>
      <c r="O67" s="92"/>
      <c r="P67" s="129">
        <v>4328.0</v>
      </c>
      <c r="Q67" s="24"/>
      <c r="R67" s="112"/>
      <c r="S67" s="112"/>
      <c r="T67" s="112"/>
      <c r="U67" s="112"/>
      <c r="V67" s="112"/>
      <c r="W67" s="113"/>
      <c r="X67" s="114"/>
      <c r="Y67" s="114"/>
      <c r="Z67" s="114"/>
      <c r="AA67" s="115"/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</row>
    <row r="68" ht="14.25" customHeight="1">
      <c r="A68" s="1"/>
      <c r="B68" s="1"/>
      <c r="C68" s="1"/>
      <c r="D68" s="24"/>
      <c r="E68" s="170"/>
      <c r="F68" s="170"/>
      <c r="G68" s="170"/>
      <c r="H68" s="170"/>
      <c r="I68" s="170"/>
      <c r="J68" s="170"/>
      <c r="K68" s="43">
        <v>59.0</v>
      </c>
      <c r="L68" s="56">
        <v>350.0</v>
      </c>
      <c r="M68" s="92"/>
      <c r="N68" s="93">
        <v>350.0</v>
      </c>
      <c r="O68" s="92"/>
      <c r="P68" s="129">
        <v>4329.0</v>
      </c>
      <c r="Q68" s="24"/>
      <c r="R68" s="112"/>
      <c r="S68" s="112"/>
      <c r="T68" s="112"/>
      <c r="U68" s="112"/>
      <c r="V68" s="112"/>
      <c r="W68" s="113"/>
      <c r="X68" s="114"/>
      <c r="Y68" s="114"/>
      <c r="Z68" s="114"/>
      <c r="AA68" s="115"/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4"/>
      <c r="AM68" s="24"/>
      <c r="AN68" s="24"/>
      <c r="AO68" s="24"/>
    </row>
    <row r="69" ht="14.25" customHeight="1">
      <c r="A69" s="1"/>
      <c r="B69" s="1"/>
      <c r="C69" s="1"/>
      <c r="D69" s="24"/>
      <c r="E69" s="170"/>
      <c r="F69" s="170"/>
      <c r="G69" s="170"/>
      <c r="H69" s="170"/>
      <c r="I69" s="170"/>
      <c r="J69" s="170"/>
      <c r="K69" s="43">
        <v>60.0</v>
      </c>
      <c r="L69" s="56">
        <v>36.0</v>
      </c>
      <c r="M69" s="93">
        <v>36.0</v>
      </c>
      <c r="N69" s="92"/>
      <c r="O69" s="92"/>
      <c r="P69" s="129">
        <v>4330.0</v>
      </c>
      <c r="Q69" s="24"/>
      <c r="R69" s="112"/>
      <c r="S69" s="112"/>
      <c r="T69" s="112"/>
      <c r="U69" s="112"/>
      <c r="V69" s="112"/>
      <c r="W69" s="113"/>
      <c r="X69" s="114"/>
      <c r="Y69" s="114"/>
      <c r="Z69" s="114"/>
      <c r="AA69" s="115"/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4"/>
      <c r="AM69" s="24"/>
      <c r="AN69" s="24"/>
      <c r="AO69" s="24"/>
    </row>
    <row r="70" ht="14.25" customHeight="1">
      <c r="A70" s="1"/>
      <c r="B70" s="1"/>
      <c r="C70" s="1"/>
      <c r="D70" s="24"/>
      <c r="E70" s="170"/>
      <c r="F70" s="170"/>
      <c r="G70" s="170"/>
      <c r="H70" s="170"/>
      <c r="I70" s="170"/>
      <c r="J70" s="170"/>
      <c r="K70" s="43">
        <v>61.0</v>
      </c>
      <c r="L70" s="56">
        <v>322.0</v>
      </c>
      <c r="M70" s="93">
        <v>322.0</v>
      </c>
      <c r="N70" s="92"/>
      <c r="O70" s="92"/>
      <c r="P70" s="129">
        <v>4331.0</v>
      </c>
      <c r="Q70" s="24"/>
      <c r="R70" s="112"/>
      <c r="S70" s="112"/>
      <c r="T70" s="112"/>
      <c r="U70" s="112"/>
      <c r="V70" s="112"/>
      <c r="W70" s="113"/>
      <c r="X70" s="114"/>
      <c r="Y70" s="114"/>
      <c r="Z70" s="114"/>
      <c r="AA70" s="115"/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4"/>
      <c r="AM70" s="24"/>
      <c r="AN70" s="24"/>
      <c r="AO70" s="24"/>
    </row>
    <row r="71" ht="14.25" customHeight="1">
      <c r="A71" s="1"/>
      <c r="B71" s="1"/>
      <c r="C71" s="1"/>
      <c r="D71" s="24"/>
      <c r="E71" s="170"/>
      <c r="F71" s="170"/>
      <c r="G71" s="170"/>
      <c r="H71" s="170"/>
      <c r="I71" s="170"/>
      <c r="J71" s="170"/>
      <c r="K71" s="43">
        <v>62.0</v>
      </c>
      <c r="L71" s="56">
        <v>191.0</v>
      </c>
      <c r="M71" s="93">
        <v>191.0</v>
      </c>
      <c r="N71" s="92"/>
      <c r="O71" s="92"/>
      <c r="P71" s="129">
        <v>4332.0</v>
      </c>
      <c r="Q71" s="24"/>
      <c r="R71" s="112"/>
      <c r="S71" s="112"/>
      <c r="T71" s="112"/>
      <c r="U71" s="112"/>
      <c r="V71" s="112"/>
      <c r="W71" s="113"/>
      <c r="X71" s="114"/>
      <c r="Y71" s="114"/>
      <c r="Z71" s="114"/>
      <c r="AA71" s="115"/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4"/>
      <c r="AM71" s="24"/>
      <c r="AN71" s="24"/>
      <c r="AO71" s="24"/>
    </row>
    <row r="72" ht="14.25" customHeight="1">
      <c r="A72" s="1"/>
      <c r="B72" s="1"/>
      <c r="C72" s="1"/>
      <c r="D72" s="24"/>
      <c r="E72" s="170"/>
      <c r="F72" s="170"/>
      <c r="G72" s="170"/>
      <c r="H72" s="170"/>
      <c r="I72" s="170"/>
      <c r="J72" s="170"/>
      <c r="K72" s="43">
        <v>63.0</v>
      </c>
      <c r="L72" s="56">
        <v>122.0</v>
      </c>
      <c r="M72" s="92"/>
      <c r="N72" s="93">
        <v>122.0</v>
      </c>
      <c r="O72" s="92"/>
      <c r="P72" s="129">
        <v>4333.0</v>
      </c>
      <c r="Q72" s="24"/>
      <c r="R72" s="112"/>
      <c r="S72" s="112"/>
      <c r="T72" s="112"/>
      <c r="U72" s="112"/>
      <c r="V72" s="112"/>
      <c r="W72" s="113"/>
      <c r="X72" s="114"/>
      <c r="Y72" s="114"/>
      <c r="Z72" s="114"/>
      <c r="AA72" s="115"/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4"/>
      <c r="AM72" s="24"/>
      <c r="AN72" s="24"/>
      <c r="AO72" s="24"/>
    </row>
    <row r="73" ht="14.25" customHeight="1">
      <c r="A73" s="1"/>
      <c r="B73" s="1"/>
      <c r="C73" s="1"/>
      <c r="D73" s="24"/>
      <c r="E73" s="170"/>
      <c r="F73" s="170"/>
      <c r="G73" s="170"/>
      <c r="H73" s="170"/>
      <c r="I73" s="170"/>
      <c r="J73" s="170"/>
      <c r="K73" s="43">
        <v>64.0</v>
      </c>
      <c r="L73" s="56">
        <v>187.0</v>
      </c>
      <c r="M73" s="93">
        <v>187.0</v>
      </c>
      <c r="N73" s="92"/>
      <c r="O73" s="92"/>
      <c r="P73" s="129">
        <v>4334.0</v>
      </c>
      <c r="Q73" s="24"/>
      <c r="R73" s="112"/>
      <c r="S73" s="112"/>
      <c r="T73" s="112"/>
      <c r="U73" s="112"/>
      <c r="V73" s="112"/>
      <c r="W73" s="113"/>
      <c r="X73" s="114"/>
      <c r="Y73" s="114"/>
      <c r="Z73" s="114"/>
      <c r="AA73" s="115"/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4"/>
      <c r="AM73" s="24"/>
      <c r="AN73" s="24"/>
      <c r="AO73" s="24"/>
    </row>
    <row r="74" ht="14.25" customHeight="1">
      <c r="A74" s="1"/>
      <c r="B74" s="1"/>
      <c r="C74" s="1"/>
      <c r="D74" s="24"/>
      <c r="E74" s="170"/>
      <c r="F74" s="170"/>
      <c r="G74" s="170"/>
      <c r="H74" s="170"/>
      <c r="I74" s="170"/>
      <c r="J74" s="170"/>
      <c r="K74" s="43">
        <v>65.0</v>
      </c>
      <c r="L74" s="56">
        <v>1929.0</v>
      </c>
      <c r="M74" s="92"/>
      <c r="N74" s="93">
        <v>1929.0</v>
      </c>
      <c r="O74" s="92"/>
      <c r="P74" s="129">
        <v>4335.0</v>
      </c>
      <c r="Q74" s="24"/>
      <c r="R74" s="112"/>
      <c r="S74" s="112"/>
      <c r="T74" s="112"/>
      <c r="U74" s="112"/>
      <c r="V74" s="112"/>
      <c r="W74" s="113"/>
      <c r="X74" s="114"/>
      <c r="Y74" s="114"/>
      <c r="Z74" s="114"/>
      <c r="AA74" s="115"/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4"/>
      <c r="AM74" s="24"/>
      <c r="AN74" s="24"/>
      <c r="AO74" s="24"/>
    </row>
    <row r="75" ht="14.25" customHeight="1">
      <c r="A75" s="1"/>
      <c r="B75" s="1"/>
      <c r="C75" s="1"/>
      <c r="D75" s="24"/>
      <c r="E75" s="170"/>
      <c r="F75" s="170"/>
      <c r="G75" s="170"/>
      <c r="H75" s="170"/>
      <c r="I75" s="170"/>
      <c r="J75" s="170"/>
      <c r="K75" s="43">
        <v>66.0</v>
      </c>
      <c r="L75" s="56">
        <v>1227.0</v>
      </c>
      <c r="M75" s="93">
        <v>1227.0</v>
      </c>
      <c r="N75" s="92"/>
      <c r="O75" s="92"/>
      <c r="P75" s="129">
        <v>4336.0</v>
      </c>
      <c r="Q75" s="24"/>
      <c r="R75" s="112"/>
      <c r="S75" s="112"/>
      <c r="T75" s="112"/>
      <c r="U75" s="112"/>
      <c r="V75" s="112"/>
      <c r="W75" s="113"/>
      <c r="X75" s="114"/>
      <c r="Y75" s="114"/>
      <c r="Z75" s="114"/>
      <c r="AA75" s="115"/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4"/>
      <c r="AM75" s="24"/>
      <c r="AN75" s="24"/>
      <c r="AO75" s="24"/>
    </row>
    <row r="76" ht="14.25" customHeight="1">
      <c r="A76" s="1"/>
      <c r="B76" s="1"/>
      <c r="C76" s="1"/>
      <c r="D76" s="24"/>
      <c r="E76" s="170"/>
      <c r="F76" s="170"/>
      <c r="G76" s="170"/>
      <c r="H76" s="170"/>
      <c r="I76" s="170"/>
      <c r="J76" s="170"/>
      <c r="K76" s="43">
        <v>67.0</v>
      </c>
      <c r="L76" s="56">
        <v>108.0</v>
      </c>
      <c r="M76" s="93">
        <v>108.0</v>
      </c>
      <c r="N76" s="92"/>
      <c r="O76" s="92"/>
      <c r="P76" s="129">
        <v>4337.0</v>
      </c>
      <c r="Q76" s="24"/>
      <c r="R76" s="112"/>
      <c r="S76" s="112"/>
      <c r="T76" s="112"/>
      <c r="U76" s="112"/>
      <c r="V76" s="112"/>
      <c r="W76" s="113"/>
      <c r="X76" s="114"/>
      <c r="Y76" s="114"/>
      <c r="Z76" s="114"/>
      <c r="AA76" s="115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</row>
    <row r="77" ht="14.25" customHeight="1">
      <c r="A77" s="1"/>
      <c r="B77" s="1"/>
      <c r="C77" s="1"/>
      <c r="D77" s="24"/>
      <c r="E77" s="170"/>
      <c r="F77" s="170"/>
      <c r="G77" s="170"/>
      <c r="H77" s="170"/>
      <c r="I77" s="170"/>
      <c r="J77" s="170"/>
      <c r="K77" s="43">
        <v>68.0</v>
      </c>
      <c r="L77" s="56">
        <v>194.0</v>
      </c>
      <c r="M77" s="92"/>
      <c r="N77" s="93">
        <v>194.0</v>
      </c>
      <c r="O77" s="92"/>
      <c r="P77" s="129">
        <v>4338.0</v>
      </c>
      <c r="Q77" s="24"/>
      <c r="R77" s="112"/>
      <c r="S77" s="112"/>
      <c r="T77" s="112"/>
      <c r="U77" s="112"/>
      <c r="V77" s="112"/>
      <c r="W77" s="113"/>
      <c r="X77" s="114"/>
      <c r="Y77" s="114"/>
      <c r="Z77" s="114"/>
      <c r="AA77" s="115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</row>
    <row r="78" ht="14.25" customHeight="1">
      <c r="A78" s="1"/>
      <c r="B78" s="1"/>
      <c r="C78" s="1"/>
      <c r="D78" s="24"/>
      <c r="E78" s="170"/>
      <c r="F78" s="170"/>
      <c r="G78" s="170"/>
      <c r="H78" s="170"/>
      <c r="I78" s="170"/>
      <c r="J78" s="170"/>
      <c r="K78" s="43">
        <v>69.0</v>
      </c>
      <c r="L78" s="56">
        <v>31.0</v>
      </c>
      <c r="M78" s="93">
        <v>31.0</v>
      </c>
      <c r="N78" s="92"/>
      <c r="O78" s="92"/>
      <c r="P78" s="129">
        <v>4339.0</v>
      </c>
      <c r="Q78" s="24"/>
      <c r="R78" s="112"/>
      <c r="S78" s="112"/>
      <c r="T78" s="112"/>
      <c r="U78" s="112"/>
      <c r="V78" s="112"/>
      <c r="W78" s="113"/>
      <c r="X78" s="114"/>
      <c r="Y78" s="114"/>
      <c r="Z78" s="114"/>
      <c r="AA78" s="115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</row>
    <row r="79" ht="14.25" customHeight="1">
      <c r="A79" s="1"/>
      <c r="B79" s="1"/>
      <c r="C79" s="1"/>
      <c r="D79" s="24"/>
      <c r="E79" s="170"/>
      <c r="F79" s="170"/>
      <c r="G79" s="170"/>
      <c r="H79" s="170"/>
      <c r="I79" s="170"/>
      <c r="J79" s="170"/>
      <c r="K79" s="43">
        <v>70.0</v>
      </c>
      <c r="L79" s="56">
        <v>175.0</v>
      </c>
      <c r="M79" s="92"/>
      <c r="N79" s="93">
        <v>175.0</v>
      </c>
      <c r="O79" s="92"/>
      <c r="P79" s="129">
        <v>4340.0</v>
      </c>
      <c r="Q79" s="24"/>
      <c r="R79" s="112"/>
      <c r="S79" s="112"/>
      <c r="T79" s="112"/>
      <c r="U79" s="112"/>
      <c r="V79" s="112"/>
      <c r="W79" s="113"/>
      <c r="X79" s="114"/>
      <c r="Y79" s="114"/>
      <c r="Z79" s="114"/>
      <c r="AA79" s="115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</row>
    <row r="80" ht="14.25" customHeight="1">
      <c r="A80" s="1"/>
      <c r="B80" s="1"/>
      <c r="C80" s="1"/>
      <c r="D80" s="24"/>
      <c r="E80" s="170"/>
      <c r="F80" s="170"/>
      <c r="G80" s="170"/>
      <c r="H80" s="170"/>
      <c r="I80" s="170"/>
      <c r="J80" s="170"/>
      <c r="K80" s="43">
        <v>71.0</v>
      </c>
      <c r="L80" s="56">
        <v>119.0</v>
      </c>
      <c r="M80" s="93">
        <v>119.0</v>
      </c>
      <c r="N80" s="92"/>
      <c r="O80" s="92"/>
      <c r="P80" s="129">
        <v>4341.0</v>
      </c>
      <c r="Q80" s="24"/>
      <c r="R80" s="112"/>
      <c r="S80" s="112"/>
      <c r="T80" s="112"/>
      <c r="U80" s="112"/>
      <c r="V80" s="112"/>
      <c r="W80" s="113"/>
      <c r="X80" s="114"/>
      <c r="Y80" s="114"/>
      <c r="Z80" s="114"/>
      <c r="AA80" s="115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</row>
    <row r="81" ht="14.25" customHeight="1">
      <c r="A81" s="1"/>
      <c r="B81" s="1"/>
      <c r="C81" s="1"/>
      <c r="D81" s="24"/>
      <c r="E81" s="170"/>
      <c r="F81" s="170"/>
      <c r="G81" s="170"/>
      <c r="H81" s="170"/>
      <c r="I81" s="170"/>
      <c r="J81" s="170"/>
      <c r="K81" s="43">
        <v>72.0</v>
      </c>
      <c r="L81" s="56">
        <v>6201.0</v>
      </c>
      <c r="M81" s="92"/>
      <c r="N81" s="153">
        <v>6201.0</v>
      </c>
      <c r="O81" s="92"/>
      <c r="P81" s="129" t="s">
        <v>132</v>
      </c>
      <c r="Q81" s="24"/>
      <c r="R81" s="112"/>
      <c r="S81" s="112"/>
      <c r="T81" s="112"/>
      <c r="U81" s="112"/>
      <c r="V81" s="112"/>
      <c r="W81" s="113"/>
      <c r="X81" s="114"/>
      <c r="Y81" s="114"/>
      <c r="Z81" s="114"/>
      <c r="AA81" s="115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</row>
    <row r="82" ht="14.25" customHeight="1">
      <c r="A82" s="1"/>
      <c r="B82" s="1"/>
      <c r="C82" s="1"/>
      <c r="D82" s="24"/>
      <c r="E82" s="170"/>
      <c r="F82" s="170"/>
      <c r="G82" s="170"/>
      <c r="H82" s="170"/>
      <c r="I82" s="170"/>
      <c r="J82" s="170"/>
      <c r="K82" s="43">
        <v>73.0</v>
      </c>
      <c r="L82" s="152">
        <v>29.0</v>
      </c>
      <c r="M82" s="54">
        <v>29.0</v>
      </c>
      <c r="N82" s="61"/>
      <c r="O82" s="61"/>
      <c r="P82" s="129">
        <v>4343.0</v>
      </c>
      <c r="Q82" s="24"/>
      <c r="R82" s="112"/>
      <c r="S82" s="112"/>
      <c r="T82" s="112"/>
      <c r="U82" s="112"/>
      <c r="V82" s="112"/>
      <c r="W82" s="113"/>
      <c r="X82" s="114"/>
      <c r="Y82" s="114"/>
      <c r="Z82" s="114"/>
      <c r="AA82" s="115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</row>
    <row r="83" ht="14.25" customHeight="1">
      <c r="A83" s="1"/>
      <c r="B83" s="1"/>
      <c r="C83" s="1"/>
      <c r="D83" s="24"/>
      <c r="E83" s="170"/>
      <c r="F83" s="170"/>
      <c r="G83" s="170"/>
      <c r="H83" s="170"/>
      <c r="I83" s="170"/>
      <c r="J83" s="170"/>
      <c r="K83" s="43">
        <v>74.0</v>
      </c>
      <c r="L83" s="152">
        <v>145.0</v>
      </c>
      <c r="M83" s="54">
        <v>145.0</v>
      </c>
      <c r="N83" s="61"/>
      <c r="O83" s="61"/>
      <c r="P83" s="129">
        <v>4344.0</v>
      </c>
      <c r="Q83" s="24"/>
      <c r="R83" s="112"/>
      <c r="S83" s="112"/>
      <c r="T83" s="112"/>
      <c r="U83" s="112"/>
      <c r="V83" s="112"/>
      <c r="W83" s="113"/>
      <c r="X83" s="114"/>
      <c r="Y83" s="114"/>
      <c r="Z83" s="114"/>
      <c r="AA83" s="115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</row>
    <row r="84" ht="14.25" customHeight="1">
      <c r="A84" s="1"/>
      <c r="B84" s="1"/>
      <c r="C84" s="1"/>
      <c r="D84" s="24"/>
      <c r="E84" s="170"/>
      <c r="F84" s="170"/>
      <c r="G84" s="170"/>
      <c r="H84" s="170"/>
      <c r="I84" s="170"/>
      <c r="J84" s="170"/>
      <c r="K84" s="43">
        <v>75.0</v>
      </c>
      <c r="L84" s="152">
        <v>30.0</v>
      </c>
      <c r="M84" s="54">
        <v>30.0</v>
      </c>
      <c r="N84" s="61"/>
      <c r="O84" s="61"/>
      <c r="P84" s="129">
        <v>4345.0</v>
      </c>
      <c r="Q84" s="24"/>
      <c r="R84" s="112"/>
      <c r="S84" s="112"/>
      <c r="T84" s="112"/>
      <c r="U84" s="112"/>
      <c r="V84" s="112"/>
      <c r="W84" s="113"/>
      <c r="X84" s="114"/>
      <c r="Y84" s="114"/>
      <c r="Z84" s="114"/>
      <c r="AA84" s="115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</row>
    <row r="85" ht="14.25" customHeight="1">
      <c r="A85" s="1"/>
      <c r="B85" s="1"/>
      <c r="C85" s="1"/>
      <c r="D85" s="24"/>
      <c r="E85" s="170"/>
      <c r="F85" s="170"/>
      <c r="G85" s="170"/>
      <c r="H85" s="170"/>
      <c r="I85" s="170"/>
      <c r="J85" s="170"/>
      <c r="K85" s="43">
        <v>76.0</v>
      </c>
      <c r="L85" s="152">
        <v>307.0</v>
      </c>
      <c r="M85" s="61"/>
      <c r="N85" s="54">
        <v>307.0</v>
      </c>
      <c r="O85" s="61"/>
      <c r="P85" s="129">
        <v>4346.0</v>
      </c>
      <c r="Q85" s="24"/>
      <c r="R85" s="112"/>
      <c r="S85" s="112"/>
      <c r="T85" s="112"/>
      <c r="U85" s="112"/>
      <c r="V85" s="112"/>
      <c r="W85" s="113"/>
      <c r="X85" s="114"/>
      <c r="Y85" s="114"/>
      <c r="Z85" s="114"/>
      <c r="AA85" s="115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</row>
    <row r="86" ht="14.25" customHeight="1">
      <c r="A86" s="1"/>
      <c r="B86" s="1"/>
      <c r="C86" s="1"/>
      <c r="D86" s="24"/>
      <c r="E86" s="170"/>
      <c r="F86" s="170"/>
      <c r="G86" s="170"/>
      <c r="H86" s="170"/>
      <c r="I86" s="170"/>
      <c r="J86" s="170"/>
      <c r="K86" s="43">
        <v>77.0</v>
      </c>
      <c r="L86" s="152">
        <v>160.0</v>
      </c>
      <c r="M86" s="61"/>
      <c r="N86" s="54">
        <v>160.0</v>
      </c>
      <c r="O86" s="61"/>
      <c r="P86" s="129">
        <v>4347.0</v>
      </c>
      <c r="Q86" s="24"/>
      <c r="R86" s="112"/>
      <c r="S86" s="112"/>
      <c r="T86" s="112"/>
      <c r="U86" s="112"/>
      <c r="V86" s="112"/>
      <c r="W86" s="113"/>
      <c r="X86" s="114"/>
      <c r="Y86" s="114"/>
      <c r="Z86" s="114"/>
      <c r="AA86" s="115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</row>
    <row r="87" ht="14.25" customHeight="1">
      <c r="A87" s="1"/>
      <c r="B87" s="1"/>
      <c r="C87" s="1"/>
      <c r="D87" s="24"/>
      <c r="E87" s="170"/>
      <c r="F87" s="170"/>
      <c r="G87" s="170"/>
      <c r="H87" s="170"/>
      <c r="I87" s="170"/>
      <c r="J87" s="170"/>
      <c r="K87" s="43">
        <v>78.0</v>
      </c>
      <c r="L87" s="152">
        <v>187.0</v>
      </c>
      <c r="M87" s="54">
        <v>187.0</v>
      </c>
      <c r="N87" s="61"/>
      <c r="O87" s="61"/>
      <c r="P87" s="129">
        <v>4348.0</v>
      </c>
      <c r="Q87" s="24"/>
      <c r="R87" s="112"/>
      <c r="S87" s="112"/>
      <c r="T87" s="112"/>
      <c r="U87" s="112"/>
      <c r="V87" s="112"/>
      <c r="W87" s="113"/>
      <c r="X87" s="114"/>
      <c r="Y87" s="114"/>
      <c r="Z87" s="114"/>
      <c r="AA87" s="115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</row>
    <row r="88" ht="14.25" customHeight="1">
      <c r="A88" s="1"/>
      <c r="B88" s="1"/>
      <c r="C88" s="1"/>
      <c r="D88" s="24"/>
      <c r="E88" s="170"/>
      <c r="F88" s="170"/>
      <c r="G88" s="170"/>
      <c r="H88" s="170"/>
      <c r="I88" s="170"/>
      <c r="J88" s="170"/>
      <c r="K88" s="43">
        <v>79.0</v>
      </c>
      <c r="L88" s="152">
        <v>242.0</v>
      </c>
      <c r="M88" s="61"/>
      <c r="N88" s="54">
        <v>242.0</v>
      </c>
      <c r="O88" s="61"/>
      <c r="P88" s="129">
        <v>4349.0</v>
      </c>
      <c r="Q88" s="24"/>
      <c r="R88" s="112"/>
      <c r="S88" s="112"/>
      <c r="T88" s="112"/>
      <c r="U88" s="112"/>
      <c r="V88" s="112"/>
      <c r="W88" s="113"/>
      <c r="X88" s="114"/>
      <c r="Y88" s="114"/>
      <c r="Z88" s="114"/>
      <c r="AA88" s="115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</row>
    <row r="89" ht="14.25" customHeight="1">
      <c r="A89" s="1"/>
      <c r="B89" s="1"/>
      <c r="C89" s="1"/>
      <c r="D89" s="24"/>
      <c r="E89" s="170"/>
      <c r="F89" s="170"/>
      <c r="G89" s="170"/>
      <c r="H89" s="170"/>
      <c r="I89" s="170"/>
      <c r="J89" s="170"/>
      <c r="K89" s="43">
        <v>80.0</v>
      </c>
      <c r="L89" s="152">
        <v>10.0</v>
      </c>
      <c r="M89" s="54">
        <v>10.0</v>
      </c>
      <c r="N89" s="61"/>
      <c r="O89" s="61"/>
      <c r="P89" s="129">
        <v>4350.0</v>
      </c>
      <c r="Q89" s="24"/>
      <c r="R89" s="112"/>
      <c r="S89" s="112"/>
      <c r="T89" s="112"/>
      <c r="U89" s="112"/>
      <c r="V89" s="112"/>
      <c r="W89" s="113"/>
      <c r="X89" s="114"/>
      <c r="Y89" s="114"/>
      <c r="Z89" s="114"/>
      <c r="AA89" s="115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</row>
    <row r="90" ht="14.25" customHeight="1">
      <c r="A90" s="1"/>
      <c r="B90" s="1"/>
      <c r="C90" s="1"/>
      <c r="D90" s="24"/>
      <c r="E90" s="170"/>
      <c r="F90" s="170"/>
      <c r="G90" s="170"/>
      <c r="H90" s="170"/>
      <c r="I90" s="170"/>
      <c r="J90" s="170"/>
      <c r="K90" s="43">
        <v>81.0</v>
      </c>
      <c r="L90" s="152">
        <v>265.0</v>
      </c>
      <c r="M90" s="54">
        <v>265.0</v>
      </c>
      <c r="N90" s="61"/>
      <c r="O90" s="61"/>
      <c r="P90" s="129">
        <v>4351.0</v>
      </c>
      <c r="Q90" s="24"/>
      <c r="R90" s="112"/>
      <c r="S90" s="112"/>
      <c r="T90" s="112"/>
      <c r="U90" s="112"/>
      <c r="V90" s="112"/>
      <c r="W90" s="113"/>
      <c r="X90" s="114"/>
      <c r="Y90" s="114"/>
      <c r="Z90" s="114"/>
      <c r="AA90" s="115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</row>
    <row r="91" ht="14.25" customHeight="1">
      <c r="A91" s="1"/>
      <c r="B91" s="1"/>
      <c r="C91" s="1"/>
      <c r="D91" s="24"/>
      <c r="E91" s="170"/>
      <c r="F91" s="170"/>
      <c r="G91" s="170"/>
      <c r="H91" s="170"/>
      <c r="I91" s="170"/>
      <c r="J91" s="170"/>
      <c r="K91" s="43">
        <v>82.0</v>
      </c>
      <c r="L91" s="152">
        <v>1239.0</v>
      </c>
      <c r="M91" s="54">
        <v>1239.0</v>
      </c>
      <c r="N91" s="61"/>
      <c r="O91" s="61"/>
      <c r="P91" s="129">
        <v>4352.0</v>
      </c>
      <c r="Q91" s="24"/>
      <c r="R91" s="112"/>
      <c r="S91" s="112"/>
      <c r="T91" s="112"/>
      <c r="U91" s="112"/>
      <c r="V91" s="112"/>
      <c r="W91" s="113"/>
      <c r="X91" s="114"/>
      <c r="Y91" s="114"/>
      <c r="Z91" s="114"/>
      <c r="AA91" s="115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</row>
    <row r="92" ht="14.25" customHeight="1">
      <c r="A92" s="1"/>
      <c r="B92" s="1"/>
      <c r="C92" s="1"/>
      <c r="D92" s="24"/>
      <c r="E92" s="170"/>
      <c r="F92" s="170"/>
      <c r="G92" s="170"/>
      <c r="H92" s="170"/>
      <c r="I92" s="170"/>
      <c r="J92" s="170"/>
      <c r="K92" s="43">
        <v>83.0</v>
      </c>
      <c r="L92" s="152">
        <v>263.0</v>
      </c>
      <c r="M92" s="54">
        <v>263.0</v>
      </c>
      <c r="N92" s="61"/>
      <c r="O92" s="61"/>
      <c r="P92" s="129">
        <v>4353.0</v>
      </c>
      <c r="Q92" s="24"/>
      <c r="R92" s="112"/>
      <c r="S92" s="112"/>
      <c r="T92" s="112"/>
      <c r="U92" s="112"/>
      <c r="V92" s="112"/>
      <c r="W92" s="113"/>
      <c r="X92" s="114"/>
      <c r="Y92" s="114"/>
      <c r="Z92" s="114"/>
      <c r="AA92" s="115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</row>
    <row r="93" ht="14.25" customHeight="1">
      <c r="A93" s="1"/>
      <c r="B93" s="1"/>
      <c r="C93" s="1"/>
      <c r="D93" s="24"/>
      <c r="E93" s="170"/>
      <c r="F93" s="170"/>
      <c r="G93" s="170"/>
      <c r="H93" s="170"/>
      <c r="I93" s="170"/>
      <c r="J93" s="170"/>
      <c r="K93" s="43">
        <v>84.0</v>
      </c>
      <c r="L93" s="152">
        <v>12.0</v>
      </c>
      <c r="M93" s="54">
        <v>12.0</v>
      </c>
      <c r="N93" s="61"/>
      <c r="O93" s="61"/>
      <c r="P93" s="129">
        <v>4354.0</v>
      </c>
      <c r="Q93" s="24"/>
      <c r="R93" s="112"/>
      <c r="S93" s="112"/>
      <c r="T93" s="112"/>
      <c r="U93" s="112"/>
      <c r="V93" s="112"/>
      <c r="W93" s="113"/>
      <c r="X93" s="114"/>
      <c r="Y93" s="114"/>
      <c r="Z93" s="114"/>
      <c r="AA93" s="115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</row>
    <row r="94" ht="14.25" customHeight="1">
      <c r="A94" s="1"/>
      <c r="B94" s="1"/>
      <c r="C94" s="1"/>
      <c r="D94" s="24"/>
      <c r="E94" s="170"/>
      <c r="F94" s="170"/>
      <c r="G94" s="170"/>
      <c r="H94" s="170"/>
      <c r="I94" s="170"/>
      <c r="J94" s="170"/>
      <c r="K94" s="43">
        <v>85.0</v>
      </c>
      <c r="L94" s="152">
        <v>1906.0</v>
      </c>
      <c r="M94" s="54">
        <v>1906.0</v>
      </c>
      <c r="N94" s="61"/>
      <c r="O94" s="61"/>
      <c r="P94" s="129">
        <v>4355.0</v>
      </c>
      <c r="Q94" s="24"/>
      <c r="R94" s="112"/>
      <c r="S94" s="112"/>
      <c r="T94" s="112"/>
      <c r="U94" s="112"/>
      <c r="V94" s="112"/>
      <c r="W94" s="113"/>
      <c r="X94" s="114"/>
      <c r="Y94" s="114"/>
      <c r="Z94" s="114"/>
      <c r="AA94" s="115"/>
      <c r="AB94" s="24"/>
      <c r="AC94" s="24"/>
      <c r="AD94" s="24"/>
      <c r="AE94" s="24"/>
      <c r="AF94" s="24"/>
      <c r="AG94" s="24"/>
      <c r="AH94" s="24"/>
      <c r="AI94" s="24"/>
      <c r="AJ94" s="24"/>
      <c r="AK94" s="24"/>
      <c r="AL94" s="24"/>
      <c r="AM94" s="24"/>
      <c r="AN94" s="24"/>
      <c r="AO94" s="24"/>
    </row>
    <row r="95" ht="14.25" customHeight="1">
      <c r="A95" s="1"/>
      <c r="B95" s="1"/>
      <c r="C95" s="1"/>
      <c r="D95" s="24"/>
      <c r="E95" s="170"/>
      <c r="F95" s="170"/>
      <c r="G95" s="170"/>
      <c r="H95" s="170"/>
      <c r="I95" s="170"/>
      <c r="J95" s="170"/>
      <c r="K95" s="43">
        <v>86.0</v>
      </c>
      <c r="L95" s="152">
        <v>190.0</v>
      </c>
      <c r="M95" s="61"/>
      <c r="N95" s="54">
        <v>190.0</v>
      </c>
      <c r="O95" s="61"/>
      <c r="P95" s="129">
        <v>4356.0</v>
      </c>
      <c r="Q95" s="24"/>
      <c r="R95" s="112"/>
      <c r="S95" s="112"/>
      <c r="T95" s="112"/>
      <c r="U95" s="112"/>
      <c r="V95" s="112"/>
      <c r="W95" s="113"/>
      <c r="X95" s="114"/>
      <c r="Y95" s="114"/>
      <c r="Z95" s="114"/>
      <c r="AA95" s="115"/>
      <c r="AB95" s="24"/>
      <c r="AC95" s="24"/>
      <c r="AD95" s="24"/>
      <c r="AE95" s="24"/>
      <c r="AF95" s="24"/>
      <c r="AG95" s="24"/>
      <c r="AH95" s="24"/>
      <c r="AI95" s="24"/>
      <c r="AJ95" s="24"/>
      <c r="AK95" s="24"/>
      <c r="AL95" s="24"/>
      <c r="AM95" s="24"/>
      <c r="AN95" s="24"/>
      <c r="AO95" s="24"/>
    </row>
    <row r="96" ht="14.25" customHeight="1">
      <c r="A96" s="1"/>
      <c r="B96" s="1"/>
      <c r="C96" s="1"/>
      <c r="D96" s="24"/>
      <c r="E96" s="170"/>
      <c r="F96" s="170"/>
      <c r="G96" s="170"/>
      <c r="H96" s="170"/>
      <c r="I96" s="170"/>
      <c r="J96" s="170"/>
      <c r="K96" s="43">
        <v>87.0</v>
      </c>
      <c r="L96" s="152">
        <v>174.0</v>
      </c>
      <c r="M96" s="54">
        <v>174.0</v>
      </c>
      <c r="N96" s="61"/>
      <c r="O96" s="61"/>
      <c r="P96" s="129">
        <v>4357.0</v>
      </c>
      <c r="Q96" s="24"/>
      <c r="R96" s="112"/>
      <c r="S96" s="112"/>
      <c r="T96" s="112"/>
      <c r="U96" s="112"/>
      <c r="V96" s="112"/>
      <c r="W96" s="113"/>
      <c r="X96" s="114"/>
      <c r="Y96" s="114"/>
      <c r="Z96" s="114"/>
      <c r="AA96" s="115"/>
      <c r="AB96" s="24"/>
      <c r="AC96" s="24"/>
      <c r="AD96" s="24"/>
      <c r="AE96" s="24"/>
      <c r="AF96" s="24"/>
      <c r="AG96" s="24"/>
      <c r="AH96" s="24"/>
      <c r="AI96" s="24"/>
      <c r="AJ96" s="24"/>
      <c r="AK96" s="24"/>
      <c r="AL96" s="24"/>
      <c r="AM96" s="24"/>
      <c r="AN96" s="24"/>
      <c r="AO96" s="24"/>
    </row>
    <row r="97" ht="14.25" customHeight="1">
      <c r="A97" s="1"/>
      <c r="B97" s="1"/>
      <c r="C97" s="1"/>
      <c r="D97" s="24"/>
      <c r="E97" s="170"/>
      <c r="F97" s="170"/>
      <c r="G97" s="170"/>
      <c r="H97" s="170"/>
      <c r="I97" s="170"/>
      <c r="J97" s="170"/>
      <c r="K97" s="43">
        <v>88.0</v>
      </c>
      <c r="L97" s="152">
        <v>70.0</v>
      </c>
      <c r="M97" s="54">
        <v>70.0</v>
      </c>
      <c r="N97" s="61"/>
      <c r="O97" s="61"/>
      <c r="P97" s="129">
        <v>4358.0</v>
      </c>
      <c r="Q97" s="24"/>
      <c r="R97" s="112"/>
      <c r="S97" s="112"/>
      <c r="T97" s="112"/>
      <c r="U97" s="112"/>
      <c r="V97" s="112"/>
      <c r="W97" s="113"/>
      <c r="X97" s="114"/>
      <c r="Y97" s="114"/>
      <c r="Z97" s="114"/>
      <c r="AA97" s="115"/>
      <c r="AB97" s="24"/>
      <c r="AC97" s="24"/>
      <c r="AD97" s="24"/>
      <c r="AE97" s="24"/>
      <c r="AF97" s="24"/>
      <c r="AG97" s="24"/>
      <c r="AH97" s="24"/>
      <c r="AI97" s="24"/>
      <c r="AJ97" s="24"/>
      <c r="AK97" s="24"/>
      <c r="AL97" s="24"/>
      <c r="AM97" s="24"/>
      <c r="AN97" s="24"/>
      <c r="AO97" s="24"/>
    </row>
    <row r="98" ht="14.25" customHeight="1">
      <c r="A98" s="1"/>
      <c r="B98" s="1"/>
      <c r="C98" s="1"/>
      <c r="D98" s="24"/>
      <c r="E98" s="170"/>
      <c r="F98" s="170"/>
      <c r="G98" s="170"/>
      <c r="H98" s="170"/>
      <c r="I98" s="170"/>
      <c r="J98" s="170"/>
      <c r="K98" s="43">
        <v>89.0</v>
      </c>
      <c r="L98" s="152">
        <v>112.0</v>
      </c>
      <c r="M98" s="61"/>
      <c r="N98" s="54">
        <v>112.0</v>
      </c>
      <c r="O98" s="61"/>
      <c r="P98" s="129">
        <v>4359.0</v>
      </c>
      <c r="Q98" s="24"/>
      <c r="R98" s="112"/>
      <c r="S98" s="112"/>
      <c r="T98" s="112"/>
      <c r="U98" s="112"/>
      <c r="V98" s="112"/>
      <c r="W98" s="113"/>
      <c r="X98" s="114"/>
      <c r="Y98" s="114"/>
      <c r="Z98" s="114"/>
      <c r="AA98" s="115"/>
      <c r="AB98" s="24"/>
      <c r="AC98" s="24"/>
      <c r="AD98" s="24"/>
      <c r="AE98" s="24"/>
      <c r="AF98" s="24"/>
      <c r="AG98" s="24"/>
      <c r="AH98" s="24"/>
      <c r="AI98" s="24"/>
      <c r="AJ98" s="24"/>
      <c r="AK98" s="24"/>
      <c r="AL98" s="24"/>
      <c r="AM98" s="24"/>
      <c r="AN98" s="24"/>
      <c r="AO98" s="24"/>
    </row>
    <row r="99" ht="14.25" customHeight="1">
      <c r="A99" s="1"/>
      <c r="B99" s="1"/>
      <c r="C99" s="1"/>
      <c r="D99" s="24"/>
      <c r="E99" s="170"/>
      <c r="F99" s="170"/>
      <c r="G99" s="170"/>
      <c r="H99" s="170"/>
      <c r="I99" s="170"/>
      <c r="J99" s="170"/>
      <c r="K99" s="43">
        <v>90.0</v>
      </c>
      <c r="L99" s="152">
        <v>2071.0</v>
      </c>
      <c r="M99" s="61"/>
      <c r="N99" s="61"/>
      <c r="O99" s="54">
        <v>2071.0</v>
      </c>
      <c r="P99" s="129">
        <v>4360.0</v>
      </c>
      <c r="Q99" s="24"/>
      <c r="R99" s="112"/>
      <c r="S99" s="112"/>
      <c r="T99" s="112"/>
      <c r="U99" s="112"/>
      <c r="V99" s="112"/>
      <c r="W99" s="113"/>
      <c r="X99" s="114"/>
      <c r="Y99" s="114"/>
      <c r="Z99" s="114"/>
      <c r="AA99" s="115"/>
      <c r="AB99" s="24"/>
      <c r="AC99" s="24"/>
      <c r="AD99" s="24"/>
      <c r="AE99" s="24"/>
      <c r="AF99" s="24"/>
      <c r="AG99" s="24"/>
      <c r="AH99" s="24"/>
      <c r="AI99" s="24"/>
      <c r="AJ99" s="24"/>
      <c r="AK99" s="24"/>
      <c r="AL99" s="24"/>
      <c r="AM99" s="24"/>
      <c r="AN99" s="24"/>
      <c r="AO99" s="24"/>
    </row>
    <row r="100" ht="14.25" customHeight="1">
      <c r="A100" s="1"/>
      <c r="B100" s="1"/>
      <c r="C100" s="1"/>
      <c r="D100" s="24"/>
      <c r="E100" s="170"/>
      <c r="F100" s="170"/>
      <c r="G100" s="170"/>
      <c r="H100" s="170"/>
      <c r="I100" s="170"/>
      <c r="J100" s="170"/>
      <c r="K100" s="43">
        <v>91.0</v>
      </c>
      <c r="L100" s="121"/>
      <c r="M100" s="61"/>
      <c r="N100" s="54" t="s">
        <v>42</v>
      </c>
      <c r="O100" s="61"/>
      <c r="P100" s="129">
        <v>4361.0</v>
      </c>
      <c r="Q100" s="24"/>
      <c r="R100" s="112"/>
      <c r="S100" s="112"/>
      <c r="T100" s="112"/>
      <c r="U100" s="112"/>
      <c r="V100" s="112"/>
      <c r="W100" s="113"/>
      <c r="X100" s="114"/>
      <c r="Y100" s="114"/>
      <c r="Z100" s="114"/>
      <c r="AA100" s="115"/>
      <c r="AB100" s="24"/>
      <c r="AC100" s="24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</row>
    <row r="101" ht="14.25" customHeight="1">
      <c r="A101" s="1"/>
      <c r="B101" s="1"/>
      <c r="C101" s="1"/>
      <c r="D101" s="24"/>
      <c r="E101" s="170"/>
      <c r="F101" s="170"/>
      <c r="G101" s="170"/>
      <c r="H101" s="170"/>
      <c r="I101" s="170"/>
      <c r="J101" s="170"/>
      <c r="K101" s="43">
        <v>92.0</v>
      </c>
      <c r="L101" s="121"/>
      <c r="M101" s="61"/>
      <c r="N101" s="54" t="s">
        <v>42</v>
      </c>
      <c r="O101" s="61"/>
      <c r="P101" s="129">
        <v>4362.0</v>
      </c>
      <c r="Q101" s="24"/>
      <c r="R101" s="112"/>
      <c r="S101" s="112"/>
      <c r="T101" s="112"/>
      <c r="U101" s="112"/>
      <c r="V101" s="112"/>
      <c r="W101" s="113"/>
      <c r="X101" s="114"/>
      <c r="Y101" s="114"/>
      <c r="Z101" s="114"/>
      <c r="AA101" s="115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4"/>
      <c r="AM101" s="24"/>
      <c r="AN101" s="24"/>
      <c r="AO101" s="24"/>
    </row>
    <row r="102" ht="14.25" customHeight="1">
      <c r="A102" s="1"/>
      <c r="B102" s="1"/>
      <c r="C102" s="1"/>
      <c r="D102" s="24"/>
      <c r="E102" s="170"/>
      <c r="F102" s="170"/>
      <c r="G102" s="170"/>
      <c r="H102" s="170"/>
      <c r="I102" s="170"/>
      <c r="J102" s="170"/>
      <c r="K102" s="43">
        <v>93.0</v>
      </c>
      <c r="L102" s="121"/>
      <c r="M102" s="61"/>
      <c r="N102" s="54" t="s">
        <v>42</v>
      </c>
      <c r="O102" s="61"/>
      <c r="P102" s="129">
        <v>4363.0</v>
      </c>
      <c r="Q102" s="24"/>
      <c r="R102" s="112"/>
      <c r="S102" s="112"/>
      <c r="T102" s="112"/>
      <c r="U102" s="112"/>
      <c r="V102" s="112"/>
      <c r="W102" s="113"/>
      <c r="X102" s="114"/>
      <c r="Y102" s="114"/>
      <c r="Z102" s="114"/>
      <c r="AA102" s="115"/>
      <c r="AB102" s="24"/>
      <c r="AC102" s="24"/>
      <c r="AD102" s="24"/>
      <c r="AE102" s="24"/>
      <c r="AF102" s="24"/>
      <c r="AG102" s="24"/>
      <c r="AH102" s="24"/>
      <c r="AI102" s="24"/>
      <c r="AJ102" s="24"/>
      <c r="AK102" s="24"/>
      <c r="AL102" s="24"/>
      <c r="AM102" s="24"/>
      <c r="AN102" s="24"/>
      <c r="AO102" s="24"/>
    </row>
    <row r="103" ht="14.25" customHeight="1">
      <c r="A103" s="1"/>
      <c r="B103" s="1"/>
      <c r="C103" s="1"/>
      <c r="D103" s="24"/>
      <c r="E103" s="170"/>
      <c r="F103" s="170"/>
      <c r="G103" s="170"/>
      <c r="H103" s="170"/>
      <c r="I103" s="170"/>
      <c r="J103" s="170"/>
      <c r="K103" s="172" t="s">
        <v>42</v>
      </c>
      <c r="L103" s="121"/>
      <c r="M103" s="61"/>
      <c r="N103" s="61"/>
      <c r="O103" s="61"/>
      <c r="P103" s="46"/>
      <c r="Q103" s="24"/>
      <c r="R103" s="112"/>
      <c r="S103" s="112"/>
      <c r="T103" s="112"/>
      <c r="U103" s="112"/>
      <c r="V103" s="112"/>
      <c r="W103" s="113"/>
      <c r="X103" s="114"/>
      <c r="Y103" s="114"/>
      <c r="Z103" s="114"/>
      <c r="AA103" s="115"/>
      <c r="AB103" s="24"/>
      <c r="AC103" s="24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</row>
    <row r="104" ht="14.25" customHeight="1">
      <c r="A104" s="1"/>
      <c r="B104" s="1"/>
      <c r="C104" s="1"/>
      <c r="D104" s="1"/>
      <c r="E104" s="173"/>
      <c r="F104" s="173"/>
      <c r="G104" s="173"/>
      <c r="H104" s="173"/>
      <c r="I104" s="173"/>
      <c r="J104" s="173"/>
      <c r="K104" s="122"/>
      <c r="L104" s="123">
        <f t="shared" ref="L104:O104" si="4">SUM(L10:L103)</f>
        <v>37035</v>
      </c>
      <c r="M104" s="123">
        <f t="shared" si="4"/>
        <v>15217</v>
      </c>
      <c r="N104" s="123">
        <f t="shared" si="4"/>
        <v>19747</v>
      </c>
      <c r="O104" s="123">
        <f t="shared" si="4"/>
        <v>2071</v>
      </c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ht="14.25" customHeight="1">
      <c r="A105" s="1"/>
      <c r="B105" s="118"/>
      <c r="C105" s="118"/>
      <c r="D105" s="1"/>
      <c r="E105" s="124"/>
      <c r="F105" s="124"/>
      <c r="G105" s="124"/>
      <c r="H105" s="124"/>
      <c r="I105" s="124"/>
      <c r="J105" s="124"/>
      <c r="K105" s="124"/>
      <c r="L105" s="124"/>
      <c r="M105" s="124"/>
      <c r="N105" s="124"/>
      <c r="O105" s="125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ht="14.25" customHeight="1">
      <c r="A106" s="1"/>
      <c r="B106" s="118"/>
      <c r="C106" s="1"/>
      <c r="D106" s="1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ht="14.25" customHeight="1">
      <c r="A107" s="1"/>
      <c r="B107" s="1"/>
      <c r="C107" s="1"/>
      <c r="D107" s="1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ht="14.25" customHeight="1">
      <c r="A108" s="1"/>
      <c r="B108" s="1"/>
      <c r="C108" s="1"/>
      <c r="D108" s="1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ht="14.25" customHeight="1">
      <c r="A109" s="1"/>
      <c r="B109" s="1"/>
      <c r="C109" s="1"/>
      <c r="D109" s="1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ht="14.25" customHeight="1">
      <c r="A110" s="1"/>
      <c r="B110" s="1"/>
      <c r="C110" s="1"/>
      <c r="D110" s="1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26"/>
      <c r="N117" s="127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mergeCells count="25">
    <mergeCell ref="AA8:AA9"/>
    <mergeCell ref="AC8:AC9"/>
    <mergeCell ref="B3:AE3"/>
    <mergeCell ref="K5:P7"/>
    <mergeCell ref="R5:T7"/>
    <mergeCell ref="V5:AA7"/>
    <mergeCell ref="AC5:AE7"/>
    <mergeCell ref="K8:K9"/>
    <mergeCell ref="L8:L9"/>
    <mergeCell ref="M8:M9"/>
    <mergeCell ref="N8:N9"/>
    <mergeCell ref="B36:C37"/>
    <mergeCell ref="O8:O9"/>
    <mergeCell ref="P8:P9"/>
    <mergeCell ref="R8:R9"/>
    <mergeCell ref="S8:S9"/>
    <mergeCell ref="T8:T9"/>
    <mergeCell ref="V8:V9"/>
    <mergeCell ref="W8:W9"/>
    <mergeCell ref="X8:X9"/>
    <mergeCell ref="V31:W31"/>
    <mergeCell ref="Y8:Y9"/>
    <mergeCell ref="Z8:Z9"/>
    <mergeCell ref="AD8:AD9"/>
    <mergeCell ref="AE8:AE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90809.0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395189.0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57044.0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38709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19955</v>
      </c>
      <c r="D10" s="24"/>
      <c r="E10" s="43">
        <v>1.0</v>
      </c>
      <c r="F10" s="44">
        <v>699.0</v>
      </c>
      <c r="G10" s="45">
        <v>699.0</v>
      </c>
      <c r="H10" s="45"/>
      <c r="I10" s="45"/>
      <c r="J10" s="129">
        <v>4361.0</v>
      </c>
      <c r="K10" s="24"/>
      <c r="L10" s="47"/>
      <c r="M10" s="47"/>
      <c r="N10" s="48"/>
      <c r="O10" s="49"/>
      <c r="P10" s="85" t="s">
        <v>133</v>
      </c>
      <c r="Q10" s="51"/>
      <c r="R10" s="52">
        <v>100.0</v>
      </c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11857</v>
      </c>
      <c r="D11" s="24"/>
      <c r="E11" s="43">
        <v>2.0</v>
      </c>
      <c r="F11" s="56">
        <v>62.0</v>
      </c>
      <c r="G11" s="57">
        <v>62.0</v>
      </c>
      <c r="H11" s="58"/>
      <c r="I11" s="59"/>
      <c r="J11" s="129">
        <v>4362.0</v>
      </c>
      <c r="K11" s="24"/>
      <c r="L11" s="48"/>
      <c r="M11" s="48"/>
      <c r="N11" s="48"/>
      <c r="O11" s="49"/>
      <c r="P11" s="72" t="s">
        <v>134</v>
      </c>
      <c r="Q11" s="51"/>
      <c r="R11" s="52">
        <v>200.0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6899</v>
      </c>
      <c r="D12" s="24"/>
      <c r="E12" s="43">
        <v>3.0</v>
      </c>
      <c r="F12" s="63">
        <v>224.0</v>
      </c>
      <c r="G12" s="64"/>
      <c r="H12" s="64">
        <v>224.0</v>
      </c>
      <c r="I12" s="65"/>
      <c r="J12" s="129">
        <v>4363.0</v>
      </c>
      <c r="K12" s="24"/>
      <c r="L12" s="48"/>
      <c r="M12" s="48"/>
      <c r="N12" s="48"/>
      <c r="O12" s="49"/>
      <c r="P12" s="72" t="s">
        <v>135</v>
      </c>
      <c r="Q12" s="51"/>
      <c r="R12" s="52">
        <v>20.0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254.0</v>
      </c>
      <c r="G13" s="64">
        <v>254.0</v>
      </c>
      <c r="H13" s="65"/>
      <c r="I13" s="65"/>
      <c r="J13" s="129">
        <v>4364.0</v>
      </c>
      <c r="K13" s="24"/>
      <c r="L13" s="48"/>
      <c r="M13" s="48"/>
      <c r="N13" s="48"/>
      <c r="O13" s="49"/>
      <c r="P13" s="72" t="s">
        <v>136</v>
      </c>
      <c r="Q13" s="51"/>
      <c r="R13" s="52">
        <v>5200.0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377.0</v>
      </c>
      <c r="G14" s="64">
        <v>377.0</v>
      </c>
      <c r="H14" s="65"/>
      <c r="I14" s="65"/>
      <c r="J14" s="129">
        <v>4365.0</v>
      </c>
      <c r="K14" s="24"/>
      <c r="L14" s="48"/>
      <c r="M14" s="48"/>
      <c r="N14" s="48"/>
      <c r="O14" s="49"/>
      <c r="P14" s="72" t="s">
        <v>137</v>
      </c>
      <c r="Q14" s="51"/>
      <c r="R14" s="52">
        <v>200.0</v>
      </c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213.0</v>
      </c>
      <c r="G15" s="64">
        <v>213.0</v>
      </c>
      <c r="H15" s="64"/>
      <c r="I15" s="65"/>
      <c r="J15" s="129">
        <v>4366.0</v>
      </c>
      <c r="K15" s="24"/>
      <c r="L15" s="48"/>
      <c r="M15" s="48"/>
      <c r="N15" s="48"/>
      <c r="O15" s="49"/>
      <c r="P15" s="72" t="s">
        <v>138</v>
      </c>
      <c r="Q15" s="51"/>
      <c r="R15" s="52">
        <v>1000.0</v>
      </c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7720</v>
      </c>
      <c r="D16" s="24"/>
      <c r="E16" s="43">
        <v>7.0</v>
      </c>
      <c r="F16" s="56">
        <v>509.0</v>
      </c>
      <c r="G16" s="64"/>
      <c r="H16" s="64">
        <v>509.0</v>
      </c>
      <c r="I16" s="65"/>
      <c r="J16" s="129">
        <v>4367.0</v>
      </c>
      <c r="K16" s="24"/>
      <c r="L16" s="48"/>
      <c r="M16" s="48"/>
      <c r="N16" s="48"/>
      <c r="O16" s="49"/>
      <c r="P16" s="72" t="s">
        <v>70</v>
      </c>
      <c r="Q16" s="51"/>
      <c r="R16" s="52">
        <v>1000.0</v>
      </c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7720</v>
      </c>
      <c r="D17" s="24"/>
      <c r="E17" s="43">
        <v>8.0</v>
      </c>
      <c r="F17" s="56">
        <v>100.0</v>
      </c>
      <c r="G17" s="64">
        <v>100.0</v>
      </c>
      <c r="H17" s="64"/>
      <c r="I17" s="65"/>
      <c r="J17" s="129">
        <v>4368.0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165.0</v>
      </c>
      <c r="G18" s="64">
        <v>165.0</v>
      </c>
      <c r="H18" s="64"/>
      <c r="I18" s="65"/>
      <c r="J18" s="129">
        <v>4369.0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192.0</v>
      </c>
      <c r="G19" s="64">
        <v>192.0</v>
      </c>
      <c r="H19" s="65"/>
      <c r="I19" s="65"/>
      <c r="J19" s="129">
        <v>4370.0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63943</v>
      </c>
      <c r="D20" s="24"/>
      <c r="E20" s="43">
        <v>11.0</v>
      </c>
      <c r="F20" s="56">
        <v>219.0</v>
      </c>
      <c r="G20" s="64">
        <v>219.0</v>
      </c>
      <c r="H20" s="64"/>
      <c r="I20" s="65"/>
      <c r="J20" s="129">
        <v>4371.0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407046</v>
      </c>
      <c r="D21" s="24"/>
      <c r="E21" s="43">
        <v>12.0</v>
      </c>
      <c r="F21" s="56">
        <v>372.0</v>
      </c>
      <c r="G21" s="65"/>
      <c r="H21" s="64">
        <v>372.0</v>
      </c>
      <c r="I21" s="64"/>
      <c r="J21" s="129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99544</v>
      </c>
      <c r="D22" s="24"/>
      <c r="E22" s="43">
        <v>13.0</v>
      </c>
      <c r="F22" s="56">
        <v>125.0</v>
      </c>
      <c r="G22" s="64">
        <v>125.0</v>
      </c>
      <c r="H22" s="64"/>
      <c r="I22" s="65"/>
      <c r="J22" s="129">
        <v>4373.0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9">
        <v>99544.0</v>
      </c>
      <c r="D23" s="24"/>
      <c r="E23" s="43">
        <v>14.0</v>
      </c>
      <c r="F23" s="56">
        <v>269.0</v>
      </c>
      <c r="G23" s="64">
        <v>269.0</v>
      </c>
      <c r="H23" s="65"/>
      <c r="I23" s="65"/>
      <c r="J23" s="129">
        <v>4374.0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>
        <v>344.0</v>
      </c>
      <c r="G24" s="64">
        <v>344.0</v>
      </c>
      <c r="H24" s="65"/>
      <c r="I24" s="65"/>
      <c r="J24" s="129">
        <v>4375.0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3723.0</v>
      </c>
      <c r="G25" s="64"/>
      <c r="H25" s="64">
        <v>3723.0</v>
      </c>
      <c r="I25" s="65"/>
      <c r="J25" s="129">
        <v>4376.0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38709</v>
      </c>
      <c r="D26" s="24"/>
      <c r="E26" s="43">
        <v>17.0</v>
      </c>
      <c r="F26" s="56">
        <v>482.0</v>
      </c>
      <c r="G26" s="64"/>
      <c r="H26" s="64">
        <v>482.0</v>
      </c>
      <c r="I26" s="65"/>
      <c r="J26" s="129">
        <v>4377.0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80.0</v>
      </c>
      <c r="D27" s="24"/>
      <c r="E27" s="43">
        <v>18.0</v>
      </c>
      <c r="F27" s="56">
        <v>1499.0</v>
      </c>
      <c r="G27" s="64">
        <v>1499.0</v>
      </c>
      <c r="H27" s="65"/>
      <c r="I27" s="65"/>
      <c r="J27" s="129">
        <v>4378.0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483.8625</v>
      </c>
      <c r="D28" s="24"/>
      <c r="E28" s="43">
        <v>19.0</v>
      </c>
      <c r="F28" s="56">
        <v>160.0</v>
      </c>
      <c r="G28" s="64">
        <v>160.0</v>
      </c>
      <c r="H28" s="65"/>
      <c r="I28" s="65"/>
      <c r="J28" s="129">
        <v>4379.0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1891.0</v>
      </c>
      <c r="G29" s="64"/>
      <c r="H29" s="64">
        <v>1891.0</v>
      </c>
      <c r="I29" s="64"/>
      <c r="J29" s="129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>
        <f>R32</f>
        <v>0</v>
      </c>
      <c r="D30" s="24"/>
      <c r="E30" s="43">
        <v>21.0</v>
      </c>
      <c r="F30" s="56">
        <v>200.0</v>
      </c>
      <c r="G30" s="93">
        <v>200.0</v>
      </c>
      <c r="H30" s="92"/>
      <c r="I30" s="93"/>
      <c r="J30" s="129">
        <v>4381.0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288.0</v>
      </c>
      <c r="G31" s="93"/>
      <c r="H31" s="93">
        <v>290.0</v>
      </c>
      <c r="I31" s="92"/>
      <c r="J31" s="129">
        <v>4382.0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7720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80.0</v>
      </c>
      <c r="G32" s="93">
        <v>80.0</v>
      </c>
      <c r="H32" s="92"/>
      <c r="I32" s="92"/>
      <c r="J32" s="129">
        <v>4383.0</v>
      </c>
      <c r="K32" s="24"/>
      <c r="L32" s="48"/>
      <c r="M32" s="48"/>
      <c r="N32" s="48"/>
      <c r="O32" s="98"/>
      <c r="P32" s="90" t="s">
        <v>37</v>
      </c>
      <c r="Q32" s="51"/>
      <c r="R32" s="99">
        <v>0.0</v>
      </c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460.0</v>
      </c>
      <c r="G33" s="93">
        <v>460.0</v>
      </c>
      <c r="H33" s="92"/>
      <c r="I33" s="92"/>
      <c r="J33" s="129">
        <v>4384.0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228.0</v>
      </c>
      <c r="G34" s="93">
        <v>228.0</v>
      </c>
      <c r="H34" s="92"/>
      <c r="I34" s="92"/>
      <c r="J34" s="129">
        <v>4385.0</v>
      </c>
      <c r="K34" s="24"/>
      <c r="L34" s="106"/>
      <c r="M34" s="106"/>
      <c r="N34" s="106"/>
      <c r="O34" s="106"/>
      <c r="P34" s="85" t="s">
        <v>40</v>
      </c>
      <c r="Q34" s="107"/>
      <c r="R34" s="130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61.0</v>
      </c>
      <c r="G35" s="93">
        <v>61.0</v>
      </c>
      <c r="H35" s="93"/>
      <c r="I35" s="92"/>
      <c r="J35" s="129">
        <v>4386.0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6000.0</v>
      </c>
      <c r="G36" s="92"/>
      <c r="H36" s="93"/>
      <c r="I36" s="93">
        <v>6000.0</v>
      </c>
      <c r="J36" s="129" t="s">
        <v>116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1200.0</v>
      </c>
      <c r="G37" s="93">
        <v>1200.0</v>
      </c>
      <c r="H37" s="92"/>
      <c r="I37" s="92"/>
      <c r="J37" s="129">
        <v>4388.0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1126.0</v>
      </c>
      <c r="G38" s="93">
        <v>1126.0</v>
      </c>
      <c r="H38" s="92"/>
      <c r="I38" s="92"/>
      <c r="J38" s="129">
        <v>4389.0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891.0</v>
      </c>
      <c r="G39" s="93">
        <v>59.0</v>
      </c>
      <c r="H39" s="93">
        <v>832.0</v>
      </c>
      <c r="I39" s="92"/>
      <c r="J39" s="129">
        <v>4390.0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491.0</v>
      </c>
      <c r="G40" s="93">
        <v>491.0</v>
      </c>
      <c r="H40" s="93"/>
      <c r="I40" s="92"/>
      <c r="J40" s="129">
        <v>4391.0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269.0</v>
      </c>
      <c r="G41" s="93">
        <v>269.0</v>
      </c>
      <c r="H41" s="93"/>
      <c r="I41" s="92"/>
      <c r="J41" s="129">
        <v>4392.0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404.0</v>
      </c>
      <c r="G42" s="93">
        <v>404.0</v>
      </c>
      <c r="H42" s="93"/>
      <c r="I42" s="92"/>
      <c r="J42" s="129">
        <v>4393.0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229.0</v>
      </c>
      <c r="G43" s="93">
        <v>229.0</v>
      </c>
      <c r="H43" s="92"/>
      <c r="I43" s="92"/>
      <c r="J43" s="129">
        <v>4394.0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10.0</v>
      </c>
      <c r="G44" s="93">
        <v>10.0</v>
      </c>
      <c r="H44" s="93"/>
      <c r="I44" s="92"/>
      <c r="J44" s="129">
        <v>4395.0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236.0</v>
      </c>
      <c r="G45" s="93"/>
      <c r="H45" s="93">
        <v>236.0</v>
      </c>
      <c r="I45" s="92"/>
      <c r="J45" s="129">
        <v>4396.0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126.0</v>
      </c>
      <c r="G46" s="93"/>
      <c r="H46" s="93">
        <v>126.0</v>
      </c>
      <c r="I46" s="92"/>
      <c r="J46" s="129">
        <v>4397.0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50.0</v>
      </c>
      <c r="G47" s="93">
        <v>50.0</v>
      </c>
      <c r="H47" s="93"/>
      <c r="I47" s="92"/>
      <c r="J47" s="129">
        <v>4398.0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140.0</v>
      </c>
      <c r="G48" s="93">
        <v>140.0</v>
      </c>
      <c r="H48" s="92"/>
      <c r="I48" s="92"/>
      <c r="J48" s="129">
        <v>4399.0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289.0</v>
      </c>
      <c r="G49" s="92"/>
      <c r="H49" s="93">
        <v>289.0</v>
      </c>
      <c r="I49" s="92"/>
      <c r="J49" s="129">
        <v>4400.0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58.0</v>
      </c>
      <c r="G50" s="92"/>
      <c r="H50" s="93">
        <v>58.0</v>
      </c>
      <c r="I50" s="92"/>
      <c r="J50" s="129">
        <v>4401.0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23.0</v>
      </c>
      <c r="G51" s="93" t="s">
        <v>42</v>
      </c>
      <c r="H51" s="93">
        <v>23.0</v>
      </c>
      <c r="I51" s="92"/>
      <c r="J51" s="129">
        <v>4402.0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91.0</v>
      </c>
      <c r="G52" s="93">
        <v>91.0</v>
      </c>
      <c r="H52" s="92"/>
      <c r="I52" s="92"/>
      <c r="J52" s="129">
        <v>4403.0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1080.0</v>
      </c>
      <c r="G53" s="93">
        <v>1080.0</v>
      </c>
      <c r="H53" s="92"/>
      <c r="I53" s="92"/>
      <c r="J53" s="129">
        <v>4404.0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281.0</v>
      </c>
      <c r="G54" s="93">
        <v>281.0</v>
      </c>
      <c r="H54" s="92"/>
      <c r="I54" s="92"/>
      <c r="J54" s="129">
        <v>4405.0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205.0</v>
      </c>
      <c r="G55" s="92"/>
      <c r="H55" s="93">
        <v>205.0</v>
      </c>
      <c r="I55" s="92"/>
      <c r="J55" s="129">
        <v>4406.0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217.0</v>
      </c>
      <c r="G56" s="93">
        <v>217.0</v>
      </c>
      <c r="H56" s="92"/>
      <c r="I56" s="92"/>
      <c r="J56" s="129">
        <v>4407.0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801.0</v>
      </c>
      <c r="G57" s="92"/>
      <c r="H57" s="93">
        <v>801.0</v>
      </c>
      <c r="I57" s="92"/>
      <c r="J57" s="129">
        <v>4408.0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241.0</v>
      </c>
      <c r="G58" s="92"/>
      <c r="H58" s="93">
        <v>241.0</v>
      </c>
      <c r="I58" s="92"/>
      <c r="J58" s="129">
        <v>4409.0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108.0</v>
      </c>
      <c r="G59" s="92"/>
      <c r="H59" s="93">
        <v>108.0</v>
      </c>
      <c r="I59" s="92"/>
      <c r="J59" s="129">
        <v>4410.0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106.0</v>
      </c>
      <c r="G60" s="93">
        <v>106.0</v>
      </c>
      <c r="H60" s="92"/>
      <c r="I60" s="92"/>
      <c r="J60" s="129">
        <v>4411.0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340.0</v>
      </c>
      <c r="G61" s="93">
        <v>340.0</v>
      </c>
      <c r="H61" s="92"/>
      <c r="I61" s="92"/>
      <c r="J61" s="129">
        <v>4412.0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521.0</v>
      </c>
      <c r="G62" s="93">
        <v>521.0</v>
      </c>
      <c r="H62" s="92"/>
      <c r="I62" s="92"/>
      <c r="J62" s="129">
        <v>4413.0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140.0</v>
      </c>
      <c r="G63" s="93">
        <v>140.0</v>
      </c>
      <c r="H63" s="92"/>
      <c r="I63" s="92"/>
      <c r="J63" s="129">
        <v>4414.0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363.0</v>
      </c>
      <c r="G64" s="93">
        <v>363.0</v>
      </c>
      <c r="H64" s="92"/>
      <c r="I64" s="92"/>
      <c r="J64" s="129">
        <v>4415.0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234.0</v>
      </c>
      <c r="G65" s="93">
        <v>234.0</v>
      </c>
      <c r="H65" s="92"/>
      <c r="I65" s="92"/>
      <c r="J65" s="129">
        <v>4416.0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554.0</v>
      </c>
      <c r="G66" s="93">
        <v>10.0</v>
      </c>
      <c r="H66" s="93">
        <v>544.0</v>
      </c>
      <c r="I66" s="92"/>
      <c r="J66" s="129">
        <v>4417.0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129.0</v>
      </c>
      <c r="G67" s="93">
        <v>129.0</v>
      </c>
      <c r="H67" s="92"/>
      <c r="I67" s="92"/>
      <c r="J67" s="129">
        <v>4418.0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61.0</v>
      </c>
      <c r="G68" s="93">
        <v>61.0</v>
      </c>
      <c r="H68" s="92"/>
      <c r="I68" s="92"/>
      <c r="J68" s="129">
        <v>4419.0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10.0</v>
      </c>
      <c r="G69" s="93">
        <v>10.0</v>
      </c>
      <c r="H69" s="92"/>
      <c r="I69" s="92"/>
      <c r="J69" s="129">
        <v>4420.0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20.0</v>
      </c>
      <c r="G70" s="93">
        <v>20.0</v>
      </c>
      <c r="H70" s="92"/>
      <c r="I70" s="92"/>
      <c r="J70" s="129">
        <v>4421.0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250.0</v>
      </c>
      <c r="G71" s="93">
        <v>250.0</v>
      </c>
      <c r="H71" s="92"/>
      <c r="I71" s="92"/>
      <c r="J71" s="129">
        <v>4422.0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3445.0</v>
      </c>
      <c r="G72" s="93">
        <v>3445.0</v>
      </c>
      <c r="H72" s="92"/>
      <c r="I72" s="92"/>
      <c r="J72" s="129">
        <v>4423.0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67.0</v>
      </c>
      <c r="G73" s="92"/>
      <c r="H73" s="93">
        <v>67.0</v>
      </c>
      <c r="I73" s="92"/>
      <c r="J73" s="129">
        <v>4424.0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535.0</v>
      </c>
      <c r="G74" s="93">
        <v>535.0</v>
      </c>
      <c r="H74" s="92"/>
      <c r="I74" s="92"/>
      <c r="J74" s="129">
        <v>4425.0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479.0</v>
      </c>
      <c r="G75" s="93">
        <v>479.0</v>
      </c>
      <c r="H75" s="92"/>
      <c r="I75" s="92"/>
      <c r="J75" s="129">
        <v>4426.0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6.0</v>
      </c>
      <c r="G76" s="93">
        <v>6.0</v>
      </c>
      <c r="H76" s="92"/>
      <c r="I76" s="92"/>
      <c r="J76" s="129">
        <v>4427.0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169.0</v>
      </c>
      <c r="G77" s="93">
        <v>169.0</v>
      </c>
      <c r="H77" s="92"/>
      <c r="I77" s="92"/>
      <c r="J77" s="129">
        <v>4428.0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814.0</v>
      </c>
      <c r="G78" s="93">
        <v>814.0</v>
      </c>
      <c r="H78" s="92"/>
      <c r="I78" s="92"/>
      <c r="J78" s="129">
        <v>4429.0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552.0</v>
      </c>
      <c r="G79" s="92"/>
      <c r="H79" s="93">
        <v>552.0</v>
      </c>
      <c r="I79" s="92"/>
      <c r="J79" s="129">
        <v>4430.0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30.0</v>
      </c>
      <c r="G80" s="93">
        <v>30.0</v>
      </c>
      <c r="H80" s="92"/>
      <c r="I80" s="92"/>
      <c r="J80" s="129">
        <v>4431.0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56.0</v>
      </c>
      <c r="G81" s="93">
        <v>56.0</v>
      </c>
      <c r="H81" s="92"/>
      <c r="I81" s="92"/>
      <c r="J81" s="129">
        <v>4432.0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52">
        <v>615.0</v>
      </c>
      <c r="G82" s="54" t="s">
        <v>42</v>
      </c>
      <c r="H82" s="61"/>
      <c r="I82" s="54">
        <v>615.0</v>
      </c>
      <c r="J82" s="129">
        <v>4433.0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52">
        <v>284.0</v>
      </c>
      <c r="G83" s="61"/>
      <c r="H83" s="54">
        <v>284.0</v>
      </c>
      <c r="I83" s="61"/>
      <c r="J83" s="129">
        <v>4434.0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52">
        <v>474.0</v>
      </c>
      <c r="G84" s="54">
        <v>474.0</v>
      </c>
      <c r="H84" s="61"/>
      <c r="I84" s="61"/>
      <c r="J84" s="129">
        <v>4435.0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52">
        <v>141.0</v>
      </c>
      <c r="G85" s="54">
        <v>141.0</v>
      </c>
      <c r="H85" s="61"/>
      <c r="I85" s="61"/>
      <c r="J85" s="129">
        <v>4436.0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52">
        <v>80.0</v>
      </c>
      <c r="G86" s="54">
        <v>80.0</v>
      </c>
      <c r="H86" s="61"/>
      <c r="I86" s="61"/>
      <c r="J86" s="129">
        <v>4437.0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52">
        <v>42.0</v>
      </c>
      <c r="G87" s="54">
        <v>42.0</v>
      </c>
      <c r="H87" s="61"/>
      <c r="I87" s="61"/>
      <c r="J87" s="129">
        <v>4438.0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52">
        <v>284.0</v>
      </c>
      <c r="G88" s="61"/>
      <c r="H88" s="61"/>
      <c r="I88" s="54">
        <v>284.0</v>
      </c>
      <c r="J88" s="129">
        <v>4439.0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52">
        <v>146.0</v>
      </c>
      <c r="G89" s="54">
        <v>146.0</v>
      </c>
      <c r="H89" s="61"/>
      <c r="I89" s="61"/>
      <c r="J89" s="129">
        <v>4440.0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29">
        <v>4441.0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29">
        <v>4442.0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29">
        <v>4443.0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29">
        <v>4444.0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29">
        <v>4445.0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129">
        <v>4446.0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129">
        <v>4447.0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38709</v>
      </c>
      <c r="G97" s="123">
        <f t="shared" si="4"/>
        <v>19955</v>
      </c>
      <c r="H97" s="123">
        <f t="shared" si="4"/>
        <v>11857</v>
      </c>
      <c r="I97" s="123">
        <f t="shared" si="4"/>
        <v>6899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H110" s="126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95544.0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407046.0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63943.0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F104-C15</f>
        <v>30479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G104-W33</f>
        <v>12451</v>
      </c>
      <c r="D10" s="24"/>
      <c r="E10" s="43">
        <v>1.0</v>
      </c>
      <c r="F10" s="44">
        <v>67.0</v>
      </c>
      <c r="G10" s="45">
        <v>67.0</v>
      </c>
      <c r="H10" s="45"/>
      <c r="I10" s="45"/>
      <c r="J10" s="129">
        <v>4441.0</v>
      </c>
      <c r="K10" s="24"/>
      <c r="L10" s="47">
        <v>615.0</v>
      </c>
      <c r="M10" s="47"/>
      <c r="N10" s="47">
        <v>4433.0</v>
      </c>
      <c r="O10" s="49"/>
      <c r="P10" s="85" t="s">
        <v>139</v>
      </c>
      <c r="Q10" s="51"/>
      <c r="R10" s="52">
        <v>200.0</v>
      </c>
      <c r="S10" s="53"/>
      <c r="T10" s="54"/>
      <c r="U10" s="55"/>
      <c r="V10" s="24"/>
      <c r="W10" s="47">
        <v>226.0</v>
      </c>
      <c r="X10" s="47"/>
      <c r="Y10" s="47" t="s">
        <v>140</v>
      </c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H104-X33</f>
        <v>10091</v>
      </c>
      <c r="D11" s="24"/>
      <c r="E11" s="43">
        <v>2.0</v>
      </c>
      <c r="F11" s="56">
        <v>37.0</v>
      </c>
      <c r="G11" s="57">
        <v>37.0</v>
      </c>
      <c r="H11" s="58"/>
      <c r="I11" s="59"/>
      <c r="J11" s="129">
        <v>4442.0</v>
      </c>
      <c r="K11" s="24"/>
      <c r="L11" s="165">
        <v>1000.0</v>
      </c>
      <c r="M11" s="171"/>
      <c r="N11" s="165">
        <v>3894.0</v>
      </c>
      <c r="O11" s="49"/>
      <c r="P11" s="72" t="s">
        <v>141</v>
      </c>
      <c r="Q11" s="51"/>
      <c r="R11" s="52">
        <v>10.0</v>
      </c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I104</f>
        <v>7937</v>
      </c>
      <c r="D12" s="24"/>
      <c r="E12" s="43">
        <v>3.0</v>
      </c>
      <c r="F12" s="63">
        <v>624.0</v>
      </c>
      <c r="G12" s="64"/>
      <c r="H12" s="64">
        <v>624.0</v>
      </c>
      <c r="I12" s="65"/>
      <c r="J12" s="129">
        <v>4443.0</v>
      </c>
      <c r="K12" s="24"/>
      <c r="L12" s="47">
        <v>284.0</v>
      </c>
      <c r="M12" s="48"/>
      <c r="N12" s="47">
        <v>4439.0</v>
      </c>
      <c r="O12" s="49"/>
      <c r="P12" s="72" t="s">
        <v>70</v>
      </c>
      <c r="Q12" s="51"/>
      <c r="R12" s="52">
        <v>1000.0</v>
      </c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3970</v>
      </c>
      <c r="D13" s="24"/>
      <c r="E13" s="43">
        <v>4.0</v>
      </c>
      <c r="F13" s="56">
        <v>221.0</v>
      </c>
      <c r="G13" s="64" t="s">
        <v>42</v>
      </c>
      <c r="H13" s="149">
        <v>221.0</v>
      </c>
      <c r="I13" s="65"/>
      <c r="J13" s="129" t="s">
        <v>142</v>
      </c>
      <c r="K13" s="24"/>
      <c r="L13" s="47">
        <v>2071.0</v>
      </c>
      <c r="M13" s="48"/>
      <c r="N13" s="47">
        <v>4360.0</v>
      </c>
      <c r="O13" s="49"/>
      <c r="P13" s="72" t="s">
        <v>143</v>
      </c>
      <c r="Q13" s="51"/>
      <c r="R13" s="52">
        <v>200.0</v>
      </c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1123.0</v>
      </c>
      <c r="G14" s="64">
        <v>1123.0</v>
      </c>
      <c r="H14" s="65"/>
      <c r="I14" s="65"/>
      <c r="J14" s="129">
        <v>4445.0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226</v>
      </c>
      <c r="D15" s="24"/>
      <c r="E15" s="43">
        <v>6.0</v>
      </c>
      <c r="F15" s="56">
        <v>62.0</v>
      </c>
      <c r="G15" s="64">
        <v>62.0</v>
      </c>
      <c r="H15" s="64"/>
      <c r="I15" s="65"/>
      <c r="J15" s="129">
        <v>4446.0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1410</v>
      </c>
      <c r="D16" s="24"/>
      <c r="E16" s="43">
        <v>7.0</v>
      </c>
      <c r="F16" s="56">
        <v>142.0</v>
      </c>
      <c r="G16" s="64">
        <v>142.0</v>
      </c>
      <c r="H16" s="64"/>
      <c r="I16" s="65"/>
      <c r="J16" s="129">
        <v>4447.0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1410</v>
      </c>
      <c r="D17" s="24"/>
      <c r="E17" s="43">
        <v>8.0</v>
      </c>
      <c r="F17" s="56">
        <v>33.0</v>
      </c>
      <c r="G17" s="64">
        <v>33.0</v>
      </c>
      <c r="H17" s="64"/>
      <c r="I17" s="65"/>
      <c r="J17" s="129">
        <v>4448.0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133.0</v>
      </c>
      <c r="G18" s="64">
        <v>133.0</v>
      </c>
      <c r="H18" s="64"/>
      <c r="I18" s="65"/>
      <c r="J18" s="129">
        <v>4449.0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133.0</v>
      </c>
      <c r="G19" s="64"/>
      <c r="H19" s="64">
        <v>133.0</v>
      </c>
      <c r="I19" s="65"/>
      <c r="J19" s="129">
        <v>4450.0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67910</v>
      </c>
      <c r="D20" s="24"/>
      <c r="E20" s="43">
        <v>11.0</v>
      </c>
      <c r="F20" s="56">
        <v>478.0</v>
      </c>
      <c r="G20" s="64">
        <v>478.0</v>
      </c>
      <c r="H20" s="64"/>
      <c r="I20" s="65"/>
      <c r="J20" s="129">
        <v>4451.0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417137</v>
      </c>
      <c r="D21" s="24"/>
      <c r="E21" s="43">
        <v>12.0</v>
      </c>
      <c r="F21" s="56">
        <v>581.0</v>
      </c>
      <c r="G21" s="64">
        <v>581.0</v>
      </c>
      <c r="H21" s="64"/>
      <c r="I21" s="65"/>
      <c r="J21" s="129">
        <v>4452.0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107055</v>
      </c>
      <c r="D22" s="24"/>
      <c r="E22" s="43">
        <v>13.0</v>
      </c>
      <c r="F22" s="56">
        <v>20.0</v>
      </c>
      <c r="G22" s="64"/>
      <c r="H22" s="64">
        <v>20.0</v>
      </c>
      <c r="I22" s="65"/>
      <c r="J22" s="129">
        <v>4453.0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9">
        <v>107055.0</v>
      </c>
      <c r="D23" s="24"/>
      <c r="E23" s="43">
        <v>14.0</v>
      </c>
      <c r="F23" s="56">
        <v>65.0</v>
      </c>
      <c r="G23" s="64">
        <v>65.0</v>
      </c>
      <c r="H23" s="65"/>
      <c r="I23" s="65"/>
      <c r="J23" s="129">
        <v>4454.0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>
        <v>145.0</v>
      </c>
      <c r="G24" s="64">
        <v>145.0</v>
      </c>
      <c r="H24" s="65"/>
      <c r="I24" s="65"/>
      <c r="J24" s="129">
        <v>4455.0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248.0</v>
      </c>
      <c r="G25" s="64"/>
      <c r="H25" s="64">
        <v>248.0</v>
      </c>
      <c r="I25" s="65"/>
      <c r="J25" s="129">
        <v>4456.0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F104</f>
        <v>30705</v>
      </c>
      <c r="D26" s="24"/>
      <c r="E26" s="43">
        <v>17.0</v>
      </c>
      <c r="F26" s="56">
        <v>40.0</v>
      </c>
      <c r="G26" s="64">
        <v>40.0</v>
      </c>
      <c r="H26" s="65"/>
      <c r="I26" s="65"/>
      <c r="J26" s="129">
        <v>4457.0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89.0</v>
      </c>
      <c r="D27" s="24"/>
      <c r="E27" s="43">
        <v>18.0</v>
      </c>
      <c r="F27" s="56">
        <v>69.0</v>
      </c>
      <c r="G27" s="64">
        <v>69.0</v>
      </c>
      <c r="H27" s="65"/>
      <c r="I27" s="65"/>
      <c r="J27" s="129">
        <v>4458.0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345</v>
      </c>
      <c r="D28" s="24"/>
      <c r="E28" s="43">
        <v>19.0</v>
      </c>
      <c r="F28" s="56">
        <v>69.0</v>
      </c>
      <c r="G28" s="64">
        <v>69.0</v>
      </c>
      <c r="H28" s="65"/>
      <c r="I28" s="65"/>
      <c r="J28" s="129">
        <v>4459.0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196.0</v>
      </c>
      <c r="G29" s="64">
        <v>196.0</v>
      </c>
      <c r="H29" s="65"/>
      <c r="I29" s="65"/>
      <c r="J29" s="129">
        <v>4460.0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18.0</v>
      </c>
      <c r="G30" s="93">
        <v>18.0</v>
      </c>
      <c r="H30" s="92"/>
      <c r="I30" s="93"/>
      <c r="J30" s="129">
        <v>4461.0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896.0</v>
      </c>
      <c r="G31" s="93" t="s">
        <v>42</v>
      </c>
      <c r="H31" s="93">
        <v>896.0</v>
      </c>
      <c r="I31" s="92"/>
      <c r="J31" s="129">
        <v>4462.0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1410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>
        <f>R34</f>
        <v>3500</v>
      </c>
      <c r="D32" s="24"/>
      <c r="E32" s="43">
        <v>23.0</v>
      </c>
      <c r="F32" s="56">
        <v>90.0</v>
      </c>
      <c r="G32" s="93">
        <v>90.0</v>
      </c>
      <c r="H32" s="92"/>
      <c r="I32" s="92"/>
      <c r="J32" s="129">
        <v>4463.0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261.0</v>
      </c>
      <c r="G33" s="93">
        <v>261.0</v>
      </c>
      <c r="H33" s="92"/>
      <c r="I33" s="92"/>
      <c r="J33" s="129">
        <v>4464.0</v>
      </c>
      <c r="K33" s="24"/>
      <c r="L33" s="104">
        <f t="shared" ref="L33:M33" si="2">sum(L10:L32)</f>
        <v>3970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226</v>
      </c>
      <c r="X33" s="104">
        <f t="shared" si="3"/>
        <v>0</v>
      </c>
      <c r="Y33" s="104">
        <f>W33+X33</f>
        <v>226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269.0</v>
      </c>
      <c r="G34" s="93">
        <v>269.0</v>
      </c>
      <c r="H34" s="92"/>
      <c r="I34" s="92"/>
      <c r="J34" s="129">
        <v>4465.0</v>
      </c>
      <c r="K34" s="24"/>
      <c r="L34" s="106"/>
      <c r="M34" s="106"/>
      <c r="N34" s="106"/>
      <c r="O34" s="106"/>
      <c r="P34" s="85" t="s">
        <v>40</v>
      </c>
      <c r="Q34" s="107"/>
      <c r="R34" s="130">
        <v>3500.0</v>
      </c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179.0</v>
      </c>
      <c r="G35" s="93">
        <v>179.0</v>
      </c>
      <c r="H35" s="93"/>
      <c r="I35" s="92"/>
      <c r="J35" s="129">
        <v>4466.0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798.0</v>
      </c>
      <c r="G36" s="92"/>
      <c r="H36" s="93">
        <v>798.0</v>
      </c>
      <c r="I36" s="92"/>
      <c r="J36" s="129">
        <v>4467.0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468.0</v>
      </c>
      <c r="G37" s="93">
        <v>468.0</v>
      </c>
      <c r="H37" s="92"/>
      <c r="I37" s="92"/>
      <c r="J37" s="129">
        <v>4468.0</v>
      </c>
      <c r="K37" s="24"/>
      <c r="L37" s="140"/>
      <c r="M37" s="141"/>
      <c r="N37" s="140"/>
      <c r="O37" s="140"/>
      <c r="P37" s="140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200.0</v>
      </c>
      <c r="G38" s="93"/>
      <c r="H38" s="93">
        <v>200.0</v>
      </c>
      <c r="I38" s="92"/>
      <c r="J38" s="129">
        <v>4469.0</v>
      </c>
      <c r="K38" s="24"/>
      <c r="L38" s="140"/>
      <c r="M38" s="141"/>
      <c r="N38" s="140"/>
      <c r="O38" s="140"/>
      <c r="P38" s="140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110.0</v>
      </c>
      <c r="G39" s="93"/>
      <c r="H39" s="153">
        <v>110.0</v>
      </c>
      <c r="I39" s="92"/>
      <c r="J39" s="129" t="s">
        <v>144</v>
      </c>
      <c r="K39" s="24"/>
      <c r="L39" s="140"/>
      <c r="M39" s="141" t="s">
        <v>145</v>
      </c>
      <c r="N39" s="140"/>
      <c r="O39" s="140"/>
      <c r="P39" s="140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213.0</v>
      </c>
      <c r="G40" s="92"/>
      <c r="H40" s="93"/>
      <c r="I40" s="93">
        <v>213.0</v>
      </c>
      <c r="J40" s="129">
        <v>4471.0</v>
      </c>
      <c r="K40" s="24"/>
      <c r="L40" s="140"/>
      <c r="M40" s="140"/>
      <c r="N40" s="140"/>
      <c r="O40" s="140"/>
      <c r="P40" s="140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94.0</v>
      </c>
      <c r="G41" s="93">
        <v>94.0</v>
      </c>
      <c r="H41" s="93"/>
      <c r="I41" s="92"/>
      <c r="J41" s="129">
        <v>4472.0</v>
      </c>
      <c r="K41" s="24"/>
      <c r="L41" s="140"/>
      <c r="M41" s="140"/>
      <c r="N41" s="140"/>
      <c r="O41" s="140"/>
      <c r="P41" s="140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1336.0</v>
      </c>
      <c r="G42" s="93">
        <v>1336.0</v>
      </c>
      <c r="H42" s="93"/>
      <c r="I42" s="92"/>
      <c r="J42" s="129">
        <v>4473.0</v>
      </c>
      <c r="K42" s="24"/>
      <c r="L42" s="140"/>
      <c r="M42" s="141"/>
      <c r="N42" s="140"/>
      <c r="O42" s="140"/>
      <c r="P42" s="140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145.0</v>
      </c>
      <c r="G43" s="93">
        <v>145.0</v>
      </c>
      <c r="H43" s="92"/>
      <c r="I43" s="92"/>
      <c r="J43" s="129">
        <v>4474.0</v>
      </c>
      <c r="K43" s="24"/>
      <c r="L43" s="140"/>
      <c r="M43" s="140"/>
      <c r="N43" s="140"/>
      <c r="O43" s="140"/>
      <c r="P43" s="140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269.0</v>
      </c>
      <c r="G44" s="92"/>
      <c r="H44" s="93">
        <v>269.0</v>
      </c>
      <c r="I44" s="92"/>
      <c r="J44" s="129">
        <v>4475.0</v>
      </c>
      <c r="K44" s="24"/>
      <c r="L44" s="140"/>
      <c r="M44" s="140"/>
      <c r="N44" s="140"/>
      <c r="O44" s="140"/>
      <c r="P44" s="140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23.0</v>
      </c>
      <c r="G45" s="93"/>
      <c r="H45" s="93">
        <v>23.0</v>
      </c>
      <c r="I45" s="92"/>
      <c r="J45" s="129">
        <v>4476.0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199.0</v>
      </c>
      <c r="G46" s="93">
        <v>199.0</v>
      </c>
      <c r="H46" s="92"/>
      <c r="I46" s="92"/>
      <c r="J46" s="129">
        <v>4477.0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201.0</v>
      </c>
      <c r="G47" s="93">
        <v>201.0</v>
      </c>
      <c r="H47" s="93"/>
      <c r="I47" s="92"/>
      <c r="J47" s="129">
        <v>4478.0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50.0</v>
      </c>
      <c r="G48" s="93" t="s">
        <v>42</v>
      </c>
      <c r="H48" s="92"/>
      <c r="I48" s="93">
        <v>50.0</v>
      </c>
      <c r="J48" s="129">
        <v>4479.0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56">
        <v>71.0</v>
      </c>
      <c r="G49" s="93" t="s">
        <v>42</v>
      </c>
      <c r="H49" s="92"/>
      <c r="I49" s="93">
        <v>71.0</v>
      </c>
      <c r="J49" s="129">
        <v>4480.0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330.0</v>
      </c>
      <c r="G50" s="93">
        <v>330.0</v>
      </c>
      <c r="H50" s="93"/>
      <c r="I50" s="92"/>
      <c r="J50" s="129">
        <v>4481.0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30.0</v>
      </c>
      <c r="G51" s="92"/>
      <c r="H51" s="93">
        <v>30.0</v>
      </c>
      <c r="I51" s="92"/>
      <c r="J51" s="129">
        <v>4482.0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193.0</v>
      </c>
      <c r="G52" s="93">
        <v>193.0</v>
      </c>
      <c r="H52" s="92"/>
      <c r="I52" s="92"/>
      <c r="J52" s="129">
        <v>4483.0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1420.0</v>
      </c>
      <c r="G53" s="92"/>
      <c r="H53" s="93">
        <v>1420.0</v>
      </c>
      <c r="I53" s="92"/>
      <c r="J53" s="129">
        <v>4484.0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30.0</v>
      </c>
      <c r="G54" s="93">
        <v>30.0</v>
      </c>
      <c r="H54" s="92"/>
      <c r="I54" s="92"/>
      <c r="J54" s="129">
        <v>4485.0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238.0</v>
      </c>
      <c r="G55" s="93">
        <v>238.0</v>
      </c>
      <c r="H55" s="92"/>
      <c r="I55" s="92"/>
      <c r="J55" s="129">
        <v>4486.0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77.0</v>
      </c>
      <c r="G56" s="93">
        <v>77.0</v>
      </c>
      <c r="H56" s="92"/>
      <c r="I56" s="92"/>
      <c r="J56" s="129">
        <v>4487.0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314.0</v>
      </c>
      <c r="G57" s="93">
        <v>314.0</v>
      </c>
      <c r="H57" s="92"/>
      <c r="I57" s="92"/>
      <c r="J57" s="129">
        <v>4488.0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97.0</v>
      </c>
      <c r="G58" s="93">
        <v>97.0</v>
      </c>
      <c r="H58" s="92"/>
      <c r="I58" s="92"/>
      <c r="J58" s="129">
        <v>4489.0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260.0</v>
      </c>
      <c r="G59" s="93">
        <v>260.0</v>
      </c>
      <c r="H59" s="92"/>
      <c r="I59" s="92"/>
      <c r="J59" s="129">
        <v>4490.0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480.0</v>
      </c>
      <c r="G60" s="92"/>
      <c r="H60" s="93">
        <v>480.0</v>
      </c>
      <c r="I60" s="92"/>
      <c r="J60" s="129">
        <v>4491.0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69.0</v>
      </c>
      <c r="G61" s="93">
        <v>69.0</v>
      </c>
      <c r="H61" s="92"/>
      <c r="I61" s="92"/>
      <c r="J61" s="129">
        <v>4492.0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138.0</v>
      </c>
      <c r="G62" s="93">
        <v>138.0</v>
      </c>
      <c r="H62" s="92"/>
      <c r="I62" s="92"/>
      <c r="J62" s="129">
        <v>4493.0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467.0</v>
      </c>
      <c r="G63" s="92"/>
      <c r="H63" s="93">
        <v>467.0</v>
      </c>
      <c r="I63" s="92"/>
      <c r="J63" s="129">
        <v>4494.0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309.0</v>
      </c>
      <c r="G64" s="93">
        <v>309.0</v>
      </c>
      <c r="H64" s="92"/>
      <c r="I64" s="92"/>
      <c r="J64" s="129">
        <v>4495.0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150.0</v>
      </c>
      <c r="G65" s="93">
        <v>150.0</v>
      </c>
      <c r="H65" s="92"/>
      <c r="I65" s="92"/>
      <c r="J65" s="129">
        <v>4496.0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395.0</v>
      </c>
      <c r="G66" s="93">
        <v>395.0</v>
      </c>
      <c r="H66" s="92"/>
      <c r="I66" s="92"/>
      <c r="J66" s="129">
        <v>4497.0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224.0</v>
      </c>
      <c r="G67" s="92"/>
      <c r="H67" s="93">
        <v>224.0</v>
      </c>
      <c r="I67" s="92"/>
      <c r="J67" s="129">
        <v>4498.0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23.0</v>
      </c>
      <c r="G68" s="93">
        <v>23.0</v>
      </c>
      <c r="H68" s="92"/>
      <c r="I68" s="92"/>
      <c r="J68" s="129">
        <v>4499.0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426.0</v>
      </c>
      <c r="G69" s="93">
        <v>300.0</v>
      </c>
      <c r="H69" s="93">
        <v>126.0</v>
      </c>
      <c r="I69" s="92"/>
      <c r="J69" s="129">
        <v>4500.0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203.0</v>
      </c>
      <c r="G70" s="92"/>
      <c r="H70" s="93">
        <v>203.0</v>
      </c>
      <c r="I70" s="92"/>
      <c r="J70" s="129">
        <v>4501.0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238.0</v>
      </c>
      <c r="G71" s="93" t="s">
        <v>42</v>
      </c>
      <c r="H71" s="93">
        <v>238.0</v>
      </c>
      <c r="I71" s="92"/>
      <c r="J71" s="129">
        <v>4502.0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243.0</v>
      </c>
      <c r="G72" s="93">
        <v>243.0</v>
      </c>
      <c r="H72" s="92"/>
      <c r="I72" s="92"/>
      <c r="J72" s="129">
        <v>4503.0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182.0</v>
      </c>
      <c r="G73" s="93">
        <v>182.0</v>
      </c>
      <c r="H73" s="92"/>
      <c r="I73" s="92"/>
      <c r="J73" s="129">
        <v>4504.0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56">
        <v>379.0</v>
      </c>
      <c r="G74" s="92"/>
      <c r="H74" s="93">
        <v>379.0</v>
      </c>
      <c r="I74" s="92"/>
      <c r="J74" s="129">
        <v>4505.0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56">
        <v>239.0</v>
      </c>
      <c r="G75" s="93">
        <v>239.0</v>
      </c>
      <c r="H75" s="92"/>
      <c r="I75" s="92"/>
      <c r="J75" s="129">
        <v>4506.0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56">
        <v>278.0</v>
      </c>
      <c r="G76" s="92"/>
      <c r="H76" s="93">
        <v>278.0</v>
      </c>
      <c r="I76" s="92"/>
      <c r="J76" s="129">
        <v>4507.0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56">
        <v>424.0</v>
      </c>
      <c r="G77" s="92"/>
      <c r="H77" s="93">
        <v>424.0</v>
      </c>
      <c r="I77" s="92"/>
      <c r="J77" s="129">
        <v>4508.0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56">
        <v>130.0</v>
      </c>
      <c r="G78" s="93">
        <v>130.0</v>
      </c>
      <c r="H78" s="92"/>
      <c r="I78" s="92"/>
      <c r="J78" s="129">
        <v>4509.0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56">
        <v>165.0</v>
      </c>
      <c r="G79" s="93">
        <v>165.0</v>
      </c>
      <c r="H79" s="92"/>
      <c r="I79" s="92"/>
      <c r="J79" s="129">
        <v>4510.0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56">
        <v>133.0</v>
      </c>
      <c r="G80" s="93">
        <v>133.0</v>
      </c>
      <c r="H80" s="92"/>
      <c r="I80" s="92"/>
      <c r="J80" s="129">
        <v>4511.0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56">
        <v>552.0</v>
      </c>
      <c r="G81" s="92"/>
      <c r="H81" s="93">
        <v>552.0</v>
      </c>
      <c r="I81" s="92"/>
      <c r="J81" s="129">
        <v>4512.0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52">
        <v>209.0</v>
      </c>
      <c r="G82" s="54">
        <v>209.0</v>
      </c>
      <c r="H82" s="61"/>
      <c r="I82" s="61"/>
      <c r="J82" s="129">
        <v>4513.0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52">
        <v>158.0</v>
      </c>
      <c r="G83" s="54">
        <v>158.0</v>
      </c>
      <c r="H83" s="61"/>
      <c r="I83" s="61"/>
      <c r="J83" s="129">
        <v>4514.0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52">
        <v>177.0</v>
      </c>
      <c r="G84" s="61"/>
      <c r="H84" s="54">
        <v>177.0</v>
      </c>
      <c r="I84" s="61"/>
      <c r="J84" s="129">
        <v>4515.0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52">
        <v>83.0</v>
      </c>
      <c r="G85" s="54">
        <v>83.0</v>
      </c>
      <c r="H85" s="61"/>
      <c r="I85" s="61"/>
      <c r="J85" s="129">
        <v>4516.0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52">
        <v>655.0</v>
      </c>
      <c r="G86" s="54">
        <v>655.0</v>
      </c>
      <c r="H86" s="61"/>
      <c r="I86" s="61"/>
      <c r="J86" s="129">
        <v>4517.0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52">
        <v>685.0</v>
      </c>
      <c r="G87" s="61"/>
      <c r="H87" s="54">
        <v>685.0</v>
      </c>
      <c r="I87" s="61"/>
      <c r="J87" s="129">
        <v>4518.0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52">
        <v>7603.0</v>
      </c>
      <c r="G88" s="61"/>
      <c r="H88" s="61"/>
      <c r="I88" s="54">
        <v>7603.0</v>
      </c>
      <c r="J88" s="129">
        <v>4519.0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52">
        <v>84.0</v>
      </c>
      <c r="G89" s="54">
        <v>84.0</v>
      </c>
      <c r="H89" s="61"/>
      <c r="I89" s="61"/>
      <c r="J89" s="129">
        <v>4520.0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52">
        <v>105.0</v>
      </c>
      <c r="G90" s="54">
        <v>105.0</v>
      </c>
      <c r="H90" s="61"/>
      <c r="I90" s="61"/>
      <c r="J90" s="129">
        <v>4521.0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52">
        <v>260.0</v>
      </c>
      <c r="G91" s="54">
        <v>100.0</v>
      </c>
      <c r="H91" s="54">
        <v>160.0</v>
      </c>
      <c r="I91" s="61"/>
      <c r="J91" s="129">
        <v>4522.0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52">
        <v>67.0</v>
      </c>
      <c r="G92" s="54">
        <v>67.0</v>
      </c>
      <c r="H92" s="61"/>
      <c r="I92" s="61"/>
      <c r="J92" s="129">
        <v>4523.0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52">
        <v>592.0</v>
      </c>
      <c r="G93" s="54">
        <v>592.0</v>
      </c>
      <c r="H93" s="54"/>
      <c r="I93" s="61"/>
      <c r="J93" s="129">
        <v>4524.0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52">
        <v>135.0</v>
      </c>
      <c r="G94" s="61"/>
      <c r="H94" s="54">
        <v>135.0</v>
      </c>
      <c r="I94" s="61"/>
      <c r="J94" s="129">
        <v>4525.0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52">
        <v>7.0</v>
      </c>
      <c r="G95" s="54">
        <v>7.0</v>
      </c>
      <c r="H95" s="54"/>
      <c r="I95" s="61"/>
      <c r="J95" s="129">
        <v>4526.0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52">
        <v>538.0</v>
      </c>
      <c r="G96" s="54"/>
      <c r="H96" s="54">
        <v>538.0</v>
      </c>
      <c r="I96" s="61"/>
      <c r="J96" s="129">
        <v>4527.0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24"/>
      <c r="E97" s="43">
        <v>88.0</v>
      </c>
      <c r="F97" s="152">
        <v>133.0</v>
      </c>
      <c r="G97" s="54">
        <v>100.0</v>
      </c>
      <c r="H97" s="54">
        <v>33.0</v>
      </c>
      <c r="I97" s="61"/>
      <c r="J97" s="129">
        <v>4528.0</v>
      </c>
      <c r="K97" s="24"/>
      <c r="L97" s="112"/>
      <c r="M97" s="112"/>
      <c r="N97" s="112"/>
      <c r="O97" s="112"/>
      <c r="P97" s="112"/>
      <c r="Q97" s="113"/>
      <c r="R97" s="114"/>
      <c r="S97" s="114"/>
      <c r="T97" s="114"/>
      <c r="U97" s="115"/>
      <c r="V97" s="24"/>
      <c r="W97" s="24"/>
      <c r="X97" s="24"/>
      <c r="Y97" s="24"/>
      <c r="Z97" s="24"/>
      <c r="AA97" s="24"/>
      <c r="AB97" s="24"/>
      <c r="AC97" s="24"/>
      <c r="AD97" s="24"/>
      <c r="AE97" s="24"/>
      <c r="AF97" s="24"/>
      <c r="AG97" s="24"/>
      <c r="AH97" s="24"/>
      <c r="AI97" s="24"/>
    </row>
    <row r="98" ht="14.25" customHeight="1">
      <c r="A98" s="1"/>
      <c r="B98" s="1"/>
      <c r="C98" s="1"/>
      <c r="D98" s="24"/>
      <c r="E98" s="43">
        <v>89.0</v>
      </c>
      <c r="F98" s="152">
        <v>2.0</v>
      </c>
      <c r="G98" s="54">
        <v>2.0</v>
      </c>
      <c r="H98" s="61"/>
      <c r="I98" s="61"/>
      <c r="J98" s="129">
        <v>4529.0</v>
      </c>
      <c r="K98" s="24"/>
      <c r="L98" s="112"/>
      <c r="M98" s="112"/>
      <c r="N98" s="112"/>
      <c r="O98" s="112"/>
      <c r="P98" s="112"/>
      <c r="Q98" s="113"/>
      <c r="R98" s="114"/>
      <c r="S98" s="114"/>
      <c r="T98" s="114"/>
      <c r="U98" s="115"/>
      <c r="V98" s="24"/>
      <c r="W98" s="24"/>
      <c r="X98" s="24"/>
      <c r="Y98" s="24"/>
      <c r="Z98" s="24"/>
      <c r="AA98" s="24"/>
      <c r="AB98" s="24"/>
      <c r="AC98" s="24"/>
      <c r="AD98" s="24"/>
      <c r="AE98" s="24"/>
      <c r="AF98" s="24"/>
      <c r="AG98" s="24"/>
      <c r="AH98" s="24"/>
      <c r="AI98" s="24"/>
    </row>
    <row r="99" ht="14.25" customHeight="1">
      <c r="A99" s="1"/>
      <c r="B99" s="1"/>
      <c r="C99" s="1"/>
      <c r="D99" s="24"/>
      <c r="E99" s="43">
        <v>90.0</v>
      </c>
      <c r="F99" s="121"/>
      <c r="G99" s="61"/>
      <c r="H99" s="61"/>
      <c r="I99" s="61"/>
      <c r="J99" s="129">
        <v>4530.0</v>
      </c>
      <c r="K99" s="24"/>
      <c r="L99" s="112"/>
      <c r="M99" s="112"/>
      <c r="N99" s="112"/>
      <c r="O99" s="112"/>
      <c r="P99" s="112"/>
      <c r="Q99" s="113"/>
      <c r="R99" s="114"/>
      <c r="S99" s="114"/>
      <c r="T99" s="114"/>
      <c r="U99" s="115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24"/>
      <c r="AH99" s="24"/>
      <c r="AI99" s="24"/>
    </row>
    <row r="100" ht="14.25" customHeight="1">
      <c r="A100" s="1"/>
      <c r="B100" s="1"/>
      <c r="C100" s="1"/>
      <c r="D100" s="24"/>
      <c r="E100" s="43">
        <v>91.0</v>
      </c>
      <c r="F100" s="121"/>
      <c r="G100" s="61"/>
      <c r="H100" s="54" t="s">
        <v>42</v>
      </c>
      <c r="I100" s="61"/>
      <c r="J100" s="129">
        <v>4531.0</v>
      </c>
      <c r="K100" s="24"/>
      <c r="L100" s="112"/>
      <c r="M100" s="112"/>
      <c r="N100" s="112"/>
      <c r="O100" s="112"/>
      <c r="P100" s="112"/>
      <c r="Q100" s="113"/>
      <c r="R100" s="114"/>
      <c r="S100" s="114"/>
      <c r="T100" s="114"/>
      <c r="U100" s="115"/>
      <c r="V100" s="24"/>
      <c r="W100" s="24"/>
      <c r="X100" s="24"/>
      <c r="Y100" s="24"/>
      <c r="Z100" s="24"/>
      <c r="AA100" s="24"/>
      <c r="AB100" s="24"/>
      <c r="AC100" s="24"/>
      <c r="AD100" s="24"/>
      <c r="AE100" s="24"/>
      <c r="AF100" s="24"/>
      <c r="AG100" s="24"/>
      <c r="AH100" s="24"/>
      <c r="AI100" s="24"/>
    </row>
    <row r="101" ht="14.25" customHeight="1">
      <c r="A101" s="1"/>
      <c r="B101" s="1"/>
      <c r="C101" s="1"/>
      <c r="D101" s="24"/>
      <c r="E101" s="43">
        <v>92.0</v>
      </c>
      <c r="F101" s="121"/>
      <c r="G101" s="61"/>
      <c r="H101" s="61"/>
      <c r="I101" s="61"/>
      <c r="J101" s="129">
        <v>4532.0</v>
      </c>
      <c r="K101" s="24"/>
      <c r="L101" s="112"/>
      <c r="M101" s="112"/>
      <c r="N101" s="112"/>
      <c r="O101" s="112"/>
      <c r="P101" s="112"/>
      <c r="Q101" s="113"/>
      <c r="R101" s="114"/>
      <c r="S101" s="114"/>
      <c r="T101" s="114"/>
      <c r="U101" s="115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</row>
    <row r="102" ht="14.25" customHeight="1">
      <c r="A102" s="1"/>
      <c r="B102" s="1"/>
      <c r="C102" s="1"/>
      <c r="D102" s="24"/>
      <c r="E102" s="43">
        <v>93.0</v>
      </c>
      <c r="F102" s="121"/>
      <c r="G102" s="61"/>
      <c r="H102" s="61"/>
      <c r="I102" s="61"/>
      <c r="J102" s="129">
        <v>4533.0</v>
      </c>
      <c r="K102" s="24"/>
      <c r="L102" s="112"/>
      <c r="M102" s="112"/>
      <c r="N102" s="112"/>
      <c r="O102" s="112"/>
      <c r="P102" s="112"/>
      <c r="Q102" s="113"/>
      <c r="R102" s="114"/>
      <c r="S102" s="114"/>
      <c r="T102" s="114"/>
      <c r="U102" s="115"/>
      <c r="V102" s="24"/>
      <c r="W102" s="24"/>
      <c r="X102" s="24"/>
      <c r="Y102" s="24"/>
      <c r="Z102" s="24"/>
      <c r="AA102" s="24"/>
      <c r="AB102" s="24"/>
      <c r="AC102" s="24"/>
      <c r="AD102" s="24"/>
      <c r="AE102" s="24"/>
      <c r="AF102" s="24"/>
      <c r="AG102" s="24"/>
      <c r="AH102" s="24"/>
      <c r="AI102" s="24"/>
    </row>
    <row r="103" ht="14.25" customHeight="1">
      <c r="A103" s="1"/>
      <c r="B103" s="1"/>
      <c r="C103" s="1"/>
      <c r="D103" s="24"/>
      <c r="E103" s="43">
        <v>94.0</v>
      </c>
      <c r="F103" s="121"/>
      <c r="G103" s="61"/>
      <c r="H103" s="61"/>
      <c r="I103" s="61"/>
      <c r="J103" s="46"/>
      <c r="K103" s="24"/>
      <c r="L103" s="112"/>
      <c r="M103" s="112"/>
      <c r="N103" s="112"/>
      <c r="O103" s="112"/>
      <c r="P103" s="112"/>
      <c r="Q103" s="113"/>
      <c r="R103" s="114"/>
      <c r="S103" s="114"/>
      <c r="T103" s="114"/>
      <c r="U103" s="115"/>
      <c r="V103" s="24"/>
      <c r="W103" s="24"/>
      <c r="X103" s="24"/>
      <c r="Y103" s="24"/>
      <c r="Z103" s="24"/>
      <c r="AA103" s="24"/>
      <c r="AB103" s="24"/>
      <c r="AC103" s="24"/>
      <c r="AD103" s="24"/>
      <c r="AE103" s="24"/>
      <c r="AF103" s="24"/>
      <c r="AG103" s="24"/>
      <c r="AH103" s="24"/>
      <c r="AI103" s="24"/>
    </row>
    <row r="104" ht="14.25" customHeight="1">
      <c r="A104" s="1"/>
      <c r="B104" s="1"/>
      <c r="C104" s="1"/>
      <c r="D104" s="1"/>
      <c r="E104" s="122"/>
      <c r="F104" s="123">
        <f t="shared" ref="F104:I104" si="4">SUM(F10:F103)</f>
        <v>30705</v>
      </c>
      <c r="G104" s="123">
        <f t="shared" si="4"/>
        <v>12677</v>
      </c>
      <c r="H104" s="123">
        <f t="shared" si="4"/>
        <v>10091</v>
      </c>
      <c r="I104" s="123">
        <f t="shared" si="4"/>
        <v>7937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18"/>
      <c r="C105" s="118"/>
      <c r="D105" s="1"/>
      <c r="E105" s="124"/>
      <c r="F105" s="124"/>
      <c r="G105" s="124"/>
      <c r="H105" s="124"/>
      <c r="I105" s="125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18"/>
      <c r="C106" s="1"/>
      <c r="D106" s="1"/>
      <c r="E106" s="8"/>
      <c r="F106" s="8"/>
      <c r="G106" s="8"/>
      <c r="H106" s="8"/>
      <c r="I106" s="8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8"/>
      <c r="F107" s="8"/>
      <c r="G107" s="8"/>
      <c r="H107" s="8"/>
      <c r="I107" s="8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8"/>
      <c r="F108" s="8"/>
      <c r="G108" s="8"/>
      <c r="H108" s="8"/>
      <c r="I108" s="8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8"/>
      <c r="F109" s="8"/>
      <c r="G109" s="8"/>
      <c r="H109" s="8"/>
      <c r="I109" s="8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8"/>
      <c r="F110" s="8"/>
      <c r="G110" s="8"/>
      <c r="H110" s="8"/>
      <c r="I110" s="8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26"/>
      <c r="H117" s="127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</row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107055.0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417137.0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67910.0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16776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9216</v>
      </c>
      <c r="D10" s="24"/>
      <c r="E10" s="43">
        <v>1.0</v>
      </c>
      <c r="F10" s="44">
        <v>324.0</v>
      </c>
      <c r="G10" s="45">
        <v>324.0</v>
      </c>
      <c r="H10" s="45"/>
      <c r="I10" s="45"/>
      <c r="J10" s="129">
        <v>4531.0</v>
      </c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7550</v>
      </c>
      <c r="D11" s="24"/>
      <c r="E11" s="43">
        <v>2.0</v>
      </c>
      <c r="F11" s="56">
        <v>179.0</v>
      </c>
      <c r="G11" s="57"/>
      <c r="H11" s="174">
        <v>179.0</v>
      </c>
      <c r="I11" s="59"/>
      <c r="J11" s="129" t="s">
        <v>88</v>
      </c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10</v>
      </c>
      <c r="D12" s="24"/>
      <c r="E12" s="43">
        <v>3.0</v>
      </c>
      <c r="F12" s="63">
        <v>118.0</v>
      </c>
      <c r="G12" s="64"/>
      <c r="H12" s="64">
        <v>118.0</v>
      </c>
      <c r="I12" s="65"/>
      <c r="J12" s="129">
        <v>4533.0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>
        <v>50.0</v>
      </c>
      <c r="G13" s="64"/>
      <c r="H13" s="64">
        <v>50.0</v>
      </c>
      <c r="I13" s="65"/>
      <c r="J13" s="129">
        <v>4534.0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1463.0</v>
      </c>
      <c r="G14" s="64">
        <v>1463.0</v>
      </c>
      <c r="H14" s="65"/>
      <c r="I14" s="65"/>
      <c r="J14" s="129">
        <v>4535.0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67.0</v>
      </c>
      <c r="G15" s="64"/>
      <c r="H15" s="64">
        <v>67.0</v>
      </c>
      <c r="I15" s="65"/>
      <c r="J15" s="129">
        <v>4536.0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>
        <v>196.0</v>
      </c>
      <c r="G16" s="64">
        <v>196.0</v>
      </c>
      <c r="H16" s="64"/>
      <c r="I16" s="65"/>
      <c r="J16" s="129">
        <v>4537.0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>
        <v>261.0</v>
      </c>
      <c r="G17" s="64">
        <v>261.0</v>
      </c>
      <c r="H17" s="64"/>
      <c r="I17" s="65"/>
      <c r="J17" s="129">
        <v>4538.0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819.0</v>
      </c>
      <c r="G18" s="64"/>
      <c r="H18" s="138">
        <v>819.0</v>
      </c>
      <c r="I18" s="65"/>
      <c r="J18" s="129" t="s">
        <v>88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152.0</v>
      </c>
      <c r="G19" s="64"/>
      <c r="H19" s="64">
        <v>152.0</v>
      </c>
      <c r="I19" s="65"/>
      <c r="J19" s="129">
        <v>4540.0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67920</v>
      </c>
      <c r="D20" s="24"/>
      <c r="E20" s="43">
        <v>11.0</v>
      </c>
      <c r="F20" s="56">
        <v>375.0</v>
      </c>
      <c r="G20" s="64">
        <v>375.0</v>
      </c>
      <c r="H20" s="64"/>
      <c r="I20" s="65"/>
      <c r="J20" s="129">
        <v>4541.0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424687</v>
      </c>
      <c r="D21" s="24"/>
      <c r="E21" s="43">
        <v>12.0</v>
      </c>
      <c r="F21" s="56">
        <v>862.0</v>
      </c>
      <c r="G21" s="64">
        <v>862.0</v>
      </c>
      <c r="H21" s="64"/>
      <c r="I21" s="65"/>
      <c r="J21" s="129">
        <v>4542.0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116271</v>
      </c>
      <c r="D22" s="24"/>
      <c r="E22" s="43">
        <v>13.0</v>
      </c>
      <c r="F22" s="56">
        <v>569.0</v>
      </c>
      <c r="G22" s="64">
        <v>569.0</v>
      </c>
      <c r="H22" s="64"/>
      <c r="I22" s="65"/>
      <c r="J22" s="129">
        <v>4543.0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139">
        <v>116271.0</v>
      </c>
      <c r="D23" s="24"/>
      <c r="E23" s="43">
        <v>14.0</v>
      </c>
      <c r="F23" s="56">
        <v>1181.0</v>
      </c>
      <c r="G23" s="65"/>
      <c r="H23" s="64">
        <v>1181.0</v>
      </c>
      <c r="I23" s="65"/>
      <c r="J23" s="129">
        <v>4544.0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>
        <v>10.0</v>
      </c>
      <c r="G24" s="64"/>
      <c r="H24" s="64">
        <v>10.0</v>
      </c>
      <c r="I24" s="65"/>
      <c r="J24" s="129">
        <v>4545.0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100.0</v>
      </c>
      <c r="G25" s="64">
        <v>100.0</v>
      </c>
      <c r="H25" s="65"/>
      <c r="I25" s="65"/>
      <c r="J25" s="129">
        <v>4546.0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16776</v>
      </c>
      <c r="D26" s="24"/>
      <c r="E26" s="43">
        <v>17.0</v>
      </c>
      <c r="F26" s="56">
        <v>262.0</v>
      </c>
      <c r="G26" s="64"/>
      <c r="H26" s="64">
        <v>262.0</v>
      </c>
      <c r="I26" s="65"/>
      <c r="J26" s="129">
        <v>4547.0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64.0</v>
      </c>
      <c r="D27" s="24"/>
      <c r="E27" s="43">
        <v>18.0</v>
      </c>
      <c r="F27" s="56">
        <v>494.0</v>
      </c>
      <c r="G27" s="64"/>
      <c r="H27" s="175">
        <v>494.0</v>
      </c>
      <c r="I27" s="65"/>
      <c r="J27" s="129">
        <v>4548.0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>
        <f>C26/C27</f>
        <v>262.125</v>
      </c>
      <c r="D28" s="24"/>
      <c r="E28" s="43">
        <v>19.0</v>
      </c>
      <c r="F28" s="56">
        <v>32.0</v>
      </c>
      <c r="G28" s="64"/>
      <c r="H28" s="64">
        <v>32.0</v>
      </c>
      <c r="I28" s="65"/>
      <c r="J28" s="129">
        <v>4549.0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471.0</v>
      </c>
      <c r="G29" s="64">
        <v>471.0</v>
      </c>
      <c r="H29" s="65"/>
      <c r="I29" s="65"/>
      <c r="J29" s="129">
        <v>4550.0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533.0</v>
      </c>
      <c r="G30" s="92"/>
      <c r="H30" s="153">
        <v>533.0</v>
      </c>
      <c r="I30" s="93"/>
      <c r="J30" s="129">
        <v>4551.0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257.0</v>
      </c>
      <c r="G31" s="93">
        <v>38.0</v>
      </c>
      <c r="H31" s="153">
        <v>219.0</v>
      </c>
      <c r="I31" s="92"/>
      <c r="J31" s="129">
        <v>4552.0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45.0</v>
      </c>
      <c r="G32" s="93">
        <v>45.0</v>
      </c>
      <c r="H32" s="92"/>
      <c r="I32" s="92"/>
      <c r="J32" s="129">
        <v>4553.0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120.0</v>
      </c>
      <c r="G33" s="93">
        <v>120.0</v>
      </c>
      <c r="H33" s="92"/>
      <c r="I33" s="92"/>
      <c r="J33" s="129">
        <v>4554.0</v>
      </c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85.0</v>
      </c>
      <c r="G34" s="93">
        <v>85.0</v>
      </c>
      <c r="H34" s="92"/>
      <c r="I34" s="92"/>
      <c r="J34" s="129">
        <v>4555.0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186.0</v>
      </c>
      <c r="G35" s="93"/>
      <c r="H35" s="93">
        <v>186.0</v>
      </c>
      <c r="I35" s="92"/>
      <c r="J35" s="129">
        <v>4556.0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374.0</v>
      </c>
      <c r="G36" s="92"/>
      <c r="H36" s="146">
        <v>374.0</v>
      </c>
      <c r="I36" s="92"/>
      <c r="J36" s="129" t="s">
        <v>88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130.0</v>
      </c>
      <c r="G37" s="93">
        <v>130.0</v>
      </c>
      <c r="H37" s="92"/>
      <c r="I37" s="92"/>
      <c r="J37" s="129">
        <v>4558.0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143.0</v>
      </c>
      <c r="G38" s="93">
        <v>143.0</v>
      </c>
      <c r="H38" s="92"/>
      <c r="I38" s="92"/>
      <c r="J38" s="129">
        <v>4559.0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9.0</v>
      </c>
      <c r="G39" s="93">
        <v>9.0</v>
      </c>
      <c r="H39" s="93"/>
      <c r="I39" s="92"/>
      <c r="J39" s="129">
        <v>4560.0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>
        <v>50.0</v>
      </c>
      <c r="G40" s="93">
        <v>50.0</v>
      </c>
      <c r="H40" s="93"/>
      <c r="I40" s="92"/>
      <c r="J40" s="129">
        <v>4561.0</v>
      </c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>
        <v>449.0</v>
      </c>
      <c r="G41" s="93">
        <v>449.0</v>
      </c>
      <c r="H41" s="93"/>
      <c r="I41" s="92"/>
      <c r="J41" s="129">
        <v>4562.0</v>
      </c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>
        <v>60.0</v>
      </c>
      <c r="G42" s="93">
        <v>50.0</v>
      </c>
      <c r="H42" s="93">
        <v>10.0</v>
      </c>
      <c r="I42" s="92"/>
      <c r="J42" s="129">
        <v>4563.0</v>
      </c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>
        <v>85.0</v>
      </c>
      <c r="G43" s="93">
        <v>40.0</v>
      </c>
      <c r="H43" s="93">
        <v>45.0</v>
      </c>
      <c r="I43" s="92"/>
      <c r="J43" s="129">
        <v>4564.0</v>
      </c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>
        <v>31.0</v>
      </c>
      <c r="G44" s="93">
        <v>31.0</v>
      </c>
      <c r="H44" s="93"/>
      <c r="I44" s="92"/>
      <c r="J44" s="129">
        <v>4565.0</v>
      </c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>
        <v>697.0</v>
      </c>
      <c r="G45" s="93"/>
      <c r="H45" s="93">
        <v>697.0</v>
      </c>
      <c r="I45" s="92"/>
      <c r="J45" s="129">
        <v>4566.0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>
        <v>248.0</v>
      </c>
      <c r="G46" s="93">
        <v>248.0</v>
      </c>
      <c r="H46" s="92"/>
      <c r="I46" s="92"/>
      <c r="J46" s="129">
        <v>4567.0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>
        <v>350.0</v>
      </c>
      <c r="G47" s="93">
        <v>350.0</v>
      </c>
      <c r="H47" s="93"/>
      <c r="I47" s="92"/>
      <c r="J47" s="129">
        <v>4568.0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56">
        <v>146.0</v>
      </c>
      <c r="G48" s="93">
        <v>146.0</v>
      </c>
      <c r="H48" s="92"/>
      <c r="I48" s="92"/>
      <c r="J48" s="129">
        <v>4569.0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76">
        <v>475.0</v>
      </c>
      <c r="G49" s="93">
        <v>475.0</v>
      </c>
      <c r="H49" s="92"/>
      <c r="I49" s="92"/>
      <c r="J49" s="129">
        <v>4570.0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56">
        <v>635.0</v>
      </c>
      <c r="G50" s="92"/>
      <c r="H50" s="146">
        <v>635.0</v>
      </c>
      <c r="I50" s="92"/>
      <c r="J50" s="129" t="s">
        <v>146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56">
        <v>16.0</v>
      </c>
      <c r="G51" s="93">
        <v>16.0</v>
      </c>
      <c r="H51" s="92"/>
      <c r="I51" s="92"/>
      <c r="J51" s="129">
        <v>4572.0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56">
        <v>197.0</v>
      </c>
      <c r="G52" s="93">
        <v>197.0</v>
      </c>
      <c r="H52" s="92"/>
      <c r="I52" s="92"/>
      <c r="J52" s="129">
        <v>4573.0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56">
        <v>271.0</v>
      </c>
      <c r="G53" s="92"/>
      <c r="H53" s="93">
        <v>271.0</v>
      </c>
      <c r="I53" s="92"/>
      <c r="J53" s="129">
        <v>4574.0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56">
        <v>68.0</v>
      </c>
      <c r="G54" s="93">
        <v>68.0</v>
      </c>
      <c r="H54" s="92"/>
      <c r="I54" s="92"/>
      <c r="J54" s="129">
        <v>4575.0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56">
        <v>231.0</v>
      </c>
      <c r="G55" s="92"/>
      <c r="H55" s="93">
        <v>231.0</v>
      </c>
      <c r="I55" s="92"/>
      <c r="J55" s="129">
        <v>4576.0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56">
        <v>216.0</v>
      </c>
      <c r="G56" s="93">
        <v>216.0</v>
      </c>
      <c r="H56" s="92"/>
      <c r="I56" s="92"/>
      <c r="J56" s="129">
        <v>4577.0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56">
        <v>110.0</v>
      </c>
      <c r="G57" s="92"/>
      <c r="H57" s="93">
        <v>110.0</v>
      </c>
      <c r="I57" s="92"/>
      <c r="J57" s="129">
        <v>4578.0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56">
        <v>324.0</v>
      </c>
      <c r="G58" s="92"/>
      <c r="H58" s="93">
        <v>324.0</v>
      </c>
      <c r="I58" s="92"/>
      <c r="J58" s="129">
        <v>4579.0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56">
        <v>109.0</v>
      </c>
      <c r="G59" s="93">
        <v>109.0</v>
      </c>
      <c r="H59" s="92"/>
      <c r="I59" s="92"/>
      <c r="J59" s="129">
        <v>4580.0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56">
        <v>418.0</v>
      </c>
      <c r="G60" s="93">
        <v>418.0</v>
      </c>
      <c r="H60" s="92"/>
      <c r="I60" s="92"/>
      <c r="J60" s="129">
        <v>4581.0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56">
        <v>98.0</v>
      </c>
      <c r="G61" s="92"/>
      <c r="H61" s="93">
        <v>98.0</v>
      </c>
      <c r="I61" s="92"/>
      <c r="J61" s="129">
        <v>4582.0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56">
        <v>54.0</v>
      </c>
      <c r="G62" s="93">
        <v>54.0</v>
      </c>
      <c r="H62" s="92"/>
      <c r="I62" s="92"/>
      <c r="J62" s="129">
        <v>4583.0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56">
        <v>10.0</v>
      </c>
      <c r="G63" s="92"/>
      <c r="H63" s="93">
        <v>10.0</v>
      </c>
      <c r="I63" s="92"/>
      <c r="J63" s="129">
        <v>4584.0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56">
        <v>365.0</v>
      </c>
      <c r="G64" s="93">
        <v>365.0</v>
      </c>
      <c r="H64" s="92"/>
      <c r="I64" s="92"/>
      <c r="J64" s="129">
        <v>4585.0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56">
        <v>17.0</v>
      </c>
      <c r="G65" s="93">
        <v>17.0</v>
      </c>
      <c r="H65" s="92"/>
      <c r="I65" s="92"/>
      <c r="J65" s="129">
        <v>4586.0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56">
        <v>128.0</v>
      </c>
      <c r="G66" s="93">
        <v>128.0</v>
      </c>
      <c r="H66" s="92"/>
      <c r="I66" s="92"/>
      <c r="J66" s="129">
        <v>4587.0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56">
        <v>32.0</v>
      </c>
      <c r="G67" s="92"/>
      <c r="H67" s="93">
        <v>32.0</v>
      </c>
      <c r="I67" s="92"/>
      <c r="J67" s="129">
        <v>4588.0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56">
        <v>165.0</v>
      </c>
      <c r="G68" s="92"/>
      <c r="H68" s="93">
        <v>155.0</v>
      </c>
      <c r="I68" s="93">
        <v>10.0</v>
      </c>
      <c r="J68" s="129">
        <v>4589.0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56">
        <v>393.0</v>
      </c>
      <c r="G69" s="93">
        <v>393.0</v>
      </c>
      <c r="H69" s="92"/>
      <c r="I69" s="92"/>
      <c r="J69" s="129">
        <v>4590.0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56">
        <v>60.0</v>
      </c>
      <c r="G70" s="92"/>
      <c r="H70" s="93">
        <v>60.0</v>
      </c>
      <c r="I70" s="92"/>
      <c r="J70" s="129">
        <v>4591.0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56">
        <v>51.0</v>
      </c>
      <c r="G71" s="93">
        <v>51.0</v>
      </c>
      <c r="H71" s="92"/>
      <c r="I71" s="92"/>
      <c r="J71" s="129">
        <v>4592.0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56">
        <v>196.0</v>
      </c>
      <c r="G72" s="92"/>
      <c r="H72" s="93">
        <v>196.0</v>
      </c>
      <c r="I72" s="92"/>
      <c r="J72" s="129">
        <v>4593.0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56">
        <v>154.0</v>
      </c>
      <c r="G73" s="93">
        <v>154.0</v>
      </c>
      <c r="H73" s="92"/>
      <c r="I73" s="92"/>
      <c r="J73" s="129">
        <v>4594.0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129">
        <v>4595.0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129">
        <v>4596.0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129">
        <v>4597.0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129">
        <v>4598.0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29">
        <v>4599.0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29">
        <v>4600.0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29">
        <v>4601.0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29">
        <v>4602.0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29">
        <v>4603.0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29">
        <v>4604.0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29">
        <v>4605.0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29">
        <v>4606.0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29">
        <v>4607.0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29">
        <v>4608.0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29">
        <v>4609.0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29">
        <v>4610.0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29">
        <v>4611.0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29">
        <v>4612.0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29">
        <v>4613.0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29">
        <v>4614.0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29">
        <v>4615.0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16776</v>
      </c>
      <c r="G97" s="123">
        <f t="shared" si="4"/>
        <v>9216</v>
      </c>
      <c r="H97" s="123">
        <f t="shared" si="4"/>
        <v>7550</v>
      </c>
      <c r="I97" s="123">
        <f t="shared" si="4"/>
        <v>10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18" t="s">
        <v>42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46013.0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>
        <v>116271.0</v>
      </c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>
        <v>424687.0</v>
      </c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>
        <v>67920.0</v>
      </c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9933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5795</v>
      </c>
      <c r="D10" s="24"/>
      <c r="E10" s="43">
        <v>1.0</v>
      </c>
      <c r="F10" s="44">
        <v>331.0</v>
      </c>
      <c r="G10" s="45">
        <v>331.0</v>
      </c>
      <c r="H10" s="45"/>
      <c r="I10" s="45"/>
      <c r="J10" s="129">
        <v>4595.0</v>
      </c>
      <c r="K10" s="24"/>
      <c r="L10" s="47">
        <v>7603.0</v>
      </c>
      <c r="M10" s="47"/>
      <c r="N10" s="47">
        <v>4519.0</v>
      </c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1663</v>
      </c>
      <c r="D11" s="24"/>
      <c r="E11" s="43">
        <v>2.0</v>
      </c>
      <c r="F11" s="56">
        <v>40.0</v>
      </c>
      <c r="G11" s="57">
        <v>40.0</v>
      </c>
      <c r="H11" s="58"/>
      <c r="I11" s="59"/>
      <c r="J11" s="129">
        <v>4596.0</v>
      </c>
      <c r="K11" s="24"/>
      <c r="L11" s="47">
        <v>3658.0</v>
      </c>
      <c r="M11" s="48"/>
      <c r="N11" s="47" t="s">
        <v>147</v>
      </c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2475</v>
      </c>
      <c r="D12" s="24"/>
      <c r="E12" s="43">
        <v>3.0</v>
      </c>
      <c r="F12" s="63">
        <v>2154.0</v>
      </c>
      <c r="G12" s="64"/>
      <c r="H12" s="64"/>
      <c r="I12" s="64">
        <v>2154.0</v>
      </c>
      <c r="J12" s="129" t="s">
        <v>148</v>
      </c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11261</v>
      </c>
      <c r="D13" s="24"/>
      <c r="E13" s="43">
        <v>4.0</v>
      </c>
      <c r="F13" s="56">
        <v>70.0</v>
      </c>
      <c r="G13" s="64">
        <v>70.0</v>
      </c>
      <c r="H13" s="65"/>
      <c r="I13" s="65"/>
      <c r="J13" s="129">
        <v>4598.0</v>
      </c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>
        <v>125.0</v>
      </c>
      <c r="G14" s="64"/>
      <c r="H14" s="64">
        <v>125.0</v>
      </c>
      <c r="I14" s="65"/>
      <c r="J14" s="129">
        <v>4599.0</v>
      </c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>
        <v>473.0</v>
      </c>
      <c r="G15" s="64">
        <v>473.0</v>
      </c>
      <c r="H15" s="64"/>
      <c r="I15" s="65"/>
      <c r="J15" s="129">
        <v>4600.0</v>
      </c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>
        <v>300.0</v>
      </c>
      <c r="G16" s="64">
        <v>300.0</v>
      </c>
      <c r="H16" s="64"/>
      <c r="I16" s="65"/>
      <c r="J16" s="129">
        <v>4601.0</v>
      </c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>
        <v>25.0</v>
      </c>
      <c r="G17" s="64">
        <v>25.0</v>
      </c>
      <c r="H17" s="64"/>
      <c r="I17" s="65"/>
      <c r="J17" s="129">
        <v>4602.0</v>
      </c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>
        <v>31.0</v>
      </c>
      <c r="G18" s="64">
        <v>31.0</v>
      </c>
      <c r="H18" s="64"/>
      <c r="I18" s="65"/>
      <c r="J18" s="129">
        <v>4603.0</v>
      </c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>
        <v>2026.0</v>
      </c>
      <c r="G19" s="64">
        <v>2026.0</v>
      </c>
      <c r="H19" s="65"/>
      <c r="I19" s="65"/>
      <c r="J19" s="129">
        <v>4604.0</v>
      </c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59134</v>
      </c>
      <c r="D20" s="24"/>
      <c r="E20" s="43">
        <v>11.0</v>
      </c>
      <c r="F20" s="56">
        <v>889.0</v>
      </c>
      <c r="G20" s="65"/>
      <c r="H20" s="64">
        <v>889.0</v>
      </c>
      <c r="I20" s="65"/>
      <c r="J20" s="129">
        <v>4605.0</v>
      </c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426350</v>
      </c>
      <c r="D21" s="24"/>
      <c r="E21" s="43">
        <v>12.0</v>
      </c>
      <c r="F21" s="56">
        <v>172.0</v>
      </c>
      <c r="G21" s="64">
        <v>172.0</v>
      </c>
      <c r="H21" s="64"/>
      <c r="I21" s="65"/>
      <c r="J21" s="129">
        <v>4606.0</v>
      </c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133327</v>
      </c>
      <c r="D22" s="24"/>
      <c r="E22" s="43">
        <v>13.0</v>
      </c>
      <c r="F22" s="56">
        <v>118.0</v>
      </c>
      <c r="G22" s="64">
        <v>118.0</v>
      </c>
      <c r="H22" s="64"/>
      <c r="I22" s="65"/>
      <c r="J22" s="129">
        <v>4607.0</v>
      </c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>
        <v>65.0</v>
      </c>
      <c r="G23" s="65"/>
      <c r="H23" s="64">
        <v>65.0</v>
      </c>
      <c r="I23" s="65"/>
      <c r="J23" s="129">
        <v>4608.0</v>
      </c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133327</v>
      </c>
      <c r="D24" s="24"/>
      <c r="E24" s="43">
        <v>15.0</v>
      </c>
      <c r="F24" s="56">
        <v>46.0</v>
      </c>
      <c r="G24" s="64">
        <v>46.0</v>
      </c>
      <c r="H24" s="65"/>
      <c r="I24" s="65"/>
      <c r="J24" s="129">
        <v>4609.0</v>
      </c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>
        <v>364.0</v>
      </c>
      <c r="G25" s="64">
        <v>364.0</v>
      </c>
      <c r="H25" s="65"/>
      <c r="I25" s="65"/>
      <c r="J25" s="129">
        <v>4610.0</v>
      </c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9933</v>
      </c>
      <c r="D26" s="24"/>
      <c r="E26" s="43">
        <v>17.0</v>
      </c>
      <c r="F26" s="56">
        <v>143.0</v>
      </c>
      <c r="G26" s="64"/>
      <c r="H26" s="64">
        <v>143.0</v>
      </c>
      <c r="I26" s="65"/>
      <c r="J26" s="129">
        <v>4611.0</v>
      </c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>
        <v>86.0</v>
      </c>
      <c r="G27" s="64">
        <v>86.0</v>
      </c>
      <c r="H27" s="65"/>
      <c r="I27" s="65"/>
      <c r="J27" s="129">
        <v>4612.0</v>
      </c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>
        <v>584.0</v>
      </c>
      <c r="G28" s="64">
        <v>584.0</v>
      </c>
      <c r="H28" s="65"/>
      <c r="I28" s="65"/>
      <c r="J28" s="129">
        <v>4613.0</v>
      </c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>
        <v>425.0</v>
      </c>
      <c r="G29" s="64"/>
      <c r="H29" s="64">
        <v>425.0</v>
      </c>
      <c r="I29" s="65"/>
      <c r="J29" s="129">
        <v>4614.0</v>
      </c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>
        <v>205.0</v>
      </c>
      <c r="G30" s="93">
        <v>205.0</v>
      </c>
      <c r="H30" s="92"/>
      <c r="I30" s="93"/>
      <c r="J30" s="129">
        <v>4615.0</v>
      </c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>
        <v>214.0</v>
      </c>
      <c r="G31" s="93">
        <v>214.0</v>
      </c>
      <c r="H31" s="92"/>
      <c r="I31" s="92"/>
      <c r="J31" s="129">
        <v>4616.0</v>
      </c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>
        <v>79.0</v>
      </c>
      <c r="G32" s="93">
        <v>79.0</v>
      </c>
      <c r="H32" s="92"/>
      <c r="I32" s="92"/>
      <c r="J32" s="129">
        <v>4617.0</v>
      </c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>
        <v>92.0</v>
      </c>
      <c r="G33" s="93">
        <v>92.0</v>
      </c>
      <c r="H33" s="92"/>
      <c r="I33" s="92"/>
      <c r="J33" s="129">
        <v>4618.0</v>
      </c>
      <c r="K33" s="24"/>
      <c r="L33" s="104">
        <f t="shared" ref="L33:M33" si="2">sum(L10:L32)</f>
        <v>11261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>
        <v>130.0</v>
      </c>
      <c r="G34" s="93">
        <v>130.0</v>
      </c>
      <c r="H34" s="92"/>
      <c r="I34" s="92"/>
      <c r="J34" s="129">
        <v>4619.0</v>
      </c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>
        <v>14.0</v>
      </c>
      <c r="G35" s="93"/>
      <c r="H35" s="93">
        <v>14.0</v>
      </c>
      <c r="I35" s="92"/>
      <c r="J35" s="129">
        <v>4620.0</v>
      </c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>
        <v>399.0</v>
      </c>
      <c r="G36" s="93">
        <v>399.0</v>
      </c>
      <c r="H36" s="93"/>
      <c r="I36" s="92"/>
      <c r="J36" s="129">
        <v>4621.0</v>
      </c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>
        <v>10.0</v>
      </c>
      <c r="G37" s="93">
        <v>10.0</v>
      </c>
      <c r="H37" s="92"/>
      <c r="I37" s="92"/>
      <c r="J37" s="129">
        <v>4622.0</v>
      </c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>
        <v>321.0</v>
      </c>
      <c r="G38" s="93"/>
      <c r="H38" s="92"/>
      <c r="I38" s="93">
        <v>321.0</v>
      </c>
      <c r="J38" s="129" t="s">
        <v>149</v>
      </c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>
        <v>2.0</v>
      </c>
      <c r="G39" s="93"/>
      <c r="H39" s="93">
        <v>2.0</v>
      </c>
      <c r="I39" s="92"/>
      <c r="J39" s="129">
        <v>4624.0</v>
      </c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129">
        <v>4625.0</v>
      </c>
      <c r="K40" s="24"/>
      <c r="L40" s="112"/>
      <c r="M40" s="140"/>
      <c r="N40" s="140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129">
        <v>4626.0</v>
      </c>
      <c r="K41" s="24"/>
      <c r="L41" s="112"/>
      <c r="M41" s="140"/>
      <c r="N41" s="140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129">
        <v>4627.0</v>
      </c>
      <c r="K42" s="24"/>
      <c r="L42" s="177"/>
      <c r="M42" s="148" t="s">
        <v>150</v>
      </c>
      <c r="N42" s="140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129">
        <v>4628.0</v>
      </c>
      <c r="K43" s="24"/>
      <c r="L43" s="112"/>
      <c r="M43" s="140"/>
      <c r="N43" s="140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129">
        <v>4629.0</v>
      </c>
      <c r="K44" s="24"/>
      <c r="L44" s="112"/>
      <c r="M44" s="140"/>
      <c r="N44" s="140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129">
        <v>4630.0</v>
      </c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129">
        <v>4631.0</v>
      </c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129">
        <v>4632.0</v>
      </c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129">
        <v>4633.0</v>
      </c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129">
        <v>4634.0</v>
      </c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129">
        <v>4635.0</v>
      </c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129">
        <v>4636.0</v>
      </c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129">
        <v>4637.0</v>
      </c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129">
        <v>4638.0</v>
      </c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129">
        <v>4639.0</v>
      </c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129">
        <v>4640.0</v>
      </c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129">
        <v>4641.0</v>
      </c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129">
        <v>4642.0</v>
      </c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129">
        <v>4643.0</v>
      </c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129">
        <v>4644.0</v>
      </c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129">
        <v>4645.0</v>
      </c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129">
        <v>4646.0</v>
      </c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129">
        <v>4647.0</v>
      </c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129">
        <v>4648.0</v>
      </c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129">
        <v>4649.0</v>
      </c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129">
        <v>4650.0</v>
      </c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129">
        <v>4651.0</v>
      </c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129">
        <v>4652.0</v>
      </c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129">
        <v>4653.0</v>
      </c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129">
        <v>4654.0</v>
      </c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129">
        <v>4655.0</v>
      </c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129">
        <v>4656.0</v>
      </c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129">
        <v>4657.0</v>
      </c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129">
        <v>4658.0</v>
      </c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129">
        <v>4659.0</v>
      </c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129">
        <v>4660.0</v>
      </c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129">
        <v>4661.0</v>
      </c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129">
        <v>4662.0</v>
      </c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129">
        <v>4663.0</v>
      </c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129">
        <v>4664.0</v>
      </c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129">
        <v>4665.0</v>
      </c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129">
        <v>4666.0</v>
      </c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129">
        <v>4667.0</v>
      </c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129">
        <v>4668.0</v>
      </c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129">
        <v>4669.0</v>
      </c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129">
        <v>4670.0</v>
      </c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129">
        <v>4671.0</v>
      </c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129">
        <v>4672.0</v>
      </c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129">
        <v>4673.0</v>
      </c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129">
        <v>4674.0</v>
      </c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129">
        <v>4675.0</v>
      </c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129">
        <v>4676.0</v>
      </c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129">
        <v>4677.0</v>
      </c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129">
        <v>4678.0</v>
      </c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129">
        <v>4679.0</v>
      </c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129">
        <v>4680.0</v>
      </c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129">
        <v>4681.0</v>
      </c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9933</v>
      </c>
      <c r="G97" s="123">
        <f t="shared" si="4"/>
        <v>5795</v>
      </c>
      <c r="H97" s="123">
        <f t="shared" si="4"/>
        <v>1663</v>
      </c>
      <c r="I97" s="123">
        <f t="shared" si="4"/>
        <v>2475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46014.0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46015.0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46016.0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46017.0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46018.0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46019.0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46020.0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FE2F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46021.0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9EAD3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31.14"/>
    <col customWidth="1" min="3" max="3" width="18.71"/>
    <col customWidth="1" min="4" max="4" width="2.0"/>
    <col customWidth="1" min="5" max="5" width="6.0"/>
    <col customWidth="1" min="6" max="9" width="14.71"/>
    <col customWidth="1" min="10" max="10" width="20.14"/>
    <col customWidth="1" min="11" max="11" width="4.29"/>
    <col customWidth="1" min="12" max="12" width="15.86"/>
    <col customWidth="1" min="13" max="13" width="15.71"/>
    <col customWidth="1" min="14" max="14" width="16.14"/>
    <col customWidth="1" min="15" max="15" width="1.43"/>
    <col customWidth="1" min="16" max="16" width="22.71"/>
    <col customWidth="1" min="17" max="17" width="9.86"/>
    <col customWidth="1" min="18" max="18" width="13.0"/>
    <col customWidth="1" min="19" max="19" width="11.29"/>
    <col customWidth="1" min="20" max="20" width="12.43"/>
    <col customWidth="1" min="21" max="21" width="25.14"/>
    <col customWidth="1" min="22" max="22" width="6.71"/>
    <col customWidth="1" min="23" max="23" width="19.0"/>
    <col customWidth="1" min="24" max="24" width="14.0"/>
    <col customWidth="1" min="25" max="25" width="21.71"/>
    <col customWidth="1" min="26" max="39" width="8.71"/>
  </cols>
  <sheetData>
    <row r="1" ht="14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14.25" customHeight="1">
      <c r="A2" s="1"/>
      <c r="B2" s="2" t="s">
        <v>0</v>
      </c>
      <c r="C2" s="128">
        <v>46022.0</v>
      </c>
      <c r="D2" s="1"/>
      <c r="E2" s="1"/>
      <c r="F2" s="1"/>
      <c r="G2" s="4"/>
      <c r="H2" s="4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</row>
    <row r="3" ht="14.25" customHeight="1">
      <c r="A3" s="1"/>
      <c r="B3" s="5" t="s">
        <v>41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7"/>
      <c r="Z3" s="1"/>
      <c r="AA3" s="1"/>
      <c r="AB3" s="1"/>
      <c r="AC3" s="1"/>
      <c r="AD3" s="1"/>
      <c r="AE3" s="1"/>
      <c r="AF3" s="1"/>
      <c r="AG3" s="1"/>
      <c r="AH3" s="1"/>
      <c r="AI3" s="1"/>
    </row>
    <row r="4" ht="14.25" customHeight="1">
      <c r="A4" s="1"/>
      <c r="B4" s="8"/>
      <c r="C4" s="8"/>
      <c r="D4" s="1"/>
      <c r="E4" s="1"/>
      <c r="F4" s="1"/>
      <c r="G4" s="1"/>
      <c r="H4" s="1"/>
      <c r="I4" s="1"/>
      <c r="J4" s="1"/>
      <c r="K4" s="1"/>
      <c r="L4" s="9"/>
      <c r="M4" s="9"/>
      <c r="N4" s="9"/>
      <c r="O4" s="9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</row>
    <row r="5" ht="14.25" customHeight="1">
      <c r="A5" s="10"/>
      <c r="B5" s="11" t="s">
        <v>2</v>
      </c>
      <c r="C5" s="12"/>
      <c r="D5" s="10"/>
      <c r="E5" s="13" t="s">
        <v>3</v>
      </c>
      <c r="F5" s="14"/>
      <c r="G5" s="14"/>
      <c r="H5" s="14"/>
      <c r="I5" s="14"/>
      <c r="J5" s="15"/>
      <c r="K5" s="10"/>
      <c r="L5" s="16" t="s">
        <v>4</v>
      </c>
      <c r="M5" s="14"/>
      <c r="N5" s="15"/>
      <c r="O5" s="17"/>
      <c r="P5" s="18" t="s">
        <v>5</v>
      </c>
      <c r="Q5" s="14"/>
      <c r="R5" s="14"/>
      <c r="S5" s="14"/>
      <c r="T5" s="14"/>
      <c r="U5" s="15"/>
      <c r="V5" s="10"/>
      <c r="W5" s="19" t="s">
        <v>6</v>
      </c>
      <c r="X5" s="14"/>
      <c r="Y5" s="15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ht="14.25" customHeight="1">
      <c r="A6" s="10"/>
      <c r="B6" s="20" t="s">
        <v>7</v>
      </c>
      <c r="C6" s="21"/>
      <c r="D6" s="10"/>
      <c r="E6" s="22"/>
      <c r="J6" s="23"/>
      <c r="K6" s="10"/>
      <c r="L6" s="22"/>
      <c r="N6" s="23"/>
      <c r="O6" s="17"/>
      <c r="P6" s="22"/>
      <c r="U6" s="23"/>
      <c r="V6" s="10"/>
      <c r="W6" s="22"/>
      <c r="Y6" s="23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ht="14.25" customHeight="1">
      <c r="A7" s="24"/>
      <c r="B7" s="25" t="s">
        <v>8</v>
      </c>
      <c r="C7" s="21"/>
      <c r="D7" s="24"/>
      <c r="E7" s="26"/>
      <c r="F7" s="27"/>
      <c r="G7" s="27"/>
      <c r="H7" s="27"/>
      <c r="I7" s="27"/>
      <c r="J7" s="28"/>
      <c r="K7" s="24"/>
      <c r="L7" s="26"/>
      <c r="M7" s="27"/>
      <c r="N7" s="28"/>
      <c r="O7" s="17"/>
      <c r="P7" s="26"/>
      <c r="Q7" s="27"/>
      <c r="R7" s="27"/>
      <c r="S7" s="27"/>
      <c r="T7" s="27"/>
      <c r="U7" s="28"/>
      <c r="V7" s="24"/>
      <c r="W7" s="26"/>
      <c r="X7" s="27"/>
      <c r="Y7" s="28"/>
      <c r="Z7" s="24"/>
      <c r="AA7" s="24"/>
      <c r="AB7" s="24"/>
      <c r="AC7" s="24"/>
      <c r="AD7" s="24"/>
      <c r="AE7" s="24"/>
      <c r="AF7" s="24"/>
      <c r="AG7" s="24"/>
      <c r="AH7" s="24"/>
      <c r="AI7" s="24"/>
    </row>
    <row r="8" ht="14.25" customHeight="1">
      <c r="A8" s="24"/>
      <c r="B8" s="25" t="s">
        <v>9</v>
      </c>
      <c r="C8" s="21"/>
      <c r="D8" s="24"/>
      <c r="E8" s="29" t="s">
        <v>10</v>
      </c>
      <c r="F8" s="29" t="s">
        <v>11</v>
      </c>
      <c r="G8" s="29" t="s">
        <v>12</v>
      </c>
      <c r="H8" s="30" t="s">
        <v>13</v>
      </c>
      <c r="I8" s="29" t="s">
        <v>14</v>
      </c>
      <c r="J8" s="31" t="s">
        <v>15</v>
      </c>
      <c r="K8" s="24"/>
      <c r="L8" s="32" t="s">
        <v>12</v>
      </c>
      <c r="M8" s="32" t="s">
        <v>13</v>
      </c>
      <c r="N8" s="32" t="s">
        <v>15</v>
      </c>
      <c r="O8" s="17"/>
      <c r="P8" s="33" t="s">
        <v>16</v>
      </c>
      <c r="Q8" s="34" t="s">
        <v>17</v>
      </c>
      <c r="R8" s="35" t="s">
        <v>12</v>
      </c>
      <c r="S8" s="36" t="s">
        <v>13</v>
      </c>
      <c r="T8" s="35" t="s">
        <v>14</v>
      </c>
      <c r="U8" s="34" t="s">
        <v>15</v>
      </c>
      <c r="V8" s="24"/>
      <c r="W8" s="32" t="s">
        <v>12</v>
      </c>
      <c r="X8" s="32" t="s">
        <v>13</v>
      </c>
      <c r="Y8" s="32" t="s">
        <v>15</v>
      </c>
      <c r="Z8" s="24"/>
      <c r="AA8" s="24"/>
      <c r="AB8" s="24"/>
      <c r="AC8" s="24"/>
      <c r="AD8" s="24"/>
      <c r="AE8" s="24"/>
      <c r="AF8" s="24"/>
      <c r="AG8" s="24"/>
      <c r="AH8" s="24"/>
      <c r="AI8" s="24"/>
    </row>
    <row r="9" ht="14.25" customHeight="1">
      <c r="A9" s="24"/>
      <c r="B9" s="37" t="s">
        <v>18</v>
      </c>
      <c r="C9" s="38">
        <f>F97-C15</f>
        <v>0</v>
      </c>
      <c r="D9" s="24"/>
      <c r="E9" s="39"/>
      <c r="F9" s="40"/>
      <c r="G9" s="39"/>
      <c r="H9" s="39"/>
      <c r="I9" s="39"/>
      <c r="J9" s="39"/>
      <c r="K9" s="24"/>
      <c r="L9" s="39"/>
      <c r="M9" s="39"/>
      <c r="N9" s="39"/>
      <c r="O9" s="17"/>
      <c r="P9" s="39"/>
      <c r="Q9" s="39"/>
      <c r="R9" s="39"/>
      <c r="S9" s="39"/>
      <c r="T9" s="39"/>
      <c r="U9" s="39"/>
      <c r="V9" s="24"/>
      <c r="W9" s="39"/>
      <c r="X9" s="39"/>
      <c r="Y9" s="39"/>
      <c r="Z9" s="24"/>
      <c r="AA9" s="24"/>
      <c r="AB9" s="24"/>
      <c r="AC9" s="24"/>
      <c r="AD9" s="24"/>
      <c r="AE9" s="24"/>
      <c r="AF9" s="24"/>
      <c r="AG9" s="24"/>
      <c r="AH9" s="24"/>
      <c r="AI9" s="24"/>
    </row>
    <row r="10" ht="14.25" customHeight="1">
      <c r="A10" s="24"/>
      <c r="B10" s="41" t="s">
        <v>19</v>
      </c>
      <c r="C10" s="42">
        <f>G97-W33</f>
        <v>0</v>
      </c>
      <c r="D10" s="24"/>
      <c r="E10" s="43">
        <v>1.0</v>
      </c>
      <c r="F10" s="44"/>
      <c r="G10" s="45"/>
      <c r="H10" s="45"/>
      <c r="I10" s="45"/>
      <c r="J10" s="46"/>
      <c r="K10" s="24"/>
      <c r="L10" s="47"/>
      <c r="M10" s="47"/>
      <c r="N10" s="48"/>
      <c r="O10" s="49"/>
      <c r="P10" s="50"/>
      <c r="Q10" s="51"/>
      <c r="R10" s="52"/>
      <c r="S10" s="53"/>
      <c r="T10" s="54"/>
      <c r="U10" s="55"/>
      <c r="V10" s="24"/>
      <c r="W10" s="47"/>
      <c r="X10" s="47"/>
      <c r="Y10" s="48"/>
      <c r="Z10" s="24"/>
      <c r="AA10" s="24"/>
      <c r="AB10" s="24"/>
      <c r="AC10" s="24"/>
      <c r="AD10" s="24"/>
      <c r="AE10" s="24"/>
      <c r="AF10" s="24"/>
      <c r="AG10" s="24"/>
      <c r="AH10" s="24"/>
      <c r="AI10" s="24"/>
    </row>
    <row r="11" ht="14.25" customHeight="1">
      <c r="A11" s="24"/>
      <c r="B11" s="41" t="s">
        <v>20</v>
      </c>
      <c r="C11" s="42">
        <f>H97-X33</f>
        <v>0</v>
      </c>
      <c r="D11" s="24"/>
      <c r="E11" s="43">
        <v>2.0</v>
      </c>
      <c r="F11" s="56"/>
      <c r="G11" s="57"/>
      <c r="H11" s="58"/>
      <c r="I11" s="59"/>
      <c r="J11" s="46"/>
      <c r="K11" s="24"/>
      <c r="L11" s="48"/>
      <c r="M11" s="48"/>
      <c r="N11" s="48"/>
      <c r="O11" s="49"/>
      <c r="P11" s="60"/>
      <c r="Q11" s="51"/>
      <c r="R11" s="52"/>
      <c r="S11" s="53"/>
      <c r="T11" s="61"/>
      <c r="U11" s="62"/>
      <c r="V11" s="24"/>
      <c r="W11" s="48"/>
      <c r="X11" s="47"/>
      <c r="Y11" s="48"/>
      <c r="Z11" s="24"/>
      <c r="AA11" s="24"/>
      <c r="AB11" s="24"/>
      <c r="AC11" s="24"/>
      <c r="AD11" s="24"/>
      <c r="AE11" s="24"/>
      <c r="AF11" s="24"/>
      <c r="AG11" s="24"/>
      <c r="AH11" s="24"/>
      <c r="AI11" s="24"/>
    </row>
    <row r="12" ht="14.25" customHeight="1">
      <c r="A12" s="24"/>
      <c r="B12" s="41" t="s">
        <v>21</v>
      </c>
      <c r="C12" s="42">
        <f>I97</f>
        <v>0</v>
      </c>
      <c r="D12" s="24"/>
      <c r="E12" s="43">
        <v>3.0</v>
      </c>
      <c r="F12" s="63"/>
      <c r="G12" s="64"/>
      <c r="H12" s="64"/>
      <c r="I12" s="65"/>
      <c r="J12" s="46"/>
      <c r="K12" s="24"/>
      <c r="L12" s="48"/>
      <c r="M12" s="48"/>
      <c r="N12" s="48"/>
      <c r="O12" s="49"/>
      <c r="P12" s="60"/>
      <c r="Q12" s="51"/>
      <c r="R12" s="53"/>
      <c r="S12" s="52"/>
      <c r="T12" s="61"/>
      <c r="U12" s="62"/>
      <c r="V12" s="24"/>
      <c r="W12" s="48"/>
      <c r="X12" s="48"/>
      <c r="Y12" s="48"/>
      <c r="Z12" s="24"/>
      <c r="AA12" s="24"/>
      <c r="AB12" s="24"/>
      <c r="AC12" s="24"/>
      <c r="AD12" s="24"/>
      <c r="AE12" s="24"/>
      <c r="AF12" s="24"/>
      <c r="AG12" s="24"/>
      <c r="AH12" s="24"/>
      <c r="AI12" s="24"/>
    </row>
    <row r="13" ht="14.25" customHeight="1">
      <c r="A13" s="24"/>
      <c r="B13" s="66" t="s">
        <v>22</v>
      </c>
      <c r="C13" s="67">
        <f>L33</f>
        <v>0</v>
      </c>
      <c r="D13" s="24"/>
      <c r="E13" s="43">
        <v>4.0</v>
      </c>
      <c r="F13" s="56"/>
      <c r="G13" s="64"/>
      <c r="H13" s="65"/>
      <c r="I13" s="65"/>
      <c r="J13" s="46"/>
      <c r="K13" s="24"/>
      <c r="L13" s="48"/>
      <c r="M13" s="48"/>
      <c r="N13" s="48"/>
      <c r="O13" s="49"/>
      <c r="P13" s="60"/>
      <c r="Q13" s="51"/>
      <c r="R13" s="52"/>
      <c r="S13" s="52"/>
      <c r="T13" s="61"/>
      <c r="U13" s="62"/>
      <c r="V13" s="24"/>
      <c r="W13" s="48"/>
      <c r="X13" s="48"/>
      <c r="Y13" s="48"/>
      <c r="Z13" s="24"/>
      <c r="AA13" s="24"/>
      <c r="AB13" s="24"/>
      <c r="AC13" s="24"/>
      <c r="AD13" s="24"/>
      <c r="AE13" s="24"/>
      <c r="AF13" s="24"/>
      <c r="AG13" s="24"/>
      <c r="AH13" s="24"/>
      <c r="AI13" s="24"/>
    </row>
    <row r="14" ht="14.25" customHeight="1">
      <c r="A14" s="24"/>
      <c r="B14" s="66" t="s">
        <v>23</v>
      </c>
      <c r="C14" s="67">
        <f>M33</f>
        <v>0</v>
      </c>
      <c r="D14" s="24"/>
      <c r="E14" s="43">
        <v>5.0</v>
      </c>
      <c r="F14" s="56"/>
      <c r="G14" s="64"/>
      <c r="H14" s="65"/>
      <c r="I14" s="65"/>
      <c r="J14" s="46"/>
      <c r="K14" s="24"/>
      <c r="L14" s="48"/>
      <c r="M14" s="48"/>
      <c r="N14" s="48"/>
      <c r="O14" s="49"/>
      <c r="P14" s="60"/>
      <c r="Q14" s="51"/>
      <c r="R14" s="53"/>
      <c r="S14" s="52"/>
      <c r="T14" s="61"/>
      <c r="U14" s="62"/>
      <c r="V14" s="24"/>
      <c r="W14" s="48"/>
      <c r="X14" s="48"/>
      <c r="Y14" s="48"/>
      <c r="Z14" s="24"/>
      <c r="AA14" s="24"/>
      <c r="AB14" s="24"/>
      <c r="AC14" s="24"/>
      <c r="AD14" s="24"/>
      <c r="AE14" s="24"/>
      <c r="AF14" s="24"/>
      <c r="AG14" s="24"/>
      <c r="AH14" s="24"/>
      <c r="AI14" s="24"/>
    </row>
    <row r="15" ht="14.25" customHeight="1">
      <c r="A15" s="24"/>
      <c r="B15" s="68" t="s">
        <v>24</v>
      </c>
      <c r="C15" s="69">
        <f>Y33</f>
        <v>0</v>
      </c>
      <c r="D15" s="24"/>
      <c r="E15" s="43">
        <v>6.0</v>
      </c>
      <c r="F15" s="56"/>
      <c r="G15" s="64"/>
      <c r="H15" s="64"/>
      <c r="I15" s="65"/>
      <c r="J15" s="46"/>
      <c r="K15" s="24"/>
      <c r="L15" s="48"/>
      <c r="M15" s="48"/>
      <c r="N15" s="48"/>
      <c r="O15" s="49"/>
      <c r="P15" s="60"/>
      <c r="Q15" s="51"/>
      <c r="R15" s="53"/>
      <c r="S15" s="53"/>
      <c r="T15" s="61"/>
      <c r="U15" s="62"/>
      <c r="V15" s="24"/>
      <c r="W15" s="48"/>
      <c r="X15" s="48"/>
      <c r="Y15" s="48"/>
      <c r="Z15" s="24"/>
      <c r="AA15" s="24"/>
      <c r="AB15" s="24"/>
      <c r="AC15" s="24"/>
      <c r="AD15" s="24"/>
      <c r="AE15" s="24"/>
      <c r="AF15" s="24"/>
      <c r="AG15" s="24"/>
      <c r="AH15" s="24"/>
      <c r="AI15" s="24"/>
    </row>
    <row r="16" ht="14.25" customHeight="1">
      <c r="A16" s="24"/>
      <c r="B16" s="37" t="s">
        <v>25</v>
      </c>
      <c r="C16" s="70">
        <f>R31+S31+T31</f>
        <v>0</v>
      </c>
      <c r="D16" s="24"/>
      <c r="E16" s="43">
        <v>7.0</v>
      </c>
      <c r="F16" s="56"/>
      <c r="G16" s="64"/>
      <c r="H16" s="64"/>
      <c r="I16" s="65"/>
      <c r="J16" s="46"/>
      <c r="K16" s="24"/>
      <c r="L16" s="48"/>
      <c r="M16" s="48"/>
      <c r="N16" s="48"/>
      <c r="O16" s="49"/>
      <c r="P16" s="60"/>
      <c r="Q16" s="51"/>
      <c r="R16" s="53"/>
      <c r="S16" s="53"/>
      <c r="T16" s="61"/>
      <c r="U16" s="62"/>
      <c r="V16" s="24"/>
      <c r="W16" s="48"/>
      <c r="X16" s="48"/>
      <c r="Y16" s="48"/>
      <c r="Z16" s="24"/>
      <c r="AA16" s="24"/>
      <c r="AB16" s="24"/>
      <c r="AC16" s="24"/>
      <c r="AD16" s="24"/>
      <c r="AE16" s="24"/>
      <c r="AF16" s="24"/>
      <c r="AG16" s="24"/>
      <c r="AH16" s="24"/>
      <c r="AI16" s="24"/>
    </row>
    <row r="17" ht="14.25" customHeight="1">
      <c r="A17" s="24"/>
      <c r="B17" s="41" t="s">
        <v>26</v>
      </c>
      <c r="C17" s="71">
        <f>R31</f>
        <v>0</v>
      </c>
      <c r="D17" s="24"/>
      <c r="E17" s="43">
        <v>8.0</v>
      </c>
      <c r="F17" s="56"/>
      <c r="G17" s="65"/>
      <c r="H17" s="64"/>
      <c r="I17" s="65"/>
      <c r="J17" s="46"/>
      <c r="K17" s="24"/>
      <c r="L17" s="48"/>
      <c r="M17" s="48"/>
      <c r="N17" s="48"/>
      <c r="O17" s="49"/>
      <c r="P17" s="72"/>
      <c r="Q17" s="51"/>
      <c r="R17" s="52"/>
      <c r="S17" s="53"/>
      <c r="T17" s="61"/>
      <c r="U17" s="62"/>
      <c r="V17" s="24"/>
      <c r="W17" s="48"/>
      <c r="X17" s="48"/>
      <c r="Y17" s="48"/>
      <c r="Z17" s="24"/>
      <c r="AA17" s="24"/>
      <c r="AB17" s="24"/>
      <c r="AC17" s="24"/>
      <c r="AD17" s="24"/>
      <c r="AE17" s="24"/>
      <c r="AF17" s="24"/>
      <c r="AG17" s="24"/>
      <c r="AH17" s="24"/>
      <c r="AI17" s="24"/>
    </row>
    <row r="18" ht="14.25" customHeight="1">
      <c r="A18" s="24"/>
      <c r="B18" s="41" t="s">
        <v>27</v>
      </c>
      <c r="C18" s="71">
        <f>S31</f>
        <v>0</v>
      </c>
      <c r="D18" s="24"/>
      <c r="E18" s="43">
        <v>9.0</v>
      </c>
      <c r="F18" s="56"/>
      <c r="G18" s="64"/>
      <c r="H18" s="64"/>
      <c r="I18" s="65"/>
      <c r="J18" s="46"/>
      <c r="K18" s="24"/>
      <c r="L18" s="48"/>
      <c r="M18" s="48"/>
      <c r="N18" s="48"/>
      <c r="O18" s="49"/>
      <c r="P18" s="60"/>
      <c r="Q18" s="51"/>
      <c r="R18" s="53"/>
      <c r="S18" s="53"/>
      <c r="T18" s="61"/>
      <c r="U18" s="62"/>
      <c r="V18" s="24"/>
      <c r="W18" s="48"/>
      <c r="X18" s="48"/>
      <c r="Y18" s="48"/>
      <c r="Z18" s="24"/>
      <c r="AA18" s="24"/>
      <c r="AB18" s="24"/>
      <c r="AC18" s="24"/>
      <c r="AD18" s="24"/>
      <c r="AE18" s="24"/>
      <c r="AF18" s="24"/>
      <c r="AG18" s="24"/>
      <c r="AH18" s="24"/>
      <c r="AI18" s="24"/>
    </row>
    <row r="19" ht="14.25" customHeight="1">
      <c r="A19" s="24"/>
      <c r="B19" s="41" t="s">
        <v>28</v>
      </c>
      <c r="C19" s="71">
        <f>T31</f>
        <v>0</v>
      </c>
      <c r="D19" s="24"/>
      <c r="E19" s="43">
        <v>10.0</v>
      </c>
      <c r="F19" s="56"/>
      <c r="G19" s="64"/>
      <c r="H19" s="65"/>
      <c r="I19" s="65"/>
      <c r="J19" s="46"/>
      <c r="K19" s="24"/>
      <c r="L19" s="48"/>
      <c r="M19" s="48"/>
      <c r="N19" s="48"/>
      <c r="O19" s="73"/>
      <c r="P19" s="72"/>
      <c r="Q19" s="51"/>
      <c r="R19" s="52"/>
      <c r="S19" s="53"/>
      <c r="T19" s="61"/>
      <c r="U19" s="62"/>
      <c r="V19" s="24"/>
      <c r="W19" s="48"/>
      <c r="X19" s="48"/>
      <c r="Y19" s="48"/>
      <c r="Z19" s="24"/>
      <c r="AA19" s="24"/>
      <c r="AB19" s="24"/>
      <c r="AC19" s="24"/>
      <c r="AD19" s="24"/>
      <c r="AE19" s="24"/>
      <c r="AF19" s="24"/>
      <c r="AG19" s="24"/>
      <c r="AH19" s="24"/>
      <c r="AI19" s="24"/>
    </row>
    <row r="20" ht="14.25" customHeight="1">
      <c r="A20" s="24"/>
      <c r="B20" s="74" t="s">
        <v>29</v>
      </c>
      <c r="C20" s="75">
        <f>C7+C12-C13-C14-C19</f>
        <v>0</v>
      </c>
      <c r="D20" s="24"/>
      <c r="E20" s="43">
        <v>11.0</v>
      </c>
      <c r="F20" s="56"/>
      <c r="G20" s="65"/>
      <c r="H20" s="64"/>
      <c r="I20" s="65"/>
      <c r="J20" s="46"/>
      <c r="K20" s="24"/>
      <c r="L20" s="48"/>
      <c r="M20" s="48"/>
      <c r="N20" s="48"/>
      <c r="O20" s="73"/>
      <c r="P20" s="76"/>
      <c r="Q20" s="51"/>
      <c r="R20" s="53"/>
      <c r="S20" s="53"/>
      <c r="T20" s="61"/>
      <c r="U20" s="55"/>
      <c r="V20" s="24"/>
      <c r="W20" s="48"/>
      <c r="X20" s="48"/>
      <c r="Y20" s="48"/>
      <c r="Z20" s="24"/>
      <c r="AA20" s="24"/>
      <c r="AB20" s="24"/>
      <c r="AC20" s="24"/>
      <c r="AD20" s="24"/>
      <c r="AE20" s="24"/>
      <c r="AF20" s="24"/>
      <c r="AG20" s="24"/>
      <c r="AH20" s="24"/>
      <c r="AI20" s="24"/>
    </row>
    <row r="21" ht="14.25" customHeight="1">
      <c r="A21" s="24"/>
      <c r="B21" s="77" t="s">
        <v>30</v>
      </c>
      <c r="C21" s="78">
        <f>C6+C11+C14-C18-S33</f>
        <v>0</v>
      </c>
      <c r="D21" s="24"/>
      <c r="E21" s="43">
        <v>12.0</v>
      </c>
      <c r="F21" s="56"/>
      <c r="G21" s="65"/>
      <c r="H21" s="64"/>
      <c r="I21" s="65"/>
      <c r="J21" s="46"/>
      <c r="K21" s="24"/>
      <c r="L21" s="48"/>
      <c r="M21" s="48"/>
      <c r="N21" s="48"/>
      <c r="O21" s="73"/>
      <c r="P21" s="76"/>
      <c r="Q21" s="51"/>
      <c r="R21" s="53"/>
      <c r="S21" s="53"/>
      <c r="T21" s="61"/>
      <c r="U21" s="55"/>
      <c r="V21" s="24"/>
      <c r="W21" s="48"/>
      <c r="X21" s="48"/>
      <c r="Y21" s="48"/>
      <c r="Z21" s="24"/>
      <c r="AA21" s="24"/>
      <c r="AB21" s="24"/>
      <c r="AC21" s="24"/>
      <c r="AD21" s="24"/>
      <c r="AE21" s="24"/>
      <c r="AF21" s="24"/>
      <c r="AG21" s="24"/>
      <c r="AH21" s="24"/>
      <c r="AI21" s="24"/>
    </row>
    <row r="22" ht="14.25" customHeight="1">
      <c r="A22" s="24"/>
      <c r="B22" s="79" t="s">
        <v>31</v>
      </c>
      <c r="C22" s="80">
        <f>C5+C8+C10+C13-C17-R32-R34</f>
        <v>0</v>
      </c>
      <c r="D22" s="24"/>
      <c r="E22" s="43">
        <v>13.0</v>
      </c>
      <c r="F22" s="56"/>
      <c r="G22" s="64"/>
      <c r="H22" s="64"/>
      <c r="I22" s="65"/>
      <c r="J22" s="46"/>
      <c r="K22" s="24"/>
      <c r="L22" s="48"/>
      <c r="M22" s="48"/>
      <c r="N22" s="48"/>
      <c r="O22" s="49"/>
      <c r="P22" s="60"/>
      <c r="Q22" s="51"/>
      <c r="R22" s="53"/>
      <c r="S22" s="53"/>
      <c r="T22" s="61"/>
      <c r="U22" s="55"/>
      <c r="V22" s="24"/>
      <c r="W22" s="48"/>
      <c r="X22" s="48"/>
      <c r="Y22" s="48"/>
      <c r="Z22" s="24"/>
      <c r="AA22" s="24"/>
      <c r="AB22" s="24"/>
      <c r="AC22" s="24"/>
      <c r="AD22" s="24"/>
      <c r="AE22" s="24"/>
      <c r="AF22" s="24"/>
      <c r="AG22" s="24"/>
      <c r="AH22" s="24"/>
      <c r="AI22" s="24"/>
    </row>
    <row r="23" ht="14.25" customHeight="1">
      <c r="A23" s="24"/>
      <c r="B23" s="81" t="s">
        <v>32</v>
      </c>
      <c r="C23" s="82"/>
      <c r="D23" s="24"/>
      <c r="E23" s="43">
        <v>14.0</v>
      </c>
      <c r="F23" s="56"/>
      <c r="G23" s="65"/>
      <c r="H23" s="65"/>
      <c r="I23" s="65"/>
      <c r="J23" s="46"/>
      <c r="K23" s="24"/>
      <c r="L23" s="48"/>
      <c r="M23" s="48"/>
      <c r="N23" s="48"/>
      <c r="O23" s="49"/>
      <c r="P23" s="60"/>
      <c r="Q23" s="51"/>
      <c r="R23" s="53"/>
      <c r="S23" s="53"/>
      <c r="T23" s="61"/>
      <c r="U23" s="62"/>
      <c r="V23" s="24"/>
      <c r="W23" s="48"/>
      <c r="X23" s="48"/>
      <c r="Y23" s="48"/>
      <c r="Z23" s="24"/>
      <c r="AA23" s="24"/>
      <c r="AB23" s="24"/>
      <c r="AC23" s="24"/>
      <c r="AD23" s="24"/>
      <c r="AE23" s="24"/>
      <c r="AF23" s="24"/>
      <c r="AG23" s="24"/>
      <c r="AH23" s="24"/>
      <c r="AI23" s="24"/>
    </row>
    <row r="24" ht="14.25" customHeight="1">
      <c r="A24" s="24"/>
      <c r="B24" s="83" t="s">
        <v>33</v>
      </c>
      <c r="C24" s="84">
        <f>C22-C23</f>
        <v>0</v>
      </c>
      <c r="D24" s="24"/>
      <c r="E24" s="43">
        <v>15.0</v>
      </c>
      <c r="F24" s="56"/>
      <c r="G24" s="64"/>
      <c r="H24" s="65"/>
      <c r="I24" s="65"/>
      <c r="J24" s="46"/>
      <c r="K24" s="24"/>
      <c r="L24" s="48"/>
      <c r="M24" s="48"/>
      <c r="N24" s="48"/>
      <c r="O24" s="49"/>
      <c r="P24" s="60"/>
      <c r="Q24" s="51"/>
      <c r="R24" s="52"/>
      <c r="S24" s="53"/>
      <c r="T24" s="61"/>
      <c r="U24" s="55"/>
      <c r="V24" s="24"/>
      <c r="W24" s="48"/>
      <c r="X24" s="48"/>
      <c r="Y24" s="48"/>
      <c r="Z24" s="24"/>
      <c r="AA24" s="24"/>
      <c r="AB24" s="24"/>
      <c r="AC24" s="24"/>
      <c r="AD24" s="24"/>
      <c r="AE24" s="24"/>
      <c r="AF24" s="24"/>
      <c r="AG24" s="24"/>
      <c r="AH24" s="24"/>
      <c r="AI24" s="24"/>
    </row>
    <row r="25" ht="14.25" customHeight="1">
      <c r="A25" s="24"/>
      <c r="B25" s="1"/>
      <c r="C25" s="1"/>
      <c r="D25" s="24"/>
      <c r="E25" s="43">
        <v>16.0</v>
      </c>
      <c r="F25" s="56"/>
      <c r="G25" s="64"/>
      <c r="H25" s="65"/>
      <c r="I25" s="65"/>
      <c r="J25" s="46"/>
      <c r="K25" s="24"/>
      <c r="L25" s="48"/>
      <c r="M25" s="48"/>
      <c r="N25" s="48"/>
      <c r="O25" s="49"/>
      <c r="P25" s="60"/>
      <c r="Q25" s="51"/>
      <c r="R25" s="53"/>
      <c r="S25" s="53"/>
      <c r="T25" s="61"/>
      <c r="U25" s="55"/>
      <c r="V25" s="24"/>
      <c r="W25" s="48"/>
      <c r="X25" s="48"/>
      <c r="Y25" s="48"/>
      <c r="Z25" s="24"/>
      <c r="AA25" s="24"/>
      <c r="AB25" s="24"/>
      <c r="AC25" s="24"/>
      <c r="AD25" s="24"/>
      <c r="AE25" s="24"/>
      <c r="AF25" s="24"/>
      <c r="AG25" s="24"/>
      <c r="AH25" s="24"/>
      <c r="AI25" s="24"/>
    </row>
    <row r="26" ht="14.25" customHeight="1">
      <c r="A26" s="24"/>
      <c r="B26" s="85" t="s">
        <v>34</v>
      </c>
      <c r="C26" s="86">
        <f>F97</f>
        <v>0</v>
      </c>
      <c r="D26" s="24"/>
      <c r="E26" s="43">
        <v>17.0</v>
      </c>
      <c r="F26" s="56"/>
      <c r="G26" s="64"/>
      <c r="H26" s="65"/>
      <c r="I26" s="65"/>
      <c r="J26" s="46"/>
      <c r="K26" s="24"/>
      <c r="L26" s="48"/>
      <c r="M26" s="48"/>
      <c r="N26" s="48"/>
      <c r="O26" s="49"/>
      <c r="P26" s="60"/>
      <c r="Q26" s="51"/>
      <c r="R26" s="53"/>
      <c r="S26" s="53"/>
      <c r="T26" s="61"/>
      <c r="U26" s="55"/>
      <c r="V26" s="24"/>
      <c r="W26" s="48"/>
      <c r="X26" s="48"/>
      <c r="Y26" s="48"/>
      <c r="Z26" s="24"/>
      <c r="AA26" s="24"/>
      <c r="AB26" s="24"/>
      <c r="AC26" s="24"/>
      <c r="AD26" s="24"/>
      <c r="AE26" s="24"/>
      <c r="AF26" s="24"/>
      <c r="AG26" s="24"/>
      <c r="AH26" s="24"/>
      <c r="AI26" s="24"/>
    </row>
    <row r="27" ht="14.25" customHeight="1">
      <c r="A27" s="24"/>
      <c r="B27" s="85" t="s">
        <v>35</v>
      </c>
      <c r="C27" s="87">
        <v>0.0</v>
      </c>
      <c r="D27" s="24"/>
      <c r="E27" s="43">
        <v>18.0</v>
      </c>
      <c r="F27" s="56"/>
      <c r="G27" s="64"/>
      <c r="H27" s="65"/>
      <c r="I27" s="65"/>
      <c r="J27" s="46"/>
      <c r="K27" s="24"/>
      <c r="L27" s="48"/>
      <c r="M27" s="48"/>
      <c r="N27" s="48"/>
      <c r="O27" s="49"/>
      <c r="P27" s="60"/>
      <c r="Q27" s="51"/>
      <c r="R27" s="53"/>
      <c r="S27" s="53"/>
      <c r="T27" s="61"/>
      <c r="U27" s="55"/>
      <c r="V27" s="24"/>
      <c r="W27" s="48"/>
      <c r="X27" s="48"/>
      <c r="Y27" s="48"/>
      <c r="Z27" s="24"/>
      <c r="AA27" s="24"/>
      <c r="AB27" s="24"/>
      <c r="AC27" s="24"/>
      <c r="AD27" s="24"/>
      <c r="AE27" s="24"/>
      <c r="AF27" s="24"/>
      <c r="AG27" s="24"/>
      <c r="AH27" s="24"/>
      <c r="AI27" s="24"/>
    </row>
    <row r="28" ht="16.5" customHeight="1">
      <c r="A28" s="24"/>
      <c r="B28" s="88" t="s">
        <v>36</v>
      </c>
      <c r="C28" s="89" t="str">
        <f>C26/C27</f>
        <v>#DIV/0!</v>
      </c>
      <c r="D28" s="24"/>
      <c r="E28" s="43">
        <v>19.0</v>
      </c>
      <c r="F28" s="56"/>
      <c r="G28" s="64"/>
      <c r="H28" s="65"/>
      <c r="I28" s="65"/>
      <c r="J28" s="46"/>
      <c r="K28" s="24"/>
      <c r="L28" s="48"/>
      <c r="M28" s="48"/>
      <c r="N28" s="48"/>
      <c r="O28" s="49"/>
      <c r="P28" s="60"/>
      <c r="Q28" s="51"/>
      <c r="R28" s="53"/>
      <c r="S28" s="53"/>
      <c r="T28" s="61"/>
      <c r="U28" s="55"/>
      <c r="V28" s="24"/>
      <c r="W28" s="48"/>
      <c r="X28" s="48"/>
      <c r="Y28" s="48"/>
      <c r="Z28" s="24"/>
      <c r="AA28" s="24"/>
      <c r="AB28" s="24"/>
      <c r="AC28" s="24"/>
      <c r="AD28" s="24"/>
      <c r="AE28" s="24"/>
      <c r="AF28" s="24"/>
      <c r="AG28" s="24"/>
      <c r="AH28" s="24"/>
      <c r="AI28" s="24"/>
    </row>
    <row r="29" ht="14.25" customHeight="1">
      <c r="A29" s="24"/>
      <c r="B29" s="1"/>
      <c r="C29" s="1"/>
      <c r="D29" s="24"/>
      <c r="E29" s="43">
        <v>20.0</v>
      </c>
      <c r="F29" s="56"/>
      <c r="G29" s="64"/>
      <c r="H29" s="65"/>
      <c r="I29" s="65"/>
      <c r="J29" s="46"/>
      <c r="K29" s="24"/>
      <c r="L29" s="48"/>
      <c r="M29" s="48"/>
      <c r="N29" s="48"/>
      <c r="O29" s="49"/>
      <c r="P29" s="60"/>
      <c r="Q29" s="51"/>
      <c r="R29" s="53"/>
      <c r="S29" s="53"/>
      <c r="T29" s="61"/>
      <c r="U29" s="55"/>
      <c r="V29" s="24"/>
      <c r="W29" s="48"/>
      <c r="X29" s="48"/>
      <c r="Y29" s="48"/>
      <c r="Z29" s="24"/>
      <c r="AA29" s="24"/>
      <c r="AB29" s="24"/>
      <c r="AC29" s="24"/>
      <c r="AD29" s="24"/>
      <c r="AE29" s="24"/>
      <c r="AF29" s="24"/>
      <c r="AG29" s="24"/>
      <c r="AH29" s="24"/>
      <c r="AI29" s="24"/>
    </row>
    <row r="30" ht="14.25" customHeight="1">
      <c r="A30" s="24"/>
      <c r="B30" s="90" t="s">
        <v>37</v>
      </c>
      <c r="C30" s="91" t="str">
        <f>R32</f>
        <v/>
      </c>
      <c r="D30" s="24"/>
      <c r="E30" s="43">
        <v>21.0</v>
      </c>
      <c r="F30" s="56"/>
      <c r="G30" s="92"/>
      <c r="H30" s="92"/>
      <c r="I30" s="93"/>
      <c r="J30" s="46"/>
      <c r="K30" s="24"/>
      <c r="L30" s="48"/>
      <c r="M30" s="48"/>
      <c r="N30" s="48"/>
      <c r="O30" s="49"/>
      <c r="P30" s="60"/>
      <c r="Q30" s="51"/>
      <c r="R30" s="53"/>
      <c r="S30" s="52"/>
      <c r="T30" s="54"/>
      <c r="U30" s="55"/>
      <c r="V30" s="24"/>
      <c r="W30" s="48"/>
      <c r="X30" s="48"/>
      <c r="Y30" s="48"/>
      <c r="Z30" s="24"/>
      <c r="AA30" s="24"/>
      <c r="AB30" s="24"/>
      <c r="AC30" s="24"/>
      <c r="AD30" s="24"/>
      <c r="AE30" s="24"/>
      <c r="AF30" s="24"/>
      <c r="AG30" s="24"/>
      <c r="AH30" s="24"/>
      <c r="AI30" s="24"/>
    </row>
    <row r="31" ht="14.25" customHeight="1">
      <c r="A31" s="24"/>
      <c r="B31" s="85" t="s">
        <v>38</v>
      </c>
      <c r="C31" s="89" t="str">
        <f>S33</f>
        <v/>
      </c>
      <c r="D31" s="24"/>
      <c r="E31" s="43">
        <v>22.0</v>
      </c>
      <c r="F31" s="56"/>
      <c r="G31" s="93"/>
      <c r="H31" s="92"/>
      <c r="I31" s="92"/>
      <c r="J31" s="46"/>
      <c r="K31" s="24"/>
      <c r="L31" s="48"/>
      <c r="M31" s="48"/>
      <c r="N31" s="48"/>
      <c r="O31" s="94"/>
      <c r="P31" s="95" t="s">
        <v>39</v>
      </c>
      <c r="Q31" s="7"/>
      <c r="R31" s="96">
        <f t="shared" ref="R31:T31" si="1">SUM(R10:R30)</f>
        <v>0</v>
      </c>
      <c r="S31" s="96">
        <f t="shared" si="1"/>
        <v>0</v>
      </c>
      <c r="T31" s="96">
        <f t="shared" si="1"/>
        <v>0</v>
      </c>
      <c r="U31" s="97"/>
      <c r="V31" s="24"/>
      <c r="W31" s="48"/>
      <c r="X31" s="48"/>
      <c r="Y31" s="48"/>
      <c r="Z31" s="24"/>
      <c r="AA31" s="24"/>
      <c r="AB31" s="24"/>
      <c r="AC31" s="24"/>
      <c r="AD31" s="24"/>
      <c r="AE31" s="24"/>
      <c r="AF31" s="24"/>
      <c r="AG31" s="24"/>
      <c r="AH31" s="24"/>
      <c r="AI31" s="24"/>
    </row>
    <row r="32" ht="14.25" customHeight="1">
      <c r="A32" s="24"/>
      <c r="B32" s="85" t="s">
        <v>40</v>
      </c>
      <c r="C32" s="89" t="str">
        <f>R34</f>
        <v/>
      </c>
      <c r="D32" s="24"/>
      <c r="E32" s="43">
        <v>23.0</v>
      </c>
      <c r="F32" s="56"/>
      <c r="G32" s="93"/>
      <c r="H32" s="92"/>
      <c r="I32" s="92"/>
      <c r="J32" s="46"/>
      <c r="K32" s="24"/>
      <c r="L32" s="48"/>
      <c r="M32" s="48"/>
      <c r="N32" s="48"/>
      <c r="O32" s="98"/>
      <c r="P32" s="90" t="s">
        <v>37</v>
      </c>
      <c r="Q32" s="51"/>
      <c r="R32" s="99"/>
      <c r="S32" s="100"/>
      <c r="T32" s="101"/>
      <c r="U32" s="55"/>
      <c r="V32" s="24"/>
      <c r="W32" s="48"/>
      <c r="X32" s="48"/>
      <c r="Y32" s="48"/>
      <c r="Z32" s="24"/>
      <c r="AA32" s="24"/>
      <c r="AB32" s="24"/>
      <c r="AC32" s="24"/>
      <c r="AD32" s="24"/>
      <c r="AE32" s="24"/>
      <c r="AF32" s="24"/>
      <c r="AG32" s="24"/>
      <c r="AH32" s="24"/>
      <c r="AI32" s="24"/>
    </row>
    <row r="33" ht="14.25" customHeight="1">
      <c r="A33" s="24"/>
      <c r="B33" s="102"/>
      <c r="C33" s="103"/>
      <c r="D33" s="24"/>
      <c r="E33" s="43">
        <v>24.0</v>
      </c>
      <c r="F33" s="56"/>
      <c r="G33" s="93"/>
      <c r="H33" s="92"/>
      <c r="I33" s="92"/>
      <c r="J33" s="46"/>
      <c r="K33" s="24"/>
      <c r="L33" s="104">
        <f t="shared" ref="L33:M33" si="2">sum(L10:L32)</f>
        <v>0</v>
      </c>
      <c r="M33" s="104">
        <f t="shared" si="2"/>
        <v>0</v>
      </c>
      <c r="N33" s="104"/>
      <c r="O33" s="105"/>
      <c r="P33" s="85" t="s">
        <v>38</v>
      </c>
      <c r="Q33" s="51"/>
      <c r="R33" s="100"/>
      <c r="S33" s="52"/>
      <c r="T33" s="101"/>
      <c r="U33" s="55"/>
      <c r="V33" s="24"/>
      <c r="W33" s="104">
        <f t="shared" ref="W33:X33" si="3">sum(W10:W32)</f>
        <v>0</v>
      </c>
      <c r="X33" s="104">
        <f t="shared" si="3"/>
        <v>0</v>
      </c>
      <c r="Y33" s="104">
        <f>W33+X33</f>
        <v>0</v>
      </c>
      <c r="Z33" s="24"/>
      <c r="AA33" s="24"/>
      <c r="AB33" s="24"/>
      <c r="AC33" s="24"/>
      <c r="AD33" s="24"/>
      <c r="AE33" s="24"/>
      <c r="AF33" s="24"/>
      <c r="AG33" s="24"/>
      <c r="AH33" s="24"/>
      <c r="AI33" s="24"/>
    </row>
    <row r="34" ht="14.25" customHeight="1">
      <c r="A34" s="1"/>
      <c r="B34" s="102"/>
      <c r="C34" s="9"/>
      <c r="D34" s="24"/>
      <c r="E34" s="43">
        <v>25.0</v>
      </c>
      <c r="F34" s="56"/>
      <c r="G34" s="93"/>
      <c r="H34" s="92"/>
      <c r="I34" s="92"/>
      <c r="J34" s="46"/>
      <c r="K34" s="24"/>
      <c r="L34" s="106"/>
      <c r="M34" s="106"/>
      <c r="N34" s="106"/>
      <c r="O34" s="106"/>
      <c r="P34" s="85" t="s">
        <v>40</v>
      </c>
      <c r="Q34" s="107"/>
      <c r="R34" s="108"/>
      <c r="S34" s="109"/>
      <c r="T34" s="110"/>
      <c r="U34" s="111"/>
      <c r="V34" s="24"/>
      <c r="W34" s="24"/>
      <c r="X34" s="24"/>
      <c r="Y34" s="24"/>
      <c r="Z34" s="24"/>
      <c r="AA34" s="24"/>
      <c r="AB34" s="24"/>
      <c r="AC34" s="24"/>
      <c r="AD34" s="24"/>
      <c r="AE34" s="24"/>
      <c r="AF34" s="24"/>
      <c r="AG34" s="24"/>
      <c r="AH34" s="24"/>
      <c r="AI34" s="24"/>
    </row>
    <row r="35" ht="14.25" customHeight="1">
      <c r="A35" s="1"/>
      <c r="B35" s="1"/>
      <c r="C35" s="1"/>
      <c r="D35" s="24"/>
      <c r="E35" s="43">
        <v>26.0</v>
      </c>
      <c r="F35" s="56"/>
      <c r="G35" s="92"/>
      <c r="H35" s="93"/>
      <c r="I35" s="92"/>
      <c r="J35" s="46"/>
      <c r="K35" s="24"/>
      <c r="L35" s="112"/>
      <c r="M35" s="112"/>
      <c r="N35" s="112"/>
      <c r="O35" s="112"/>
      <c r="P35" s="112"/>
      <c r="Q35" s="113"/>
      <c r="R35" s="114"/>
      <c r="S35" s="114"/>
      <c r="T35" s="114"/>
      <c r="U35" s="115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</row>
    <row r="36" ht="14.25" customHeight="1">
      <c r="A36" s="1"/>
      <c r="B36" s="116"/>
      <c r="D36" s="24"/>
      <c r="E36" s="43">
        <v>27.0</v>
      </c>
      <c r="F36" s="56"/>
      <c r="G36" s="92"/>
      <c r="H36" s="93"/>
      <c r="I36" s="92"/>
      <c r="J36" s="46"/>
      <c r="K36" s="24"/>
      <c r="L36" s="112"/>
      <c r="M36" s="112"/>
      <c r="N36" s="112"/>
      <c r="O36" s="112"/>
      <c r="P36" s="112"/>
      <c r="Q36" s="113"/>
      <c r="R36" s="114"/>
      <c r="S36" s="114"/>
      <c r="T36" s="114"/>
      <c r="U36" s="115"/>
      <c r="V36" s="24"/>
      <c r="W36" s="24"/>
      <c r="X36" s="24"/>
      <c r="Y36" s="24"/>
      <c r="Z36" s="24"/>
      <c r="AA36" s="24"/>
      <c r="AB36" s="24"/>
      <c r="AC36" s="24"/>
      <c r="AD36" s="24"/>
      <c r="AE36" s="24"/>
      <c r="AF36" s="24"/>
      <c r="AG36" s="24"/>
      <c r="AH36" s="24"/>
      <c r="AI36" s="24"/>
    </row>
    <row r="37" ht="14.25" customHeight="1">
      <c r="A37" s="1"/>
      <c r="D37" s="24"/>
      <c r="E37" s="43">
        <v>28.0</v>
      </c>
      <c r="F37" s="56"/>
      <c r="G37" s="93"/>
      <c r="H37" s="92"/>
      <c r="I37" s="92"/>
      <c r="J37" s="46"/>
      <c r="K37" s="24"/>
      <c r="L37" s="112"/>
      <c r="M37" s="117"/>
      <c r="N37" s="112"/>
      <c r="O37" s="112"/>
      <c r="P37" s="112"/>
      <c r="Q37" s="113"/>
      <c r="R37" s="114"/>
      <c r="S37" s="114"/>
      <c r="T37" s="114"/>
      <c r="U37" s="115"/>
      <c r="V37" s="24"/>
      <c r="W37" s="24"/>
      <c r="X37" s="24"/>
      <c r="Y37" s="24"/>
      <c r="Z37" s="24"/>
      <c r="AA37" s="24"/>
      <c r="AB37" s="24"/>
      <c r="AC37" s="24"/>
      <c r="AD37" s="24"/>
      <c r="AE37" s="24"/>
      <c r="AF37" s="24"/>
      <c r="AG37" s="24"/>
      <c r="AH37" s="24"/>
      <c r="AI37" s="24"/>
    </row>
    <row r="38" ht="14.25" customHeight="1">
      <c r="A38" s="1"/>
      <c r="B38" s="118"/>
      <c r="C38" s="118"/>
      <c r="D38" s="24"/>
      <c r="E38" s="43">
        <v>29.0</v>
      </c>
      <c r="F38" s="56"/>
      <c r="G38" s="93"/>
      <c r="H38" s="92"/>
      <c r="I38" s="92"/>
      <c r="J38" s="46"/>
      <c r="K38" s="24"/>
      <c r="L38" s="112"/>
      <c r="M38" s="117"/>
      <c r="N38" s="112"/>
      <c r="O38" s="112"/>
      <c r="P38" s="112"/>
      <c r="Q38" s="113"/>
      <c r="R38" s="114"/>
      <c r="S38" s="114"/>
      <c r="T38" s="114"/>
      <c r="U38" s="115"/>
      <c r="V38" s="24"/>
      <c r="W38" s="24"/>
      <c r="X38" s="24"/>
      <c r="Y38" s="24"/>
      <c r="Z38" s="24"/>
      <c r="AA38" s="24"/>
      <c r="AB38" s="24"/>
      <c r="AC38" s="24"/>
      <c r="AD38" s="24"/>
      <c r="AE38" s="24"/>
      <c r="AF38" s="24"/>
      <c r="AG38" s="24"/>
      <c r="AH38" s="24"/>
      <c r="AI38" s="24"/>
    </row>
    <row r="39" ht="14.25" customHeight="1">
      <c r="A39" s="1"/>
      <c r="B39" s="1"/>
      <c r="C39" s="1"/>
      <c r="D39" s="24"/>
      <c r="E39" s="43">
        <v>30.0</v>
      </c>
      <c r="F39" s="56"/>
      <c r="G39" s="93"/>
      <c r="H39" s="93"/>
      <c r="I39" s="92"/>
      <c r="J39" s="46"/>
      <c r="K39" s="24"/>
      <c r="L39" s="112"/>
      <c r="M39" s="117"/>
      <c r="N39" s="112"/>
      <c r="O39" s="112"/>
      <c r="P39" s="112"/>
      <c r="Q39" s="113"/>
      <c r="R39" s="114"/>
      <c r="S39" s="114"/>
      <c r="T39" s="114"/>
      <c r="U39" s="115"/>
      <c r="V39" s="24"/>
      <c r="W39" s="24"/>
      <c r="X39" s="24"/>
      <c r="Y39" s="24"/>
      <c r="Z39" s="24"/>
      <c r="AA39" s="24"/>
      <c r="AB39" s="24"/>
      <c r="AC39" s="24"/>
      <c r="AD39" s="24"/>
      <c r="AE39" s="24"/>
      <c r="AF39" s="24"/>
      <c r="AG39" s="24"/>
      <c r="AH39" s="24"/>
      <c r="AI39" s="24"/>
    </row>
    <row r="40" ht="14.25" customHeight="1">
      <c r="A40" s="1"/>
      <c r="B40" s="1"/>
      <c r="C40" s="1"/>
      <c r="D40" s="24"/>
      <c r="E40" s="43">
        <v>31.0</v>
      </c>
      <c r="F40" s="56"/>
      <c r="G40" s="92"/>
      <c r="H40" s="93"/>
      <c r="I40" s="92"/>
      <c r="J40" s="46"/>
      <c r="K40" s="24"/>
      <c r="L40" s="112"/>
      <c r="M40" s="112"/>
      <c r="N40" s="112"/>
      <c r="O40" s="112"/>
      <c r="P40" s="112"/>
      <c r="Q40" s="113"/>
      <c r="R40" s="114"/>
      <c r="S40" s="114"/>
      <c r="T40" s="114"/>
      <c r="U40" s="115"/>
      <c r="V40" s="24"/>
      <c r="W40" s="24"/>
      <c r="X40" s="24"/>
      <c r="Y40" s="24"/>
      <c r="Z40" s="24"/>
      <c r="AA40" s="24"/>
      <c r="AB40" s="24"/>
      <c r="AC40" s="24"/>
      <c r="AD40" s="24"/>
      <c r="AE40" s="24"/>
      <c r="AF40" s="24"/>
      <c r="AG40" s="24"/>
      <c r="AH40" s="24"/>
      <c r="AI40" s="24"/>
    </row>
    <row r="41" ht="14.25" customHeight="1">
      <c r="A41" s="1"/>
      <c r="B41" s="1"/>
      <c r="C41" s="1"/>
      <c r="D41" s="24"/>
      <c r="E41" s="43">
        <v>32.0</v>
      </c>
      <c r="F41" s="56"/>
      <c r="G41" s="92"/>
      <c r="H41" s="93"/>
      <c r="I41" s="92"/>
      <c r="J41" s="46"/>
      <c r="K41" s="24"/>
      <c r="L41" s="112"/>
      <c r="M41" s="112"/>
      <c r="N41" s="112"/>
      <c r="O41" s="112"/>
      <c r="P41" s="112"/>
      <c r="Q41" s="113"/>
      <c r="R41" s="119"/>
      <c r="S41" s="114"/>
      <c r="T41" s="114"/>
      <c r="U41" s="115"/>
      <c r="V41" s="24"/>
      <c r="W41" s="24"/>
      <c r="X41" s="24"/>
      <c r="Y41" s="24"/>
      <c r="Z41" s="24"/>
      <c r="AA41" s="24"/>
      <c r="AB41" s="24"/>
      <c r="AC41" s="24"/>
      <c r="AD41" s="24"/>
      <c r="AE41" s="24"/>
      <c r="AF41" s="24"/>
      <c r="AG41" s="24"/>
      <c r="AH41" s="24"/>
      <c r="AI41" s="24"/>
    </row>
    <row r="42" ht="14.25" customHeight="1">
      <c r="A42" s="1"/>
      <c r="B42" s="1"/>
      <c r="C42" s="1"/>
      <c r="D42" s="24"/>
      <c r="E42" s="43">
        <v>33.0</v>
      </c>
      <c r="F42" s="56"/>
      <c r="G42" s="93"/>
      <c r="H42" s="93"/>
      <c r="I42" s="92"/>
      <c r="J42" s="46"/>
      <c r="K42" s="24"/>
      <c r="L42" s="112"/>
      <c r="M42" s="117"/>
      <c r="N42" s="112"/>
      <c r="O42" s="112"/>
      <c r="P42" s="112"/>
      <c r="Q42" s="113"/>
      <c r="R42" s="114"/>
      <c r="S42" s="114"/>
      <c r="T42" s="114"/>
      <c r="U42" s="115"/>
      <c r="V42" s="24"/>
      <c r="W42" s="24"/>
      <c r="X42" s="24"/>
      <c r="Y42" s="24"/>
      <c r="Z42" s="24"/>
      <c r="AA42" s="24"/>
      <c r="AB42" s="24"/>
      <c r="AC42" s="24"/>
      <c r="AD42" s="24"/>
      <c r="AE42" s="24"/>
      <c r="AF42" s="24"/>
      <c r="AG42" s="24"/>
      <c r="AH42" s="24"/>
      <c r="AI42" s="24"/>
    </row>
    <row r="43" ht="14.25" customHeight="1">
      <c r="A43" s="1"/>
      <c r="B43" s="1"/>
      <c r="C43" s="1"/>
      <c r="D43" s="24"/>
      <c r="E43" s="43">
        <v>34.0</v>
      </c>
      <c r="F43" s="56"/>
      <c r="G43" s="93"/>
      <c r="H43" s="92"/>
      <c r="I43" s="92"/>
      <c r="J43" s="46"/>
      <c r="K43" s="24"/>
      <c r="L43" s="112"/>
      <c r="M43" s="112"/>
      <c r="N43" s="112"/>
      <c r="O43" s="112"/>
      <c r="P43" s="112"/>
      <c r="Q43" s="113"/>
      <c r="R43" s="114"/>
      <c r="S43" s="114"/>
      <c r="T43" s="114"/>
      <c r="U43" s="115"/>
      <c r="V43" s="24"/>
      <c r="W43" s="24"/>
      <c r="X43" s="24"/>
      <c r="Y43" s="24"/>
      <c r="Z43" s="24"/>
      <c r="AA43" s="24"/>
      <c r="AB43" s="24"/>
      <c r="AC43" s="24"/>
      <c r="AD43" s="24"/>
      <c r="AE43" s="24"/>
      <c r="AF43" s="24"/>
      <c r="AG43" s="24"/>
      <c r="AH43" s="24"/>
      <c r="AI43" s="24"/>
    </row>
    <row r="44" ht="14.25" customHeight="1">
      <c r="A44" s="1"/>
      <c r="B44" s="1"/>
      <c r="C44" s="1"/>
      <c r="D44" s="24"/>
      <c r="E44" s="43">
        <v>35.0</v>
      </c>
      <c r="F44" s="56"/>
      <c r="G44" s="92"/>
      <c r="H44" s="93"/>
      <c r="I44" s="92"/>
      <c r="J44" s="46"/>
      <c r="K44" s="24"/>
      <c r="L44" s="112"/>
      <c r="M44" s="112"/>
      <c r="N44" s="112"/>
      <c r="O44" s="112"/>
      <c r="P44" s="112"/>
      <c r="Q44" s="113"/>
      <c r="R44" s="114"/>
      <c r="S44" s="114"/>
      <c r="T44" s="114"/>
      <c r="U44" s="115"/>
      <c r="V44" s="24"/>
      <c r="W44" s="24"/>
      <c r="X44" s="24"/>
      <c r="Y44" s="24"/>
      <c r="Z44" s="24"/>
      <c r="AA44" s="24"/>
      <c r="AB44" s="24"/>
      <c r="AC44" s="24"/>
      <c r="AD44" s="24"/>
      <c r="AE44" s="24"/>
      <c r="AF44" s="24"/>
      <c r="AG44" s="24"/>
      <c r="AH44" s="24"/>
      <c r="AI44" s="24"/>
    </row>
    <row r="45" ht="14.25" customHeight="1">
      <c r="A45" s="1"/>
      <c r="B45" s="1"/>
      <c r="C45" s="1"/>
      <c r="D45" s="24"/>
      <c r="E45" s="43">
        <v>36.0</v>
      </c>
      <c r="F45" s="56"/>
      <c r="G45" s="93"/>
      <c r="H45" s="92"/>
      <c r="I45" s="92"/>
      <c r="J45" s="46"/>
      <c r="K45" s="24"/>
      <c r="L45" s="112"/>
      <c r="M45" s="112"/>
      <c r="N45" s="112"/>
      <c r="O45" s="112"/>
      <c r="P45" s="112"/>
      <c r="Q45" s="113"/>
      <c r="R45" s="114"/>
      <c r="S45" s="114"/>
      <c r="T45" s="114"/>
      <c r="U45" s="115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</row>
    <row r="46" ht="14.25" customHeight="1">
      <c r="A46" s="1"/>
      <c r="B46" s="1"/>
      <c r="C46" s="1"/>
      <c r="D46" s="24"/>
      <c r="E46" s="43">
        <v>37.0</v>
      </c>
      <c r="F46" s="56"/>
      <c r="G46" s="93"/>
      <c r="H46" s="92"/>
      <c r="I46" s="92"/>
      <c r="J46" s="46"/>
      <c r="K46" s="24"/>
      <c r="L46" s="112"/>
      <c r="M46" s="112"/>
      <c r="N46" s="112"/>
      <c r="O46" s="112"/>
      <c r="P46" s="112"/>
      <c r="Q46" s="113"/>
      <c r="R46" s="114"/>
      <c r="S46" s="114"/>
      <c r="T46" s="114"/>
      <c r="U46" s="115"/>
      <c r="V46" s="24"/>
      <c r="W46" s="24"/>
      <c r="X46" s="24"/>
      <c r="Y46" s="24"/>
      <c r="Z46" s="24"/>
      <c r="AA46" s="24"/>
      <c r="AB46" s="24"/>
      <c r="AC46" s="24"/>
      <c r="AD46" s="24"/>
      <c r="AE46" s="24"/>
      <c r="AF46" s="24"/>
      <c r="AG46" s="24"/>
      <c r="AH46" s="24"/>
      <c r="AI46" s="24"/>
    </row>
    <row r="47" ht="14.25" customHeight="1">
      <c r="A47" s="1"/>
      <c r="B47" s="1"/>
      <c r="C47" s="1"/>
      <c r="D47" s="24"/>
      <c r="E47" s="43">
        <v>38.0</v>
      </c>
      <c r="F47" s="56"/>
      <c r="G47" s="92"/>
      <c r="H47" s="93"/>
      <c r="I47" s="92"/>
      <c r="J47" s="46"/>
      <c r="K47" s="24"/>
      <c r="L47" s="112"/>
      <c r="M47" s="112"/>
      <c r="N47" s="112"/>
      <c r="O47" s="112"/>
      <c r="P47" s="112"/>
      <c r="Q47" s="113"/>
      <c r="R47" s="114"/>
      <c r="S47" s="114"/>
      <c r="T47" s="114"/>
      <c r="U47" s="115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</row>
    <row r="48" ht="14.25" customHeight="1">
      <c r="A48" s="1"/>
      <c r="B48" s="1"/>
      <c r="C48" s="1"/>
      <c r="D48" s="24"/>
      <c r="E48" s="43">
        <v>39.0</v>
      </c>
      <c r="F48" s="120"/>
      <c r="G48" s="92"/>
      <c r="H48" s="92"/>
      <c r="I48" s="92"/>
      <c r="J48" s="46"/>
      <c r="K48" s="24"/>
      <c r="L48" s="112"/>
      <c r="M48" s="112"/>
      <c r="N48" s="112"/>
      <c r="O48" s="112"/>
      <c r="P48" s="112"/>
      <c r="Q48" s="113"/>
      <c r="R48" s="114"/>
      <c r="S48" s="114"/>
      <c r="T48" s="114"/>
      <c r="U48" s="115"/>
      <c r="V48" s="24"/>
      <c r="W48" s="24"/>
      <c r="X48" s="24"/>
      <c r="Y48" s="24"/>
      <c r="Z48" s="24"/>
      <c r="AA48" s="24"/>
      <c r="AB48" s="24"/>
      <c r="AC48" s="24"/>
      <c r="AD48" s="24"/>
      <c r="AE48" s="24"/>
      <c r="AF48" s="24"/>
      <c r="AG48" s="24"/>
      <c r="AH48" s="24"/>
      <c r="AI48" s="24"/>
    </row>
    <row r="49" ht="14.25" customHeight="1">
      <c r="A49" s="1"/>
      <c r="B49" s="118"/>
      <c r="C49" s="1"/>
      <c r="D49" s="24"/>
      <c r="E49" s="43">
        <v>40.0</v>
      </c>
      <c r="F49" s="120"/>
      <c r="G49" s="92"/>
      <c r="H49" s="92"/>
      <c r="I49" s="92"/>
      <c r="J49" s="46"/>
      <c r="K49" s="24"/>
      <c r="L49" s="112"/>
      <c r="M49" s="112"/>
      <c r="N49" s="112"/>
      <c r="O49" s="112"/>
      <c r="P49" s="112"/>
      <c r="Q49" s="113"/>
      <c r="R49" s="114"/>
      <c r="S49" s="114"/>
      <c r="T49" s="114"/>
      <c r="U49" s="115"/>
      <c r="V49" s="24"/>
      <c r="W49" s="24"/>
      <c r="X49" s="24"/>
      <c r="Y49" s="24"/>
      <c r="Z49" s="24"/>
      <c r="AA49" s="24"/>
      <c r="AB49" s="24"/>
      <c r="AC49" s="24"/>
      <c r="AD49" s="24"/>
      <c r="AE49" s="24"/>
      <c r="AF49" s="24"/>
      <c r="AG49" s="24"/>
      <c r="AH49" s="24"/>
      <c r="AI49" s="24"/>
    </row>
    <row r="50" ht="14.25" customHeight="1">
      <c r="A50" s="1"/>
      <c r="B50" s="1"/>
      <c r="C50" s="1"/>
      <c r="D50" s="24"/>
      <c r="E50" s="43">
        <v>41.0</v>
      </c>
      <c r="F50" s="120"/>
      <c r="G50" s="92"/>
      <c r="H50" s="93"/>
      <c r="I50" s="92"/>
      <c r="J50" s="46"/>
      <c r="K50" s="24"/>
      <c r="L50" s="112"/>
      <c r="M50" s="112"/>
      <c r="N50" s="112"/>
      <c r="O50" s="112"/>
      <c r="P50" s="112"/>
      <c r="Q50" s="113"/>
      <c r="R50" s="114"/>
      <c r="S50" s="114"/>
      <c r="T50" s="114"/>
      <c r="U50" s="115"/>
      <c r="V50" s="24"/>
      <c r="W50" s="24"/>
      <c r="X50" s="24"/>
      <c r="Y50" s="24"/>
      <c r="Z50" s="24"/>
      <c r="AA50" s="24"/>
      <c r="AB50" s="24"/>
      <c r="AC50" s="24"/>
      <c r="AD50" s="24"/>
      <c r="AE50" s="24"/>
      <c r="AF50" s="24"/>
      <c r="AG50" s="24"/>
      <c r="AH50" s="24"/>
      <c r="AI50" s="24"/>
    </row>
    <row r="51" ht="14.25" customHeight="1">
      <c r="A51" s="1"/>
      <c r="B51" s="1"/>
      <c r="C51" s="1"/>
      <c r="D51" s="24"/>
      <c r="E51" s="43">
        <v>42.0</v>
      </c>
      <c r="F51" s="120"/>
      <c r="G51" s="92"/>
      <c r="H51" s="92"/>
      <c r="I51" s="92"/>
      <c r="J51" s="46"/>
      <c r="K51" s="24"/>
      <c r="L51" s="112"/>
      <c r="M51" s="112"/>
      <c r="N51" s="112"/>
      <c r="O51" s="112"/>
      <c r="P51" s="112"/>
      <c r="Q51" s="113"/>
      <c r="R51" s="114"/>
      <c r="S51" s="114"/>
      <c r="T51" s="114"/>
      <c r="U51" s="115"/>
      <c r="V51" s="24"/>
      <c r="W51" s="24"/>
      <c r="X51" s="24"/>
      <c r="Y51" s="24"/>
      <c r="Z51" s="24"/>
      <c r="AA51" s="24"/>
      <c r="AB51" s="24"/>
      <c r="AC51" s="24"/>
      <c r="AD51" s="24"/>
      <c r="AE51" s="24"/>
      <c r="AF51" s="24"/>
      <c r="AG51" s="24"/>
      <c r="AH51" s="24"/>
      <c r="AI51" s="24"/>
    </row>
    <row r="52" ht="14.25" customHeight="1">
      <c r="A52" s="1"/>
      <c r="B52" s="1"/>
      <c r="C52" s="1"/>
      <c r="D52" s="24"/>
      <c r="E52" s="43">
        <v>43.0</v>
      </c>
      <c r="F52" s="120"/>
      <c r="G52" s="92"/>
      <c r="H52" s="92"/>
      <c r="I52" s="92"/>
      <c r="J52" s="46"/>
      <c r="K52" s="24"/>
      <c r="L52" s="112"/>
      <c r="M52" s="112"/>
      <c r="N52" s="112"/>
      <c r="O52" s="112"/>
      <c r="P52" s="112"/>
      <c r="Q52" s="113"/>
      <c r="R52" s="114"/>
      <c r="S52" s="114"/>
      <c r="T52" s="114"/>
      <c r="U52" s="115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</row>
    <row r="53" ht="14.25" customHeight="1">
      <c r="A53" s="1"/>
      <c r="B53" s="1"/>
      <c r="C53" s="1"/>
      <c r="D53" s="24"/>
      <c r="E53" s="43">
        <v>44.0</v>
      </c>
      <c r="F53" s="120"/>
      <c r="G53" s="92"/>
      <c r="H53" s="92"/>
      <c r="I53" s="92"/>
      <c r="J53" s="46"/>
      <c r="K53" s="24"/>
      <c r="L53" s="112"/>
      <c r="M53" s="112"/>
      <c r="N53" s="112"/>
      <c r="O53" s="112"/>
      <c r="P53" s="112"/>
      <c r="Q53" s="113"/>
      <c r="R53" s="114"/>
      <c r="S53" s="114"/>
      <c r="T53" s="114"/>
      <c r="U53" s="115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  <c r="AH53" s="24"/>
      <c r="AI53" s="24"/>
    </row>
    <row r="54" ht="14.25" customHeight="1">
      <c r="A54" s="1"/>
      <c r="B54" s="1"/>
      <c r="C54" s="1"/>
      <c r="D54" s="24"/>
      <c r="E54" s="43">
        <v>45.0</v>
      </c>
      <c r="F54" s="120"/>
      <c r="G54" s="92"/>
      <c r="H54" s="92"/>
      <c r="I54" s="92"/>
      <c r="J54" s="46"/>
      <c r="K54" s="24"/>
      <c r="L54" s="112"/>
      <c r="M54" s="112"/>
      <c r="N54" s="112"/>
      <c r="O54" s="112"/>
      <c r="P54" s="112"/>
      <c r="Q54" s="113"/>
      <c r="R54" s="114"/>
      <c r="S54" s="114"/>
      <c r="T54" s="114"/>
      <c r="U54" s="115"/>
      <c r="V54" s="24"/>
      <c r="W54" s="24"/>
      <c r="X54" s="24"/>
      <c r="Y54" s="24"/>
      <c r="Z54" s="24"/>
      <c r="AA54" s="24"/>
      <c r="AB54" s="24"/>
      <c r="AC54" s="24"/>
      <c r="AD54" s="24"/>
      <c r="AE54" s="24"/>
      <c r="AF54" s="24"/>
      <c r="AG54" s="24"/>
      <c r="AH54" s="24"/>
      <c r="AI54" s="24"/>
    </row>
    <row r="55" ht="14.25" customHeight="1">
      <c r="A55" s="1"/>
      <c r="B55" s="1"/>
      <c r="C55" s="1"/>
      <c r="D55" s="24"/>
      <c r="E55" s="43">
        <v>46.0</v>
      </c>
      <c r="F55" s="120"/>
      <c r="G55" s="92"/>
      <c r="H55" s="92"/>
      <c r="I55" s="92"/>
      <c r="J55" s="46"/>
      <c r="K55" s="24"/>
      <c r="L55" s="112"/>
      <c r="M55" s="112"/>
      <c r="N55" s="112"/>
      <c r="O55" s="112"/>
      <c r="P55" s="112"/>
      <c r="Q55" s="113"/>
      <c r="R55" s="114"/>
      <c r="S55" s="114"/>
      <c r="T55" s="114"/>
      <c r="U55" s="115"/>
      <c r="V55" s="24"/>
      <c r="W55" s="24"/>
      <c r="X55" s="24"/>
      <c r="Y55" s="24"/>
      <c r="Z55" s="24"/>
      <c r="AA55" s="24"/>
      <c r="AB55" s="24"/>
      <c r="AC55" s="24"/>
      <c r="AD55" s="24"/>
      <c r="AE55" s="24"/>
      <c r="AF55" s="24"/>
      <c r="AG55" s="24"/>
      <c r="AH55" s="24"/>
      <c r="AI55" s="24"/>
    </row>
    <row r="56" ht="14.25" customHeight="1">
      <c r="A56" s="1"/>
      <c r="B56" s="1"/>
      <c r="C56" s="1"/>
      <c r="D56" s="24"/>
      <c r="E56" s="43">
        <v>47.0</v>
      </c>
      <c r="F56" s="120"/>
      <c r="G56" s="92"/>
      <c r="H56" s="92"/>
      <c r="I56" s="92"/>
      <c r="J56" s="46"/>
      <c r="K56" s="24"/>
      <c r="L56" s="112"/>
      <c r="M56" s="112"/>
      <c r="N56" s="112"/>
      <c r="O56" s="112"/>
      <c r="P56" s="112"/>
      <c r="Q56" s="113"/>
      <c r="R56" s="114"/>
      <c r="S56" s="114"/>
      <c r="T56" s="114"/>
      <c r="U56" s="115"/>
      <c r="V56" s="24"/>
      <c r="W56" s="24"/>
      <c r="X56" s="24"/>
      <c r="Y56" s="24"/>
      <c r="Z56" s="24"/>
      <c r="AA56" s="24"/>
      <c r="AB56" s="24"/>
      <c r="AC56" s="24"/>
      <c r="AD56" s="24"/>
      <c r="AE56" s="24"/>
      <c r="AF56" s="24"/>
      <c r="AG56" s="24"/>
      <c r="AH56" s="24"/>
      <c r="AI56" s="24"/>
    </row>
    <row r="57" ht="14.25" customHeight="1">
      <c r="A57" s="1"/>
      <c r="B57" s="1"/>
      <c r="C57" s="1"/>
      <c r="D57" s="24"/>
      <c r="E57" s="43">
        <v>48.0</v>
      </c>
      <c r="F57" s="120"/>
      <c r="G57" s="92"/>
      <c r="H57" s="92"/>
      <c r="I57" s="92"/>
      <c r="J57" s="46"/>
      <c r="K57" s="24"/>
      <c r="L57" s="112"/>
      <c r="M57" s="112"/>
      <c r="N57" s="112"/>
      <c r="O57" s="112"/>
      <c r="P57" s="112"/>
      <c r="Q57" s="113"/>
      <c r="R57" s="114"/>
      <c r="S57" s="114"/>
      <c r="T57" s="114"/>
      <c r="U57" s="115"/>
      <c r="V57" s="24"/>
      <c r="W57" s="24"/>
      <c r="X57" s="24"/>
      <c r="Y57" s="24"/>
      <c r="Z57" s="24"/>
      <c r="AA57" s="24"/>
      <c r="AB57" s="24"/>
      <c r="AC57" s="24"/>
      <c r="AD57" s="24"/>
      <c r="AE57" s="24"/>
      <c r="AF57" s="24"/>
      <c r="AG57" s="24"/>
      <c r="AH57" s="24"/>
      <c r="AI57" s="24"/>
    </row>
    <row r="58" ht="14.25" customHeight="1">
      <c r="A58" s="1"/>
      <c r="B58" s="1"/>
      <c r="C58" s="1"/>
      <c r="D58" s="24"/>
      <c r="E58" s="43">
        <v>49.0</v>
      </c>
      <c r="F58" s="120"/>
      <c r="G58" s="92"/>
      <c r="H58" s="92"/>
      <c r="I58" s="92"/>
      <c r="J58" s="46"/>
      <c r="K58" s="24"/>
      <c r="L58" s="112"/>
      <c r="M58" s="112"/>
      <c r="N58" s="112"/>
      <c r="O58" s="112"/>
      <c r="P58" s="112"/>
      <c r="Q58" s="113"/>
      <c r="R58" s="114"/>
      <c r="S58" s="114"/>
      <c r="T58" s="114"/>
      <c r="U58" s="115"/>
      <c r="V58" s="24"/>
      <c r="W58" s="24"/>
      <c r="X58" s="24"/>
      <c r="Y58" s="24"/>
      <c r="Z58" s="24"/>
      <c r="AA58" s="24"/>
      <c r="AB58" s="24"/>
      <c r="AC58" s="24"/>
      <c r="AD58" s="24"/>
      <c r="AE58" s="24"/>
      <c r="AF58" s="24"/>
      <c r="AG58" s="24"/>
      <c r="AH58" s="24"/>
      <c r="AI58" s="24"/>
    </row>
    <row r="59" ht="14.25" customHeight="1">
      <c r="A59" s="1"/>
      <c r="B59" s="1"/>
      <c r="C59" s="1"/>
      <c r="D59" s="24"/>
      <c r="E59" s="43">
        <v>50.0</v>
      </c>
      <c r="F59" s="120"/>
      <c r="G59" s="92"/>
      <c r="H59" s="92"/>
      <c r="I59" s="92"/>
      <c r="J59" s="46"/>
      <c r="K59" s="24"/>
      <c r="L59" s="112"/>
      <c r="M59" s="112"/>
      <c r="N59" s="112"/>
      <c r="O59" s="112"/>
      <c r="P59" s="112"/>
      <c r="Q59" s="113"/>
      <c r="R59" s="114"/>
      <c r="S59" s="114"/>
      <c r="T59" s="114"/>
      <c r="U59" s="115"/>
      <c r="V59" s="24"/>
      <c r="W59" s="24"/>
      <c r="X59" s="24"/>
      <c r="Y59" s="24"/>
      <c r="Z59" s="24"/>
      <c r="AA59" s="24"/>
      <c r="AB59" s="24"/>
      <c r="AC59" s="24"/>
      <c r="AD59" s="24"/>
      <c r="AE59" s="24"/>
      <c r="AF59" s="24"/>
      <c r="AG59" s="24"/>
      <c r="AH59" s="24"/>
      <c r="AI59" s="24"/>
    </row>
    <row r="60" ht="14.25" customHeight="1">
      <c r="A60" s="1"/>
      <c r="B60" s="1"/>
      <c r="C60" s="1"/>
      <c r="D60" s="24"/>
      <c r="E60" s="43">
        <v>51.0</v>
      </c>
      <c r="F60" s="120"/>
      <c r="G60" s="92"/>
      <c r="H60" s="92"/>
      <c r="I60" s="92"/>
      <c r="J60" s="46"/>
      <c r="K60" s="24"/>
      <c r="L60" s="112"/>
      <c r="M60" s="112"/>
      <c r="N60" s="112"/>
      <c r="O60" s="112"/>
      <c r="P60" s="112"/>
      <c r="Q60" s="113"/>
      <c r="R60" s="114"/>
      <c r="S60" s="114"/>
      <c r="T60" s="114"/>
      <c r="U60" s="115"/>
      <c r="V60" s="24"/>
      <c r="W60" s="24"/>
      <c r="X60" s="24"/>
      <c r="Y60" s="24"/>
      <c r="Z60" s="24"/>
      <c r="AA60" s="24"/>
      <c r="AB60" s="24"/>
      <c r="AC60" s="24"/>
      <c r="AD60" s="24"/>
      <c r="AE60" s="24"/>
      <c r="AF60" s="24"/>
      <c r="AG60" s="24"/>
      <c r="AH60" s="24"/>
      <c r="AI60" s="24"/>
    </row>
    <row r="61" ht="14.25" customHeight="1">
      <c r="A61" s="1"/>
      <c r="B61" s="1"/>
      <c r="C61" s="1"/>
      <c r="D61" s="24"/>
      <c r="E61" s="43">
        <v>52.0</v>
      </c>
      <c r="F61" s="120"/>
      <c r="G61" s="92"/>
      <c r="H61" s="92"/>
      <c r="I61" s="92"/>
      <c r="J61" s="46"/>
      <c r="K61" s="24"/>
      <c r="L61" s="112"/>
      <c r="M61" s="112"/>
      <c r="N61" s="112"/>
      <c r="O61" s="112"/>
      <c r="P61" s="112"/>
      <c r="Q61" s="113"/>
      <c r="R61" s="114"/>
      <c r="S61" s="114"/>
      <c r="T61" s="114"/>
      <c r="U61" s="115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</row>
    <row r="62" ht="14.25" customHeight="1">
      <c r="A62" s="1"/>
      <c r="B62" s="1"/>
      <c r="C62" s="1"/>
      <c r="D62" s="24"/>
      <c r="E62" s="43">
        <v>53.0</v>
      </c>
      <c r="F62" s="120"/>
      <c r="G62" s="92"/>
      <c r="H62" s="92"/>
      <c r="I62" s="92"/>
      <c r="J62" s="46"/>
      <c r="K62" s="24"/>
      <c r="L62" s="112"/>
      <c r="M62" s="112"/>
      <c r="N62" s="112"/>
      <c r="O62" s="112"/>
      <c r="P62" s="112"/>
      <c r="Q62" s="113"/>
      <c r="R62" s="114"/>
      <c r="S62" s="114"/>
      <c r="T62" s="114"/>
      <c r="U62" s="115"/>
      <c r="V62" s="24"/>
      <c r="W62" s="24"/>
      <c r="X62" s="24"/>
      <c r="Y62" s="24"/>
      <c r="Z62" s="24"/>
      <c r="AA62" s="24"/>
      <c r="AB62" s="24"/>
      <c r="AC62" s="24"/>
      <c r="AD62" s="24"/>
      <c r="AE62" s="24"/>
      <c r="AF62" s="24"/>
      <c r="AG62" s="24"/>
      <c r="AH62" s="24"/>
      <c r="AI62" s="24"/>
    </row>
    <row r="63" ht="14.25" customHeight="1">
      <c r="A63" s="1"/>
      <c r="B63" s="1"/>
      <c r="C63" s="1"/>
      <c r="D63" s="24"/>
      <c r="E63" s="43">
        <v>54.0</v>
      </c>
      <c r="F63" s="120"/>
      <c r="G63" s="92"/>
      <c r="H63" s="92"/>
      <c r="I63" s="92"/>
      <c r="J63" s="46"/>
      <c r="K63" s="24"/>
      <c r="L63" s="112"/>
      <c r="M63" s="112"/>
      <c r="N63" s="112"/>
      <c r="O63" s="112"/>
      <c r="P63" s="112"/>
      <c r="Q63" s="113"/>
      <c r="R63" s="114"/>
      <c r="S63" s="114"/>
      <c r="T63" s="114"/>
      <c r="U63" s="115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</row>
    <row r="64" ht="14.25" customHeight="1">
      <c r="A64" s="1"/>
      <c r="B64" s="1"/>
      <c r="C64" s="1"/>
      <c r="D64" s="24"/>
      <c r="E64" s="43">
        <v>55.0</v>
      </c>
      <c r="F64" s="120"/>
      <c r="G64" s="92"/>
      <c r="H64" s="92"/>
      <c r="I64" s="92"/>
      <c r="J64" s="46"/>
      <c r="K64" s="24"/>
      <c r="L64" s="112"/>
      <c r="M64" s="112"/>
      <c r="N64" s="112"/>
      <c r="O64" s="112"/>
      <c r="P64" s="112"/>
      <c r="Q64" s="113"/>
      <c r="R64" s="114"/>
      <c r="S64" s="114"/>
      <c r="T64" s="114"/>
      <c r="U64" s="115"/>
      <c r="V64" s="24"/>
      <c r="W64" s="24"/>
      <c r="X64" s="24"/>
      <c r="Y64" s="24"/>
      <c r="Z64" s="24"/>
      <c r="AA64" s="24"/>
      <c r="AB64" s="24"/>
      <c r="AC64" s="24"/>
      <c r="AD64" s="24"/>
      <c r="AE64" s="24"/>
      <c r="AF64" s="24"/>
      <c r="AG64" s="24"/>
      <c r="AH64" s="24"/>
      <c r="AI64" s="24"/>
    </row>
    <row r="65" ht="14.25" customHeight="1">
      <c r="A65" s="1"/>
      <c r="B65" s="1"/>
      <c r="C65" s="1"/>
      <c r="D65" s="24"/>
      <c r="E65" s="43">
        <v>56.0</v>
      </c>
      <c r="F65" s="120"/>
      <c r="G65" s="92"/>
      <c r="H65" s="92"/>
      <c r="I65" s="92"/>
      <c r="J65" s="46"/>
      <c r="K65" s="24"/>
      <c r="L65" s="112"/>
      <c r="M65" s="112"/>
      <c r="N65" s="112"/>
      <c r="O65" s="112"/>
      <c r="P65" s="112"/>
      <c r="Q65" s="113"/>
      <c r="R65" s="114"/>
      <c r="S65" s="114"/>
      <c r="T65" s="114"/>
      <c r="U65" s="115"/>
      <c r="V65" s="24"/>
      <c r="W65" s="24"/>
      <c r="X65" s="24"/>
      <c r="Y65" s="24"/>
      <c r="Z65" s="24"/>
      <c r="AA65" s="24"/>
      <c r="AB65" s="24"/>
      <c r="AC65" s="24"/>
      <c r="AD65" s="24"/>
      <c r="AE65" s="24"/>
      <c r="AF65" s="24"/>
      <c r="AG65" s="24"/>
      <c r="AH65" s="24"/>
      <c r="AI65" s="24"/>
    </row>
    <row r="66" ht="14.25" customHeight="1">
      <c r="A66" s="1"/>
      <c r="B66" s="1"/>
      <c r="C66" s="1"/>
      <c r="D66" s="24"/>
      <c r="E66" s="43">
        <v>57.0</v>
      </c>
      <c r="F66" s="120"/>
      <c r="G66" s="92"/>
      <c r="H66" s="92"/>
      <c r="I66" s="92"/>
      <c r="J66" s="46"/>
      <c r="K66" s="24"/>
      <c r="L66" s="112"/>
      <c r="M66" s="112"/>
      <c r="N66" s="112"/>
      <c r="O66" s="112"/>
      <c r="P66" s="112"/>
      <c r="Q66" s="113"/>
      <c r="R66" s="114"/>
      <c r="S66" s="114"/>
      <c r="T66" s="114"/>
      <c r="U66" s="115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</row>
    <row r="67" ht="14.25" customHeight="1">
      <c r="A67" s="1"/>
      <c r="B67" s="1"/>
      <c r="C67" s="1"/>
      <c r="D67" s="24"/>
      <c r="E67" s="43">
        <v>58.0</v>
      </c>
      <c r="F67" s="120"/>
      <c r="G67" s="92"/>
      <c r="H67" s="92"/>
      <c r="I67" s="92"/>
      <c r="J67" s="46"/>
      <c r="K67" s="24"/>
      <c r="L67" s="112"/>
      <c r="M67" s="112"/>
      <c r="N67" s="112"/>
      <c r="O67" s="112"/>
      <c r="P67" s="112"/>
      <c r="Q67" s="113"/>
      <c r="R67" s="114"/>
      <c r="S67" s="114"/>
      <c r="T67" s="114"/>
      <c r="U67" s="115"/>
      <c r="V67" s="24"/>
      <c r="W67" s="24"/>
      <c r="X67" s="24"/>
      <c r="Y67" s="24"/>
      <c r="Z67" s="24"/>
      <c r="AA67" s="24"/>
      <c r="AB67" s="24"/>
      <c r="AC67" s="24"/>
      <c r="AD67" s="24"/>
      <c r="AE67" s="24"/>
      <c r="AF67" s="24"/>
      <c r="AG67" s="24"/>
      <c r="AH67" s="24"/>
      <c r="AI67" s="24"/>
    </row>
    <row r="68" ht="14.25" customHeight="1">
      <c r="A68" s="1"/>
      <c r="B68" s="1"/>
      <c r="C68" s="1"/>
      <c r="D68" s="24"/>
      <c r="E68" s="43">
        <v>59.0</v>
      </c>
      <c r="F68" s="120"/>
      <c r="G68" s="92"/>
      <c r="H68" s="92"/>
      <c r="I68" s="92"/>
      <c r="J68" s="46"/>
      <c r="K68" s="24"/>
      <c r="L68" s="112"/>
      <c r="M68" s="112"/>
      <c r="N68" s="112"/>
      <c r="O68" s="112"/>
      <c r="P68" s="112"/>
      <c r="Q68" s="113"/>
      <c r="R68" s="114"/>
      <c r="S68" s="114"/>
      <c r="T68" s="114"/>
      <c r="U68" s="115"/>
      <c r="V68" s="24"/>
      <c r="W68" s="24"/>
      <c r="X68" s="24"/>
      <c r="Y68" s="24"/>
      <c r="Z68" s="24"/>
      <c r="AA68" s="24"/>
      <c r="AB68" s="24"/>
      <c r="AC68" s="24"/>
      <c r="AD68" s="24"/>
      <c r="AE68" s="24"/>
      <c r="AF68" s="24"/>
      <c r="AG68" s="24"/>
      <c r="AH68" s="24"/>
      <c r="AI68" s="24"/>
    </row>
    <row r="69" ht="14.25" customHeight="1">
      <c r="A69" s="1"/>
      <c r="B69" s="1"/>
      <c r="C69" s="1"/>
      <c r="D69" s="24"/>
      <c r="E69" s="43">
        <v>60.0</v>
      </c>
      <c r="F69" s="120"/>
      <c r="G69" s="92"/>
      <c r="H69" s="92"/>
      <c r="I69" s="92"/>
      <c r="J69" s="46"/>
      <c r="K69" s="24"/>
      <c r="L69" s="112"/>
      <c r="M69" s="112"/>
      <c r="N69" s="112"/>
      <c r="O69" s="112"/>
      <c r="P69" s="112"/>
      <c r="Q69" s="113"/>
      <c r="R69" s="114"/>
      <c r="S69" s="114"/>
      <c r="T69" s="114"/>
      <c r="U69" s="115"/>
      <c r="V69" s="24"/>
      <c r="W69" s="24"/>
      <c r="X69" s="24"/>
      <c r="Y69" s="24"/>
      <c r="Z69" s="24"/>
      <c r="AA69" s="24"/>
      <c r="AB69" s="24"/>
      <c r="AC69" s="24"/>
      <c r="AD69" s="24"/>
      <c r="AE69" s="24"/>
      <c r="AF69" s="24"/>
      <c r="AG69" s="24"/>
      <c r="AH69" s="24"/>
      <c r="AI69" s="24"/>
    </row>
    <row r="70" ht="14.25" customHeight="1">
      <c r="A70" s="1"/>
      <c r="B70" s="1"/>
      <c r="C70" s="1"/>
      <c r="D70" s="24"/>
      <c r="E70" s="43">
        <v>61.0</v>
      </c>
      <c r="F70" s="120"/>
      <c r="G70" s="92"/>
      <c r="H70" s="92"/>
      <c r="I70" s="92"/>
      <c r="J70" s="46"/>
      <c r="K70" s="24"/>
      <c r="L70" s="112"/>
      <c r="M70" s="112"/>
      <c r="N70" s="112"/>
      <c r="O70" s="112"/>
      <c r="P70" s="112"/>
      <c r="Q70" s="113"/>
      <c r="R70" s="114"/>
      <c r="S70" s="114"/>
      <c r="T70" s="114"/>
      <c r="U70" s="115"/>
      <c r="V70" s="24"/>
      <c r="W70" s="24"/>
      <c r="X70" s="24"/>
      <c r="Y70" s="24"/>
      <c r="Z70" s="24"/>
      <c r="AA70" s="24"/>
      <c r="AB70" s="24"/>
      <c r="AC70" s="24"/>
      <c r="AD70" s="24"/>
      <c r="AE70" s="24"/>
      <c r="AF70" s="24"/>
      <c r="AG70" s="24"/>
      <c r="AH70" s="24"/>
      <c r="AI70" s="24"/>
    </row>
    <row r="71" ht="14.25" customHeight="1">
      <c r="A71" s="1"/>
      <c r="B71" s="1"/>
      <c r="C71" s="1"/>
      <c r="D71" s="24"/>
      <c r="E71" s="43">
        <v>62.0</v>
      </c>
      <c r="F71" s="120"/>
      <c r="G71" s="92"/>
      <c r="H71" s="92"/>
      <c r="I71" s="92"/>
      <c r="J71" s="46"/>
      <c r="K71" s="24"/>
      <c r="L71" s="112"/>
      <c r="M71" s="112"/>
      <c r="N71" s="112"/>
      <c r="O71" s="112"/>
      <c r="P71" s="112"/>
      <c r="Q71" s="113"/>
      <c r="R71" s="114"/>
      <c r="S71" s="114"/>
      <c r="T71" s="114"/>
      <c r="U71" s="115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24"/>
      <c r="AH71" s="24"/>
      <c r="AI71" s="24"/>
    </row>
    <row r="72" ht="14.25" customHeight="1">
      <c r="A72" s="1"/>
      <c r="B72" s="1"/>
      <c r="C72" s="1"/>
      <c r="D72" s="24"/>
      <c r="E72" s="43">
        <v>63.0</v>
      </c>
      <c r="F72" s="120"/>
      <c r="G72" s="92"/>
      <c r="H72" s="92"/>
      <c r="I72" s="92"/>
      <c r="J72" s="46"/>
      <c r="K72" s="24"/>
      <c r="L72" s="112"/>
      <c r="M72" s="112"/>
      <c r="N72" s="112"/>
      <c r="O72" s="112"/>
      <c r="P72" s="112"/>
      <c r="Q72" s="113"/>
      <c r="R72" s="114"/>
      <c r="S72" s="114"/>
      <c r="T72" s="114"/>
      <c r="U72" s="115"/>
      <c r="V72" s="24"/>
      <c r="W72" s="24"/>
      <c r="X72" s="24"/>
      <c r="Y72" s="24"/>
      <c r="Z72" s="24"/>
      <c r="AA72" s="24"/>
      <c r="AB72" s="24"/>
      <c r="AC72" s="24"/>
      <c r="AD72" s="24"/>
      <c r="AE72" s="24"/>
      <c r="AF72" s="24"/>
      <c r="AG72" s="24"/>
      <c r="AH72" s="24"/>
      <c r="AI72" s="24"/>
    </row>
    <row r="73" ht="14.25" customHeight="1">
      <c r="A73" s="1"/>
      <c r="B73" s="1"/>
      <c r="C73" s="1"/>
      <c r="D73" s="24"/>
      <c r="E73" s="43">
        <v>64.0</v>
      </c>
      <c r="F73" s="120"/>
      <c r="G73" s="92"/>
      <c r="H73" s="92"/>
      <c r="I73" s="92"/>
      <c r="J73" s="46"/>
      <c r="K73" s="24"/>
      <c r="L73" s="112"/>
      <c r="M73" s="112"/>
      <c r="N73" s="112"/>
      <c r="O73" s="112"/>
      <c r="P73" s="112"/>
      <c r="Q73" s="113"/>
      <c r="R73" s="114"/>
      <c r="S73" s="114"/>
      <c r="T73" s="114"/>
      <c r="U73" s="115"/>
      <c r="V73" s="24"/>
      <c r="W73" s="24"/>
      <c r="X73" s="24"/>
      <c r="Y73" s="24"/>
      <c r="Z73" s="24"/>
      <c r="AA73" s="24"/>
      <c r="AB73" s="24"/>
      <c r="AC73" s="24"/>
      <c r="AD73" s="24"/>
      <c r="AE73" s="24"/>
      <c r="AF73" s="24"/>
      <c r="AG73" s="24"/>
      <c r="AH73" s="24"/>
      <c r="AI73" s="24"/>
    </row>
    <row r="74" ht="14.25" customHeight="1">
      <c r="A74" s="1"/>
      <c r="B74" s="1"/>
      <c r="C74" s="1"/>
      <c r="D74" s="24"/>
      <c r="E74" s="43">
        <v>65.0</v>
      </c>
      <c r="F74" s="120"/>
      <c r="G74" s="92"/>
      <c r="H74" s="92"/>
      <c r="I74" s="92"/>
      <c r="J74" s="46"/>
      <c r="K74" s="24"/>
      <c r="L74" s="112"/>
      <c r="M74" s="112"/>
      <c r="N74" s="112"/>
      <c r="O74" s="112"/>
      <c r="P74" s="112"/>
      <c r="Q74" s="113"/>
      <c r="R74" s="114"/>
      <c r="S74" s="114"/>
      <c r="T74" s="114"/>
      <c r="U74" s="115"/>
      <c r="V74" s="24"/>
      <c r="W74" s="24"/>
      <c r="X74" s="24"/>
      <c r="Y74" s="24"/>
      <c r="Z74" s="24"/>
      <c r="AA74" s="24"/>
      <c r="AB74" s="24"/>
      <c r="AC74" s="24"/>
      <c r="AD74" s="24"/>
      <c r="AE74" s="24"/>
      <c r="AF74" s="24"/>
      <c r="AG74" s="24"/>
      <c r="AH74" s="24"/>
      <c r="AI74" s="24"/>
    </row>
    <row r="75" ht="14.25" customHeight="1">
      <c r="A75" s="1"/>
      <c r="B75" s="1"/>
      <c r="C75" s="1"/>
      <c r="D75" s="24"/>
      <c r="E75" s="43">
        <v>66.0</v>
      </c>
      <c r="F75" s="120"/>
      <c r="G75" s="92"/>
      <c r="H75" s="92"/>
      <c r="I75" s="92"/>
      <c r="J75" s="46"/>
      <c r="K75" s="24"/>
      <c r="L75" s="112"/>
      <c r="M75" s="112"/>
      <c r="N75" s="112"/>
      <c r="O75" s="112"/>
      <c r="P75" s="112"/>
      <c r="Q75" s="113"/>
      <c r="R75" s="114"/>
      <c r="S75" s="114"/>
      <c r="T75" s="114"/>
      <c r="U75" s="115"/>
      <c r="V75" s="24"/>
      <c r="W75" s="24"/>
      <c r="X75" s="24"/>
      <c r="Y75" s="24"/>
      <c r="Z75" s="24"/>
      <c r="AA75" s="24"/>
      <c r="AB75" s="24"/>
      <c r="AC75" s="24"/>
      <c r="AD75" s="24"/>
      <c r="AE75" s="24"/>
      <c r="AF75" s="24"/>
      <c r="AG75" s="24"/>
      <c r="AH75" s="24"/>
      <c r="AI75" s="24"/>
    </row>
    <row r="76" ht="14.25" customHeight="1">
      <c r="A76" s="1"/>
      <c r="B76" s="1"/>
      <c r="C76" s="1"/>
      <c r="D76" s="24"/>
      <c r="E76" s="43">
        <v>67.0</v>
      </c>
      <c r="F76" s="120"/>
      <c r="G76" s="92"/>
      <c r="H76" s="92"/>
      <c r="I76" s="92"/>
      <c r="J76" s="46"/>
      <c r="K76" s="24"/>
      <c r="L76" s="112"/>
      <c r="M76" s="112"/>
      <c r="N76" s="112"/>
      <c r="O76" s="112"/>
      <c r="P76" s="112"/>
      <c r="Q76" s="113"/>
      <c r="R76" s="114"/>
      <c r="S76" s="114"/>
      <c r="T76" s="114"/>
      <c r="U76" s="115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</row>
    <row r="77" ht="14.25" customHeight="1">
      <c r="A77" s="1"/>
      <c r="B77" s="1"/>
      <c r="C77" s="1"/>
      <c r="D77" s="24"/>
      <c r="E77" s="43">
        <v>68.0</v>
      </c>
      <c r="F77" s="120"/>
      <c r="G77" s="92"/>
      <c r="H77" s="92"/>
      <c r="I77" s="92"/>
      <c r="J77" s="46"/>
      <c r="K77" s="24"/>
      <c r="L77" s="112"/>
      <c r="M77" s="112"/>
      <c r="N77" s="112"/>
      <c r="O77" s="112"/>
      <c r="P77" s="112"/>
      <c r="Q77" s="113"/>
      <c r="R77" s="114"/>
      <c r="S77" s="114"/>
      <c r="T77" s="114"/>
      <c r="U77" s="115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</row>
    <row r="78" ht="14.25" customHeight="1">
      <c r="A78" s="1"/>
      <c r="B78" s="1"/>
      <c r="C78" s="1"/>
      <c r="D78" s="24"/>
      <c r="E78" s="43">
        <v>69.0</v>
      </c>
      <c r="F78" s="120"/>
      <c r="G78" s="92"/>
      <c r="H78" s="92"/>
      <c r="I78" s="92"/>
      <c r="J78" s="46"/>
      <c r="K78" s="24"/>
      <c r="L78" s="112"/>
      <c r="M78" s="112"/>
      <c r="N78" s="112"/>
      <c r="O78" s="112"/>
      <c r="P78" s="112"/>
      <c r="Q78" s="113"/>
      <c r="R78" s="114"/>
      <c r="S78" s="114"/>
      <c r="T78" s="114"/>
      <c r="U78" s="115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</row>
    <row r="79" ht="14.25" customHeight="1">
      <c r="A79" s="1"/>
      <c r="B79" s="1"/>
      <c r="C79" s="1"/>
      <c r="D79" s="24"/>
      <c r="E79" s="43">
        <v>70.0</v>
      </c>
      <c r="F79" s="120"/>
      <c r="G79" s="92"/>
      <c r="H79" s="92"/>
      <c r="I79" s="92"/>
      <c r="J79" s="46"/>
      <c r="K79" s="24"/>
      <c r="L79" s="112"/>
      <c r="M79" s="112"/>
      <c r="N79" s="112"/>
      <c r="O79" s="112"/>
      <c r="P79" s="112"/>
      <c r="Q79" s="113"/>
      <c r="R79" s="114"/>
      <c r="S79" s="114"/>
      <c r="T79" s="114"/>
      <c r="U79" s="115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</row>
    <row r="80" ht="14.25" customHeight="1">
      <c r="A80" s="1"/>
      <c r="B80" s="1"/>
      <c r="C80" s="1"/>
      <c r="D80" s="24"/>
      <c r="E80" s="43">
        <v>71.0</v>
      </c>
      <c r="F80" s="120"/>
      <c r="G80" s="92"/>
      <c r="H80" s="92"/>
      <c r="I80" s="92"/>
      <c r="J80" s="46"/>
      <c r="K80" s="24"/>
      <c r="L80" s="112"/>
      <c r="M80" s="112"/>
      <c r="N80" s="112"/>
      <c r="O80" s="112"/>
      <c r="P80" s="112"/>
      <c r="Q80" s="113"/>
      <c r="R80" s="114"/>
      <c r="S80" s="114"/>
      <c r="T80" s="114"/>
      <c r="U80" s="115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</row>
    <row r="81" ht="14.25" customHeight="1">
      <c r="A81" s="1"/>
      <c r="B81" s="1"/>
      <c r="C81" s="1"/>
      <c r="D81" s="24"/>
      <c r="E81" s="43">
        <v>72.0</v>
      </c>
      <c r="F81" s="120"/>
      <c r="G81" s="92"/>
      <c r="H81" s="92"/>
      <c r="I81" s="92"/>
      <c r="J81" s="46"/>
      <c r="K81" s="24"/>
      <c r="L81" s="112"/>
      <c r="M81" s="112"/>
      <c r="N81" s="112"/>
      <c r="O81" s="112"/>
      <c r="P81" s="112"/>
      <c r="Q81" s="113"/>
      <c r="R81" s="114"/>
      <c r="S81" s="114"/>
      <c r="T81" s="114"/>
      <c r="U81" s="115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</row>
    <row r="82" ht="14.25" customHeight="1">
      <c r="A82" s="1"/>
      <c r="B82" s="1"/>
      <c r="C82" s="1"/>
      <c r="D82" s="24"/>
      <c r="E82" s="43">
        <v>73.0</v>
      </c>
      <c r="F82" s="121"/>
      <c r="G82" s="61"/>
      <c r="H82" s="61"/>
      <c r="I82" s="61"/>
      <c r="J82" s="46"/>
      <c r="K82" s="24"/>
      <c r="L82" s="112"/>
      <c r="M82" s="112"/>
      <c r="N82" s="112"/>
      <c r="O82" s="112"/>
      <c r="P82" s="112"/>
      <c r="Q82" s="113"/>
      <c r="R82" s="114"/>
      <c r="S82" s="114"/>
      <c r="T82" s="114"/>
      <c r="U82" s="115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</row>
    <row r="83" ht="14.25" customHeight="1">
      <c r="A83" s="1"/>
      <c r="B83" s="1"/>
      <c r="C83" s="1"/>
      <c r="D83" s="24"/>
      <c r="E83" s="43">
        <v>74.0</v>
      </c>
      <c r="F83" s="121"/>
      <c r="G83" s="61"/>
      <c r="H83" s="61"/>
      <c r="I83" s="61"/>
      <c r="J83" s="46"/>
      <c r="K83" s="24"/>
      <c r="L83" s="112"/>
      <c r="M83" s="112"/>
      <c r="N83" s="112"/>
      <c r="O83" s="112"/>
      <c r="P83" s="112"/>
      <c r="Q83" s="113"/>
      <c r="R83" s="114"/>
      <c r="S83" s="114"/>
      <c r="T83" s="114"/>
      <c r="U83" s="115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</row>
    <row r="84" ht="14.25" customHeight="1">
      <c r="A84" s="1"/>
      <c r="B84" s="1"/>
      <c r="C84" s="1"/>
      <c r="D84" s="24"/>
      <c r="E84" s="43">
        <v>75.0</v>
      </c>
      <c r="F84" s="121"/>
      <c r="G84" s="61"/>
      <c r="H84" s="61"/>
      <c r="I84" s="61"/>
      <c r="J84" s="46"/>
      <c r="K84" s="24"/>
      <c r="L84" s="112"/>
      <c r="M84" s="112"/>
      <c r="N84" s="112"/>
      <c r="O84" s="112"/>
      <c r="P84" s="112"/>
      <c r="Q84" s="113"/>
      <c r="R84" s="114"/>
      <c r="S84" s="114"/>
      <c r="T84" s="114"/>
      <c r="U84" s="115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</row>
    <row r="85" ht="14.25" customHeight="1">
      <c r="A85" s="1"/>
      <c r="B85" s="1"/>
      <c r="C85" s="1"/>
      <c r="D85" s="24"/>
      <c r="E85" s="43">
        <v>76.0</v>
      </c>
      <c r="F85" s="121"/>
      <c r="G85" s="61"/>
      <c r="H85" s="61"/>
      <c r="I85" s="61"/>
      <c r="J85" s="46"/>
      <c r="K85" s="24"/>
      <c r="L85" s="112"/>
      <c r="M85" s="112"/>
      <c r="N85" s="112"/>
      <c r="O85" s="112"/>
      <c r="P85" s="112"/>
      <c r="Q85" s="113"/>
      <c r="R85" s="114"/>
      <c r="S85" s="114"/>
      <c r="T85" s="114"/>
      <c r="U85" s="115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</row>
    <row r="86" ht="14.25" customHeight="1">
      <c r="A86" s="1"/>
      <c r="B86" s="1"/>
      <c r="C86" s="1"/>
      <c r="D86" s="24"/>
      <c r="E86" s="43">
        <v>77.0</v>
      </c>
      <c r="F86" s="121"/>
      <c r="G86" s="61"/>
      <c r="H86" s="61"/>
      <c r="I86" s="61"/>
      <c r="J86" s="46"/>
      <c r="K86" s="24"/>
      <c r="L86" s="112"/>
      <c r="M86" s="112"/>
      <c r="N86" s="112"/>
      <c r="O86" s="112"/>
      <c r="P86" s="112"/>
      <c r="Q86" s="113"/>
      <c r="R86" s="114"/>
      <c r="S86" s="114"/>
      <c r="T86" s="114"/>
      <c r="U86" s="115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</row>
    <row r="87" ht="14.25" customHeight="1">
      <c r="A87" s="1"/>
      <c r="B87" s="1"/>
      <c r="C87" s="1"/>
      <c r="D87" s="24"/>
      <c r="E87" s="43">
        <v>78.0</v>
      </c>
      <c r="F87" s="121"/>
      <c r="G87" s="61"/>
      <c r="H87" s="61"/>
      <c r="I87" s="61"/>
      <c r="J87" s="46"/>
      <c r="K87" s="24"/>
      <c r="L87" s="112"/>
      <c r="M87" s="112"/>
      <c r="N87" s="112"/>
      <c r="O87" s="112"/>
      <c r="P87" s="112"/>
      <c r="Q87" s="113"/>
      <c r="R87" s="114"/>
      <c r="S87" s="114"/>
      <c r="T87" s="114"/>
      <c r="U87" s="115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</row>
    <row r="88" ht="14.25" customHeight="1">
      <c r="A88" s="1"/>
      <c r="B88" s="1"/>
      <c r="C88" s="1"/>
      <c r="D88" s="24"/>
      <c r="E88" s="43">
        <v>79.0</v>
      </c>
      <c r="F88" s="121"/>
      <c r="G88" s="61"/>
      <c r="H88" s="61"/>
      <c r="I88" s="61"/>
      <c r="J88" s="46"/>
      <c r="K88" s="24"/>
      <c r="L88" s="112"/>
      <c r="M88" s="112"/>
      <c r="N88" s="112"/>
      <c r="O88" s="112"/>
      <c r="P88" s="112"/>
      <c r="Q88" s="113"/>
      <c r="R88" s="114"/>
      <c r="S88" s="114"/>
      <c r="T88" s="114"/>
      <c r="U88" s="115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</row>
    <row r="89" ht="14.25" customHeight="1">
      <c r="A89" s="1"/>
      <c r="B89" s="1"/>
      <c r="C89" s="1"/>
      <c r="D89" s="24"/>
      <c r="E89" s="43">
        <v>80.0</v>
      </c>
      <c r="F89" s="121"/>
      <c r="G89" s="61"/>
      <c r="H89" s="61"/>
      <c r="I89" s="61"/>
      <c r="J89" s="46"/>
      <c r="K89" s="24"/>
      <c r="L89" s="112"/>
      <c r="M89" s="112"/>
      <c r="N89" s="112"/>
      <c r="O89" s="112"/>
      <c r="P89" s="112"/>
      <c r="Q89" s="113"/>
      <c r="R89" s="114"/>
      <c r="S89" s="114"/>
      <c r="T89" s="114"/>
      <c r="U89" s="115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</row>
    <row r="90" ht="14.25" customHeight="1">
      <c r="A90" s="1"/>
      <c r="B90" s="1"/>
      <c r="C90" s="1"/>
      <c r="D90" s="24"/>
      <c r="E90" s="43">
        <v>81.0</v>
      </c>
      <c r="F90" s="121"/>
      <c r="G90" s="61"/>
      <c r="H90" s="61"/>
      <c r="I90" s="61"/>
      <c r="J90" s="46"/>
      <c r="K90" s="24"/>
      <c r="L90" s="112"/>
      <c r="M90" s="112"/>
      <c r="N90" s="112"/>
      <c r="O90" s="112"/>
      <c r="P90" s="112"/>
      <c r="Q90" s="113"/>
      <c r="R90" s="114"/>
      <c r="S90" s="114"/>
      <c r="T90" s="114"/>
      <c r="U90" s="115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</row>
    <row r="91" ht="14.25" customHeight="1">
      <c r="A91" s="1"/>
      <c r="B91" s="1"/>
      <c r="C91" s="1"/>
      <c r="D91" s="24"/>
      <c r="E91" s="43">
        <v>82.0</v>
      </c>
      <c r="F91" s="121"/>
      <c r="G91" s="61"/>
      <c r="H91" s="61"/>
      <c r="I91" s="61"/>
      <c r="J91" s="46"/>
      <c r="K91" s="24"/>
      <c r="L91" s="112"/>
      <c r="M91" s="112"/>
      <c r="N91" s="112"/>
      <c r="O91" s="112"/>
      <c r="P91" s="112"/>
      <c r="Q91" s="113"/>
      <c r="R91" s="114"/>
      <c r="S91" s="114"/>
      <c r="T91" s="114"/>
      <c r="U91" s="115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</row>
    <row r="92" ht="14.25" customHeight="1">
      <c r="A92" s="1"/>
      <c r="B92" s="1"/>
      <c r="C92" s="1"/>
      <c r="D92" s="24"/>
      <c r="E92" s="43">
        <v>83.0</v>
      </c>
      <c r="F92" s="121"/>
      <c r="G92" s="61"/>
      <c r="H92" s="61"/>
      <c r="I92" s="61"/>
      <c r="J92" s="46"/>
      <c r="K92" s="24"/>
      <c r="L92" s="112"/>
      <c r="M92" s="112"/>
      <c r="N92" s="112"/>
      <c r="O92" s="112"/>
      <c r="P92" s="112"/>
      <c r="Q92" s="113"/>
      <c r="R92" s="114"/>
      <c r="S92" s="114"/>
      <c r="T92" s="114"/>
      <c r="U92" s="115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</row>
    <row r="93" ht="14.25" customHeight="1">
      <c r="A93" s="1"/>
      <c r="B93" s="1"/>
      <c r="C93" s="1"/>
      <c r="D93" s="24"/>
      <c r="E93" s="43">
        <v>84.0</v>
      </c>
      <c r="F93" s="121"/>
      <c r="G93" s="61"/>
      <c r="H93" s="61"/>
      <c r="I93" s="61"/>
      <c r="J93" s="46"/>
      <c r="K93" s="24"/>
      <c r="L93" s="112"/>
      <c r="M93" s="112"/>
      <c r="N93" s="112"/>
      <c r="O93" s="112"/>
      <c r="P93" s="112"/>
      <c r="Q93" s="113"/>
      <c r="R93" s="114"/>
      <c r="S93" s="114"/>
      <c r="T93" s="114"/>
      <c r="U93" s="115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</row>
    <row r="94" ht="14.25" customHeight="1">
      <c r="A94" s="1"/>
      <c r="B94" s="1"/>
      <c r="C94" s="1"/>
      <c r="D94" s="24"/>
      <c r="E94" s="43">
        <v>85.0</v>
      </c>
      <c r="F94" s="121"/>
      <c r="G94" s="61"/>
      <c r="H94" s="61"/>
      <c r="I94" s="61"/>
      <c r="J94" s="46"/>
      <c r="K94" s="24"/>
      <c r="L94" s="112"/>
      <c r="M94" s="112"/>
      <c r="N94" s="112"/>
      <c r="O94" s="112"/>
      <c r="P94" s="112"/>
      <c r="Q94" s="113"/>
      <c r="R94" s="114"/>
      <c r="S94" s="114"/>
      <c r="T94" s="114"/>
      <c r="U94" s="115"/>
      <c r="V94" s="24"/>
      <c r="W94" s="24"/>
      <c r="X94" s="24"/>
      <c r="Y94" s="24"/>
      <c r="Z94" s="24"/>
      <c r="AA94" s="24"/>
      <c r="AB94" s="24"/>
      <c r="AC94" s="24"/>
      <c r="AD94" s="24"/>
      <c r="AE94" s="24"/>
      <c r="AF94" s="24"/>
      <c r="AG94" s="24"/>
      <c r="AH94" s="24"/>
      <c r="AI94" s="24"/>
    </row>
    <row r="95" ht="14.25" customHeight="1">
      <c r="A95" s="1"/>
      <c r="B95" s="1"/>
      <c r="C95" s="1"/>
      <c r="D95" s="24"/>
      <c r="E95" s="43">
        <v>86.0</v>
      </c>
      <c r="F95" s="121"/>
      <c r="G95" s="61"/>
      <c r="H95" s="61"/>
      <c r="I95" s="61"/>
      <c r="J95" s="46"/>
      <c r="K95" s="24"/>
      <c r="L95" s="112"/>
      <c r="M95" s="112"/>
      <c r="N95" s="112"/>
      <c r="O95" s="112"/>
      <c r="P95" s="112"/>
      <c r="Q95" s="113"/>
      <c r="R95" s="114"/>
      <c r="S95" s="114"/>
      <c r="T95" s="114"/>
      <c r="U95" s="115"/>
      <c r="V95" s="24"/>
      <c r="W95" s="24"/>
      <c r="X95" s="24"/>
      <c r="Y95" s="24"/>
      <c r="Z95" s="24"/>
      <c r="AA95" s="24"/>
      <c r="AB95" s="24"/>
      <c r="AC95" s="24"/>
      <c r="AD95" s="24"/>
      <c r="AE95" s="24"/>
      <c r="AF95" s="24"/>
      <c r="AG95" s="24"/>
      <c r="AH95" s="24"/>
      <c r="AI95" s="24"/>
    </row>
    <row r="96" ht="14.25" customHeight="1">
      <c r="A96" s="1"/>
      <c r="B96" s="1"/>
      <c r="C96" s="1"/>
      <c r="D96" s="24"/>
      <c r="E96" s="43">
        <v>87.0</v>
      </c>
      <c r="F96" s="121"/>
      <c r="G96" s="61"/>
      <c r="H96" s="61"/>
      <c r="I96" s="61"/>
      <c r="J96" s="46"/>
      <c r="K96" s="24"/>
      <c r="L96" s="112"/>
      <c r="M96" s="112"/>
      <c r="N96" s="112"/>
      <c r="O96" s="112"/>
      <c r="P96" s="112"/>
      <c r="Q96" s="113"/>
      <c r="R96" s="114"/>
      <c r="S96" s="114"/>
      <c r="T96" s="114"/>
      <c r="U96" s="115"/>
      <c r="V96" s="24"/>
      <c r="W96" s="24"/>
      <c r="X96" s="24"/>
      <c r="Y96" s="24"/>
      <c r="Z96" s="24"/>
      <c r="AA96" s="24"/>
      <c r="AB96" s="24"/>
      <c r="AC96" s="24"/>
      <c r="AD96" s="24"/>
      <c r="AE96" s="24"/>
      <c r="AF96" s="24"/>
      <c r="AG96" s="24"/>
      <c r="AH96" s="24"/>
      <c r="AI96" s="24"/>
    </row>
    <row r="97" ht="14.25" customHeight="1">
      <c r="A97" s="1"/>
      <c r="B97" s="1"/>
      <c r="C97" s="1"/>
      <c r="D97" s="1"/>
      <c r="E97" s="122"/>
      <c r="F97" s="123">
        <f t="shared" ref="F97:I97" si="4">SUM(F10:F96)</f>
        <v>0</v>
      </c>
      <c r="G97" s="123">
        <f t="shared" si="4"/>
        <v>0</v>
      </c>
      <c r="H97" s="123">
        <f t="shared" si="4"/>
        <v>0</v>
      </c>
      <c r="I97" s="123">
        <f t="shared" si="4"/>
        <v>0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</row>
    <row r="98" ht="14.25" customHeight="1">
      <c r="A98" s="1"/>
      <c r="B98" s="118"/>
      <c r="C98" s="118"/>
      <c r="D98" s="1"/>
      <c r="E98" s="124"/>
      <c r="F98" s="124"/>
      <c r="G98" s="124"/>
      <c r="H98" s="124"/>
      <c r="I98" s="125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</row>
    <row r="99" ht="14.25" customHeight="1">
      <c r="A99" s="1"/>
      <c r="B99" s="118"/>
      <c r="C99" s="1"/>
      <c r="D99" s="1"/>
      <c r="E99" s="8"/>
      <c r="F99" s="8"/>
      <c r="G99" s="8"/>
      <c r="H99" s="8"/>
      <c r="I99" s="8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</row>
    <row r="100" ht="14.25" customHeight="1">
      <c r="A100" s="1"/>
      <c r="B100" s="1"/>
      <c r="C100" s="1"/>
      <c r="D100" s="1"/>
      <c r="E100" s="8"/>
      <c r="F100" s="8"/>
      <c r="G100" s="8"/>
      <c r="H100" s="8"/>
      <c r="I100" s="8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</row>
    <row r="101" ht="14.25" customHeight="1">
      <c r="A101" s="1"/>
      <c r="B101" s="1"/>
      <c r="C101" s="1"/>
      <c r="D101" s="1"/>
      <c r="E101" s="8"/>
      <c r="F101" s="8"/>
      <c r="G101" s="8"/>
      <c r="H101" s="8"/>
      <c r="I101" s="8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</row>
    <row r="102" ht="14.25" customHeight="1">
      <c r="A102" s="1"/>
      <c r="B102" s="1"/>
      <c r="C102" s="1"/>
      <c r="D102" s="1"/>
      <c r="E102" s="8"/>
      <c r="F102" s="8"/>
      <c r="G102" s="8"/>
      <c r="H102" s="8"/>
      <c r="I102" s="8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</row>
    <row r="103" ht="14.25" customHeight="1">
      <c r="A103" s="1"/>
      <c r="B103" s="1"/>
      <c r="C103" s="1"/>
      <c r="D103" s="1"/>
      <c r="E103" s="8"/>
      <c r="F103" s="8"/>
      <c r="G103" s="8"/>
      <c r="H103" s="8"/>
      <c r="I103" s="8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</row>
    <row r="110" ht="14.25" customHeight="1">
      <c r="A110" s="1"/>
      <c r="B110" s="1"/>
      <c r="C110" s="1"/>
      <c r="D110" s="1"/>
      <c r="E110" s="1"/>
      <c r="F110" s="1"/>
      <c r="G110" s="126"/>
      <c r="H110" s="127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</row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</sheetData>
  <mergeCells count="25">
    <mergeCell ref="U8:U9"/>
    <mergeCell ref="W8:W9"/>
    <mergeCell ref="B3:Y3"/>
    <mergeCell ref="E5:J7"/>
    <mergeCell ref="L5:N7"/>
    <mergeCell ref="P5:U7"/>
    <mergeCell ref="W5:Y7"/>
    <mergeCell ref="E8:E9"/>
    <mergeCell ref="F8:F9"/>
    <mergeCell ref="G8:G9"/>
    <mergeCell ref="H8:H9"/>
    <mergeCell ref="B36:C37"/>
    <mergeCell ref="I8:I9"/>
    <mergeCell ref="J8:J9"/>
    <mergeCell ref="L8:L9"/>
    <mergeCell ref="M8:M9"/>
    <mergeCell ref="N8:N9"/>
    <mergeCell ref="P8:P9"/>
    <mergeCell ref="Q8:Q9"/>
    <mergeCell ref="R8:R9"/>
    <mergeCell ref="P31:Q31"/>
    <mergeCell ref="S8:S9"/>
    <mergeCell ref="T8:T9"/>
    <mergeCell ref="X8:X9"/>
    <mergeCell ref="Y8:Y9"/>
  </mergeCells>
  <dataValidations>
    <dataValidation type="custom" allowBlank="1" showDropDown="1" sqref="C2">
      <formula1>OR(NOT(ISERROR(DATEVALUE(C2))), AND(ISNUMBER(C2), LEFT(CELL("format", C2))="D"))</formula1>
    </dataValidation>
  </dataValidations>
  <printOptions/>
  <pageMargins bottom="0.75" footer="0.0" header="0.0" left="0.7" right="0.7" top="0.75"/>
  <pageSetup orientation="portrait"/>
  <drawing r:id="rId1"/>
</worksheet>
</file>