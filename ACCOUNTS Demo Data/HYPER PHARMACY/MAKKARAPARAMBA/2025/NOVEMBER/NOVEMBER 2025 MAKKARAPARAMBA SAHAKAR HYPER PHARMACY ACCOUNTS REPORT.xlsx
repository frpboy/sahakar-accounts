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MPLATE" sheetId="1" r:id="rId4"/>
    <sheet state="hidden" name="Meta" sheetId="2" r:id="rId5"/>
    <sheet state="hidden" name="Summary" sheetId="3" r:id="rId6"/>
    <sheet state="visible" name="011125" sheetId="4" r:id="rId7"/>
    <sheet state="visible" name="021125" sheetId="5" r:id="rId8"/>
    <sheet state="visible" name="031125" sheetId="6" r:id="rId9"/>
    <sheet state="visible" name="041125" sheetId="7" r:id="rId10"/>
    <sheet state="visible" name="051125" sheetId="8" r:id="rId11"/>
    <sheet state="visible" name="061125" sheetId="9" r:id="rId12"/>
    <sheet state="visible" name="071125" sheetId="10" r:id="rId13"/>
    <sheet state="visible" name="081125" sheetId="11" r:id="rId14"/>
    <sheet state="visible" name="091125" sheetId="12" r:id="rId15"/>
    <sheet state="visible" name="101125" sheetId="13" r:id="rId16"/>
    <sheet state="visible" name="111125" sheetId="14" r:id="rId17"/>
    <sheet state="visible" name="121125" sheetId="15" r:id="rId18"/>
    <sheet state="visible" name="131125" sheetId="16" r:id="rId19"/>
    <sheet state="visible" name="141125" sheetId="17" r:id="rId20"/>
    <sheet state="visible" name="151125" sheetId="18" r:id="rId21"/>
    <sheet state="visible" name="161125" sheetId="19" r:id="rId22"/>
    <sheet state="visible" name="171125" sheetId="20" r:id="rId23"/>
    <sheet state="visible" name="181125" sheetId="21" r:id="rId24"/>
    <sheet state="visible" name="191125" sheetId="22" r:id="rId25"/>
    <sheet state="visible" name="201125" sheetId="23" r:id="rId26"/>
    <sheet state="visible" name="211125" sheetId="24" r:id="rId27"/>
    <sheet state="visible" name="221125" sheetId="25" r:id="rId28"/>
    <sheet state="visible" name="231125" sheetId="26" r:id="rId29"/>
    <sheet state="visible" name="241125" sheetId="27" r:id="rId30"/>
    <sheet state="visible" name="251125" sheetId="28" r:id="rId31"/>
    <sheet state="visible" name="261125" sheetId="29" r:id="rId32"/>
    <sheet state="visible" name="271125" sheetId="30" r:id="rId33"/>
    <sheet state="visible" name="281125" sheetId="31" r:id="rId34"/>
    <sheet state="visible" name="291125" sheetId="32" r:id="rId35"/>
    <sheet state="visible" name="301125" sheetId="33" r:id="rId36"/>
  </sheets>
  <definedNames/>
  <calcPr/>
</workbook>
</file>

<file path=xl/sharedStrings.xml><?xml version="1.0" encoding="utf-8"?>
<sst xmlns="http://schemas.openxmlformats.org/spreadsheetml/2006/main" count="2012" uniqueCount="192">
  <si>
    <t>Date</t>
  </si>
  <si>
    <t>SM FLAGSHIP STORE MELATTUR</t>
  </si>
  <si>
    <t>Opening Cash</t>
  </si>
  <si>
    <t>SALE</t>
  </si>
  <si>
    <t>CREDIT AMOUNT RECIEVED</t>
  </si>
  <si>
    <t>PURCHASE</t>
  </si>
  <si>
    <t>Sales Return</t>
  </si>
  <si>
    <t>Opening UPI Balance</t>
  </si>
  <si>
    <t>OPENING CREDIT BALANCE</t>
  </si>
  <si>
    <t>CASH FROM HEAD OFFICE</t>
  </si>
  <si>
    <t>No.</t>
  </si>
  <si>
    <t>Sales</t>
  </si>
  <si>
    <t>Cash</t>
  </si>
  <si>
    <t>UPI</t>
  </si>
  <si>
    <t>Credit</t>
  </si>
  <si>
    <t>Remarks</t>
  </si>
  <si>
    <t>Particulars</t>
  </si>
  <si>
    <t>Voucher</t>
  </si>
  <si>
    <t>Total Sale</t>
  </si>
  <si>
    <t>Cash Sale</t>
  </si>
  <si>
    <t>UPI Sale</t>
  </si>
  <si>
    <t>Credit Sale</t>
  </si>
  <si>
    <t>Cash From Credit Sale</t>
  </si>
  <si>
    <t>UPI From Credit Sale</t>
  </si>
  <si>
    <t>SALES RETURN</t>
  </si>
  <si>
    <t>Total Expenses</t>
  </si>
  <si>
    <t>Cash Expenses</t>
  </si>
  <si>
    <t>Upi Expenses</t>
  </si>
  <si>
    <t>Credit Expenses</t>
  </si>
  <si>
    <t>Closing Credit Balance</t>
  </si>
  <si>
    <t>Closing UPI Balance</t>
  </si>
  <si>
    <t>Closing Cash</t>
  </si>
  <si>
    <t>Physical Cash</t>
  </si>
  <si>
    <t>Difference</t>
  </si>
  <si>
    <t>TOTAL BILL AMOUNT</t>
  </si>
  <si>
    <t>NUMBER OF BILLS</t>
  </si>
  <si>
    <t>AVERAGE BILL AMOUNT</t>
  </si>
  <si>
    <t>CASH Deposit</t>
  </si>
  <si>
    <t>UPI SETTLEMENT</t>
  </si>
  <si>
    <t>Total Outfow</t>
  </si>
  <si>
    <t>DAILY DEPOSIT</t>
  </si>
  <si>
    <t>Key</t>
  </si>
  <si>
    <t>Value</t>
  </si>
  <si>
    <t>Report Title</t>
  </si>
  <si>
    <t>SAHAKAR HYPER PHARMACY ACCOUNTS REPORT</t>
  </si>
  <si>
    <t>Month (Upper)</t>
  </si>
  <si>
    <t>NOVEMBER</t>
  </si>
  <si>
    <t>Year</t>
  </si>
  <si>
    <t>Outlet</t>
  </si>
  <si>
    <t>MAKKARAPARAMBA</t>
  </si>
  <si>
    <t>Locale</t>
  </si>
  <si>
    <t>en-IN</t>
  </si>
  <si>
    <t>Timezone</t>
  </si>
  <si>
    <t>Asia/Kolkata</t>
  </si>
  <si>
    <t>Date Format (Cells)</t>
  </si>
  <si>
    <t>dd/mm/yy</t>
  </si>
  <si>
    <t>Date Format (Names)</t>
  </si>
  <si>
    <t>dd/MM/yy</t>
  </si>
  <si>
    <t>Created At</t>
  </si>
  <si>
    <t>Template File ID</t>
  </si>
  <si>
    <t>1mA_aPQuVrBDtC_DUihDGp7BMgONZKdQI_18Ri2QbKO8</t>
  </si>
  <si>
    <t>Daily Template Tab</t>
  </si>
  <si>
    <t>TEMPLATE</t>
  </si>
  <si>
    <t>Metric</t>
  </si>
  <si>
    <t>Days in Month</t>
  </si>
  <si>
    <t>Generated At</t>
  </si>
  <si>
    <t>SM FLAGSHIP STORE MAKKARAPARAMBA</t>
  </si>
  <si>
    <t>petrol</t>
  </si>
  <si>
    <t>MOXIGRAM LX DPS</t>
  </si>
  <si>
    <t xml:space="preserve"> </t>
  </si>
  <si>
    <t>pegion bottle</t>
  </si>
  <si>
    <t xml:space="preserve">bus melattur </t>
  </si>
  <si>
    <t>card1288</t>
  </si>
  <si>
    <t>MELATTUR</t>
  </si>
  <si>
    <t>DONATION</t>
  </si>
  <si>
    <t>511/BASHEER VENKITA</t>
  </si>
  <si>
    <t>GIREESH</t>
  </si>
  <si>
    <t>micogel</t>
  </si>
  <si>
    <t>NISAM</t>
  </si>
  <si>
    <t>RASHID</t>
  </si>
  <si>
    <t>PETROL</t>
  </si>
  <si>
    <t>CARD1378</t>
  </si>
  <si>
    <t>FEVICOL</t>
  </si>
  <si>
    <t>CARD</t>
  </si>
  <si>
    <t>drinking water</t>
  </si>
  <si>
    <t>donation</t>
  </si>
  <si>
    <t>shabin sir trnsfer to head office</t>
  </si>
  <si>
    <t>card1399</t>
  </si>
  <si>
    <t>irfan sir 1441</t>
  </si>
  <si>
    <t>SMART CLINC</t>
  </si>
  <si>
    <t>bathroom brush</t>
  </si>
  <si>
    <t>card</t>
  </si>
  <si>
    <t>dr ansar1468</t>
  </si>
  <si>
    <t>dr ansar1479</t>
  </si>
  <si>
    <t>petrool</t>
  </si>
  <si>
    <t>1541 ANSAR</t>
  </si>
  <si>
    <t>CARD1558</t>
  </si>
  <si>
    <t>basheer1565</t>
  </si>
  <si>
    <t>basheer1566</t>
  </si>
  <si>
    <t xml:space="preserve">MARKETING FUEL </t>
  </si>
  <si>
    <t>SATHAR</t>
  </si>
  <si>
    <t>nisam</t>
  </si>
  <si>
    <t>chappal for new staff</t>
  </si>
  <si>
    <t>GABAPEN 100</t>
  </si>
  <si>
    <t>ABHIRAJ</t>
  </si>
  <si>
    <t>1764 MISSING BILLS</t>
  </si>
  <si>
    <t>rosuvas 20</t>
  </si>
  <si>
    <t xml:space="preserve">PETROL DELIVERY </t>
  </si>
  <si>
    <t>1759/FEEDING BOTTLE</t>
  </si>
  <si>
    <t>DRINKING WATER</t>
  </si>
  <si>
    <t>TISSUE</t>
  </si>
  <si>
    <t>.</t>
  </si>
  <si>
    <t>..</t>
  </si>
  <si>
    <t>27,809,</t>
  </si>
  <si>
    <t>zapq return</t>
  </si>
  <si>
    <t>moidutty</t>
  </si>
  <si>
    <t>card1903</t>
  </si>
  <si>
    <t>ZAPQ</t>
  </si>
  <si>
    <t>smart clinic 720/- card</t>
  </si>
  <si>
    <t xml:space="preserve">  </t>
  </si>
  <si>
    <t>CARD1936</t>
  </si>
  <si>
    <t>CARD1947</t>
  </si>
  <si>
    <t>SMART CLINIC</t>
  </si>
  <si>
    <t>SUGESH</t>
  </si>
  <si>
    <t>POSTER</t>
  </si>
  <si>
    <t>DUSTER</t>
  </si>
  <si>
    <t>HEAD OFICE</t>
  </si>
  <si>
    <t>1968 card</t>
  </si>
  <si>
    <t>CARD2014</t>
  </si>
  <si>
    <t>SUGESH1959</t>
  </si>
  <si>
    <t>shop rent</t>
  </si>
  <si>
    <t>ABHI</t>
  </si>
  <si>
    <t>2063 CARD</t>
  </si>
  <si>
    <t>CARD2073</t>
  </si>
  <si>
    <t>CARD2075</t>
  </si>
  <si>
    <t>CARD2076</t>
  </si>
  <si>
    <t>RENT DEPOSIT</t>
  </si>
  <si>
    <t>PROLOMET T</t>
  </si>
  <si>
    <t>card2100</t>
  </si>
  <si>
    <t>card2136</t>
  </si>
  <si>
    <t>card2171</t>
  </si>
  <si>
    <t>SMART 2174</t>
  </si>
  <si>
    <t>camp cahir and table</t>
  </si>
  <si>
    <t>CO RASHI2256</t>
  </si>
  <si>
    <t>CO RASHI2257</t>
  </si>
  <si>
    <t>CO ABHI DLVRY2260</t>
  </si>
  <si>
    <t>SMART CLINIC GPAY 880/-</t>
  </si>
  <si>
    <t>CO ABHI DLVRY2267</t>
  </si>
  <si>
    <t>CO ABHI DLVRY2314</t>
  </si>
  <si>
    <t>CO ABHI2318</t>
  </si>
  <si>
    <t>rashid</t>
  </si>
  <si>
    <t>zerodol th4</t>
  </si>
  <si>
    <t>abhiraj</t>
  </si>
  <si>
    <t xml:space="preserve">CREDIT BY RASHID </t>
  </si>
  <si>
    <t>COURIER CHARGE</t>
  </si>
  <si>
    <t>rent deposit</t>
  </si>
  <si>
    <t xml:space="preserve">           </t>
  </si>
  <si>
    <t>abhi home delivery</t>
  </si>
  <si>
    <t>RENT</t>
  </si>
  <si>
    <t xml:space="preserve">samad nani cstmr </t>
  </si>
  <si>
    <t xml:space="preserve">courrier charges </t>
  </si>
  <si>
    <t>SHOP RENT</t>
  </si>
  <si>
    <t>314 cust sc ayachu thannu but hdfc app il kanunnilla</t>
  </si>
  <si>
    <t>rent</t>
  </si>
  <si>
    <t>harithakarma sena</t>
  </si>
  <si>
    <t>card2569</t>
  </si>
  <si>
    <t>CRD2580</t>
  </si>
  <si>
    <t>smart clinick 1640</t>
  </si>
  <si>
    <t>both are upi</t>
  </si>
  <si>
    <t>CRD2601</t>
  </si>
  <si>
    <t>CREDIT</t>
  </si>
  <si>
    <t>DAILY RENT</t>
  </si>
  <si>
    <t>teneblu</t>
  </si>
  <si>
    <t xml:space="preserve">WATER </t>
  </si>
  <si>
    <t>GABANTIN  NT</t>
  </si>
  <si>
    <t>card2746</t>
  </si>
  <si>
    <t>SUG CRED</t>
  </si>
  <si>
    <t>BANK</t>
  </si>
  <si>
    <t>/credit/sugesh</t>
  </si>
  <si>
    <t>SMART CLINIC 650/-</t>
  </si>
  <si>
    <t>cr/home del</t>
  </si>
  <si>
    <t>cred/sugesh</t>
  </si>
  <si>
    <t>CARD2877</t>
  </si>
  <si>
    <t>HCQS</t>
  </si>
  <si>
    <t>PETRL</t>
  </si>
  <si>
    <t>SEBAMED</t>
  </si>
  <si>
    <t>CRED/ABHI</t>
  </si>
  <si>
    <t>CRED/RAFI SIR</t>
  </si>
  <si>
    <t>DELIVERY</t>
  </si>
  <si>
    <t>220 SMRT CLINICK</t>
  </si>
  <si>
    <t>RAFI SIR3040</t>
  </si>
  <si>
    <t>lipstick insight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</si>
</sst>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&quot;/&quot;yy"/>
    <numFmt numFmtId="165" formatCode="dd/mm/yy hh:mm"/>
    <numFmt numFmtId="166" formatCode="dd/mm/yy hh:mm:ss"/>
    <numFmt numFmtId="167" formatCode="dd/mm/yy"/>
  </numFmts>
  <fonts count="35">
    <font>
      <sz val="11.0"/>
      <color theme="1"/>
      <name val="Calibri"/>
      <scheme val="minor"/>
    </font>
    <font>
      <sz val="11.0"/>
      <color rgb="FF000000"/>
      <name val="Calibri"/>
    </font>
    <font>
      <b/>
      <sz val="13.0"/>
      <color theme="1"/>
      <name val="Calibri"/>
    </font>
    <font>
      <b/>
      <sz val="17.0"/>
      <color theme="1"/>
      <name val="Calibri"/>
    </font>
    <font/>
    <font>
      <b/>
      <sz val="11.0"/>
      <color rgb="FF000000"/>
      <name val="&quot;Calibri Light&quot;"/>
    </font>
    <font>
      <b/>
      <sz val="11.0"/>
      <color rgb="FF000000"/>
      <name val="Arial"/>
    </font>
    <font>
      <b/>
      <sz val="32.0"/>
      <color rgb="FF000000"/>
      <name val="Arial"/>
    </font>
    <font>
      <b/>
      <sz val="16.0"/>
      <color rgb="FF000000"/>
      <name val="Arial"/>
    </font>
    <font>
      <b/>
      <sz val="12.0"/>
      <color rgb="FF000000"/>
      <name val="&quot;Calibri Light&quot;"/>
    </font>
    <font>
      <b/>
      <sz val="19.0"/>
      <color rgb="FF000000"/>
      <name val="Arial"/>
    </font>
    <font>
      <color rgb="FF000000"/>
      <name val="&quot;Calibri Light&quot;"/>
    </font>
    <font>
      <b/>
      <sz val="10.0"/>
      <color rgb="FF000000"/>
      <name val="Arial"/>
    </font>
    <font>
      <b/>
      <color rgb="FF000000"/>
      <name val="&quot;Calibri Light&quot;"/>
    </font>
    <font>
      <b/>
      <color rgb="FF000000"/>
      <name val="Arial"/>
    </font>
    <font>
      <b/>
      <sz val="12.0"/>
      <color rgb="FF000000"/>
      <name val="Arial"/>
    </font>
    <font>
      <sz val="11.0"/>
      <color rgb="FF000000"/>
      <name val="&quot;Calibri Light&quot;"/>
    </font>
    <font>
      <color rgb="FF000000"/>
      <name val="Arial"/>
    </font>
    <font>
      <color theme="1"/>
      <name val="Arial"/>
    </font>
    <font>
      <color theme="1"/>
      <name val="&quot;Calibri Light&quot;"/>
    </font>
    <font>
      <sz val="9.0"/>
      <color rgb="FF000000"/>
      <name val="&quot;Calibri Light&quot;"/>
    </font>
    <font>
      <sz val="11.0"/>
      <color rgb="FF000000"/>
      <name val="Arial"/>
    </font>
    <font>
      <sz val="11.0"/>
      <color theme="0"/>
      <name val="Arial"/>
    </font>
    <font>
      <sz val="11.0"/>
      <color theme="0"/>
      <name val="Calibri"/>
    </font>
    <font>
      <b/>
      <sz val="11.0"/>
      <color rgb="FFFF0000"/>
      <name val="&quot;Calibri Light&quot;"/>
    </font>
    <font>
      <b/>
      <color rgb="FFFF0000"/>
      <name val="&quot;Calibri Light&quot;"/>
    </font>
    <font>
      <b/>
      <sz val="11.0"/>
      <color rgb="FF000000"/>
      <name val="Calibri"/>
    </font>
    <font>
      <b/>
      <sz val="18.0"/>
      <color rgb="FF000000"/>
      <name val="Calibri"/>
    </font>
    <font>
      <color rgb="FF000000"/>
      <name val="&quot;Times New Roman&quot;"/>
    </font>
    <font>
      <sz val="12.0"/>
      <color rgb="FF000000"/>
      <name val="&quot;Times New Roman&quot;"/>
    </font>
    <font>
      <b/>
      <sz val="11.0"/>
      <color rgb="FF666666"/>
      <name val="Arial"/>
    </font>
    <font>
      <color theme="1"/>
      <name val="Calibri"/>
      <scheme val="minor"/>
    </font>
    <font>
      <b/>
      <color theme="1"/>
      <name val="Arial"/>
    </font>
    <font>
      <sz val="9.0"/>
      <color rgb="FF000000"/>
      <name val="Arial"/>
    </font>
    <font>
      <sz val="11.0"/>
      <color rgb="FF000000"/>
      <name val="&quot;Aptos Narrow&quot;"/>
    </font>
  </fonts>
  <fills count="19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theme="4"/>
        <bgColor theme="4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  <fill>
      <patternFill patternType="solid">
        <fgColor rgb="FF666666"/>
        <bgColor rgb="FF666666"/>
      </patternFill>
    </fill>
    <fill>
      <patternFill patternType="solid">
        <fgColor rgb="FFFCE5CD"/>
        <bgColor rgb="FFFCE5CD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2" fillId="0" fontId="2" numFmtId="164" xfId="0" applyAlignment="1" applyBorder="1" applyFont="1" applyNumberFormat="1">
      <alignment horizontal="center" readingOrder="0" shrinkToFit="0" wrapText="0"/>
    </xf>
    <xf borderId="0" fillId="0" fontId="1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readingOrder="0" shrinkToFit="0" wrapText="0"/>
    </xf>
    <xf borderId="3" fillId="0" fontId="4" numFmtId="0" xfId="0" applyBorder="1" applyFont="1"/>
    <xf borderId="4" fillId="0" fontId="4" numFmtId="0" xfId="0" applyBorder="1" applyFont="1"/>
    <xf borderId="0" fillId="3" fontId="1" numFmtId="0" xfId="0" applyAlignment="1" applyFill="1" applyFont="1">
      <alignment shrinkToFit="0" vertical="bottom" wrapText="0"/>
    </xf>
    <xf borderId="0" fillId="4" fontId="1" numFmtId="0" xfId="0" applyAlignment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5" fontId="5" numFmtId="0" xfId="0" applyAlignment="1" applyBorder="1" applyFill="1" applyFont="1">
      <alignment horizontal="left" readingOrder="0" shrinkToFit="0" wrapText="0"/>
    </xf>
    <xf borderId="4" fillId="5" fontId="6" numFmtId="4" xfId="0" applyAlignment="1" applyBorder="1" applyFont="1" applyNumberFormat="1">
      <alignment horizontal="right" readingOrder="0" shrinkToFit="0" wrapText="0"/>
    </xf>
    <xf borderId="5" fillId="6" fontId="7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5" fillId="6" fontId="8" numFmtId="0" xfId="0" applyAlignment="1" applyBorder="1" applyFont="1">
      <alignment horizontal="center" readingOrder="0" shrinkToFit="0" vertical="center" wrapText="0"/>
    </xf>
    <xf borderId="0" fillId="4" fontId="9" numFmtId="0" xfId="0" applyAlignment="1" applyFont="1">
      <alignment horizontal="center" readingOrder="0" shrinkToFit="0" wrapText="0"/>
    </xf>
    <xf borderId="5" fillId="6" fontId="7" numFmtId="0" xfId="0" applyAlignment="1" applyBorder="1" applyFont="1">
      <alignment horizontal="center" readingOrder="0" shrinkToFit="0" vertical="center" wrapText="0"/>
    </xf>
    <xf borderId="5" fillId="6" fontId="10" numFmtId="0" xfId="0" applyAlignment="1" applyBorder="1" applyFont="1">
      <alignment horizontal="center" readingOrder="0" shrinkToFit="0" vertical="center" wrapText="0"/>
    </xf>
    <xf borderId="8" fillId="5" fontId="5" numFmtId="0" xfId="0" applyAlignment="1" applyBorder="1" applyFont="1">
      <alignment readingOrder="0" shrinkToFit="0" wrapText="0"/>
    </xf>
    <xf borderId="9" fillId="5" fontId="6" numFmtId="4" xfId="0" applyAlignment="1" applyBorder="1" applyFont="1" applyNumberFormat="1">
      <alignment readingOrder="0" shrinkToFit="0" wrapText="0"/>
    </xf>
    <xf borderId="10" fillId="0" fontId="4" numFmtId="0" xfId="0" applyBorder="1" applyFont="1"/>
    <xf borderId="11" fillId="0" fontId="4" numFmtId="0" xfId="0" applyBorder="1" applyFont="1"/>
    <xf borderId="0" fillId="0" fontId="11" numFmtId="0" xfId="0" applyAlignment="1" applyFont="1">
      <alignment shrinkToFit="0" vertical="bottom" wrapText="0"/>
    </xf>
    <xf borderId="8" fillId="5" fontId="12" numFmtId="0" xfId="0" applyAlignment="1" applyBorder="1" applyFont="1">
      <alignment horizontal="left" readingOrder="0" shrinkToFit="0" wrapText="0"/>
    </xf>
    <xf borderId="12" fillId="0" fontId="4" numFmtId="0" xfId="0" applyBorder="1" applyFont="1"/>
    <xf borderId="13" fillId="0" fontId="4" numFmtId="0" xfId="0" applyBorder="1" applyFont="1"/>
    <xf borderId="9" fillId="0" fontId="4" numFmtId="0" xfId="0" applyBorder="1" applyFont="1"/>
    <xf borderId="14" fillId="6" fontId="13" numFmtId="0" xfId="0" applyAlignment="1" applyBorder="1" applyFont="1">
      <alignment horizontal="center" readingOrder="0"/>
    </xf>
    <xf borderId="14" fillId="6" fontId="14" numFmtId="0" xfId="0" applyAlignment="1" applyBorder="1" applyFont="1">
      <alignment horizontal="center" readingOrder="0"/>
    </xf>
    <xf borderId="14" fillId="6" fontId="14" numFmtId="0" xfId="0" applyAlignment="1" applyBorder="1" applyFont="1">
      <alignment readingOrder="0" shrinkToFit="0" vertical="bottom" wrapText="0"/>
    </xf>
    <xf borderId="14" fillId="6" fontId="15" numFmtId="0" xfId="0" applyAlignment="1" applyBorder="1" applyFont="1">
      <alignment horizontal="center" readingOrder="0" shrinkToFit="0" wrapText="0"/>
    </xf>
    <xf borderId="14" fillId="6" fontId="9" numFmtId="0" xfId="0" applyAlignment="1" applyBorder="1" applyFont="1">
      <alignment horizontal="center" readingOrder="0" shrinkToFit="0" vertical="center" wrapText="0"/>
    </xf>
    <xf borderId="14" fillId="6" fontId="9" numFmtId="0" xfId="0" applyAlignment="1" applyBorder="1" applyFont="1">
      <alignment horizontal="center" readingOrder="0" vertical="center"/>
    </xf>
    <xf borderId="14" fillId="6" fontId="9" numFmtId="0" xfId="0" applyAlignment="1" applyBorder="1" applyFont="1">
      <alignment horizontal="center" readingOrder="0" vertical="center"/>
    </xf>
    <xf borderId="14" fillId="6" fontId="15" numFmtId="0" xfId="0" applyAlignment="1" applyBorder="1" applyFont="1">
      <alignment horizontal="center" readingOrder="0" vertical="center"/>
    </xf>
    <xf borderId="8" fillId="7" fontId="5" numFmtId="0" xfId="0" applyAlignment="1" applyBorder="1" applyFill="1" applyFont="1">
      <alignment horizontal="left" readingOrder="0" shrinkToFit="0" wrapText="0"/>
    </xf>
    <xf borderId="9" fillId="7" fontId="5" numFmtId="4" xfId="0" applyAlignment="1" applyBorder="1" applyFont="1" applyNumberFormat="1">
      <alignment horizontal="right" readingOrder="0" shrinkToFit="0" wrapText="0"/>
    </xf>
    <xf borderId="8" fillId="0" fontId="4" numFmtId="0" xfId="0" applyBorder="1" applyFont="1"/>
    <xf borderId="15" fillId="0" fontId="4" numFmtId="0" xfId="0" applyBorder="1" applyFont="1"/>
    <xf borderId="8" fillId="3" fontId="16" numFmtId="0" xfId="0" applyAlignment="1" applyBorder="1" applyFont="1">
      <alignment horizontal="left" readingOrder="0" shrinkToFit="0" wrapText="0"/>
    </xf>
    <xf borderId="9" fillId="3" fontId="16" numFmtId="4" xfId="0" applyAlignment="1" applyBorder="1" applyFont="1" applyNumberFormat="1">
      <alignment horizontal="right" readingOrder="0" shrinkToFit="0" wrapText="0"/>
    </xf>
    <xf borderId="12" fillId="0" fontId="11" numFmtId="0" xfId="0" applyAlignment="1" applyBorder="1" applyFont="1">
      <alignment horizontal="center" readingOrder="0" shrinkToFit="0" wrapText="0"/>
    </xf>
    <xf borderId="2" fillId="4" fontId="17" numFmtId="4" xfId="0" applyAlignment="1" applyBorder="1" applyFont="1" applyNumberFormat="1">
      <alignment horizontal="center" readingOrder="0" shrinkToFit="0" wrapText="0"/>
    </xf>
    <xf borderId="11" fillId="4" fontId="17" numFmtId="4" xfId="0" applyAlignment="1" applyBorder="1" applyFont="1" applyNumberFormat="1">
      <alignment horizontal="center" readingOrder="0" shrinkToFit="0" vertical="bottom" wrapText="0"/>
    </xf>
    <xf borderId="2" fillId="4" fontId="11" numFmtId="0" xfId="0" applyAlignment="1" applyBorder="1" applyFont="1">
      <alignment shrinkToFit="0" vertical="bottom" wrapText="0"/>
    </xf>
    <xf borderId="2" fillId="4" fontId="15" numFmtId="0" xfId="0" applyAlignment="1" applyBorder="1" applyFont="1">
      <alignment horizontal="center" readingOrder="0" shrinkToFit="0" wrapText="0"/>
    </xf>
    <xf borderId="2" fillId="4" fontId="9" numFmtId="0" xfId="0" applyAlignment="1" applyBorder="1" applyFont="1">
      <alignment horizontal="center" readingOrder="0" shrinkToFit="0" wrapText="0"/>
    </xf>
    <xf borderId="0" fillId="4" fontId="11" numFmtId="0" xfId="0" applyAlignment="1" applyFont="1">
      <alignment horizontal="left" readingOrder="0" shrinkToFit="0" wrapText="0"/>
    </xf>
    <xf borderId="2" fillId="0" fontId="11" numFmtId="0" xfId="0" applyAlignment="1" applyBorder="1" applyFont="1">
      <alignment horizontal="left" readingOrder="0" shrinkToFit="0" wrapText="0"/>
    </xf>
    <xf borderId="9" fillId="0" fontId="11" numFmtId="0" xfId="0" applyAlignment="1" applyBorder="1" applyFont="1">
      <alignment shrinkToFit="0" vertical="bottom" wrapText="0"/>
    </xf>
    <xf borderId="9" fillId="0" fontId="17" numFmtId="4" xfId="0" applyAlignment="1" applyBorder="1" applyFont="1" applyNumberFormat="1">
      <alignment readingOrder="0" shrinkToFit="0" vertical="bottom" wrapText="0"/>
    </xf>
    <xf borderId="9" fillId="0" fontId="11" numFmtId="4" xfId="0" applyAlignment="1" applyBorder="1" applyFont="1" applyNumberFormat="1">
      <alignment shrinkToFit="0" vertical="bottom" wrapText="0"/>
    </xf>
    <xf borderId="9" fillId="0" fontId="17" numFmtId="4" xfId="0" applyAlignment="1" applyBorder="1" applyFont="1" applyNumberFormat="1">
      <alignment horizontal="center" readingOrder="0" shrinkToFit="0" wrapText="0"/>
    </xf>
    <xf borderId="9" fillId="0" fontId="11" numFmtId="0" xfId="0" applyBorder="1" applyFont="1"/>
    <xf borderId="8" fillId="4" fontId="18" numFmtId="4" xfId="0" applyAlignment="1" applyBorder="1" applyFont="1" applyNumberFormat="1">
      <alignment horizontal="center" readingOrder="0" shrinkToFit="0" wrapText="0"/>
    </xf>
    <xf borderId="4" fillId="4" fontId="18" numFmtId="4" xfId="0" applyAlignment="1" applyBorder="1" applyFont="1" applyNumberFormat="1">
      <alignment horizontal="center" readingOrder="0" shrinkToFit="0" wrapText="0"/>
    </xf>
    <xf borderId="4" fillId="4" fontId="17" numFmtId="4" xfId="0" applyAlignment="1" applyBorder="1" applyFont="1" applyNumberFormat="1">
      <alignment horizontal="center" readingOrder="0" shrinkToFit="0" wrapText="0"/>
    </xf>
    <xf borderId="4" fillId="4" fontId="19" numFmtId="4" xfId="0" applyAlignment="1" applyBorder="1" applyFont="1" applyNumberFormat="1">
      <alignment horizontal="center" shrinkToFit="0" wrapText="0"/>
    </xf>
    <xf borderId="8" fillId="0" fontId="11" numFmtId="0" xfId="0" applyAlignment="1" applyBorder="1" applyFont="1">
      <alignment horizontal="left" readingOrder="0" shrinkToFit="0" wrapText="0"/>
    </xf>
    <xf borderId="9" fillId="0" fontId="11" numFmtId="4" xfId="0" applyAlignment="1" applyBorder="1" applyFont="1" applyNumberFormat="1">
      <alignment horizontal="center" shrinkToFit="0" wrapText="0"/>
    </xf>
    <xf borderId="9" fillId="0" fontId="20" numFmtId="0" xfId="0" applyBorder="1" applyFont="1"/>
    <xf borderId="8" fillId="4" fontId="17" numFmtId="4" xfId="0" applyAlignment="1" applyBorder="1" applyFont="1" applyNumberFormat="1">
      <alignment horizontal="center" readingOrder="0" shrinkToFit="0" wrapText="0"/>
    </xf>
    <xf borderId="9" fillId="4" fontId="18" numFmtId="4" xfId="0" applyAlignment="1" applyBorder="1" applyFont="1" applyNumberFormat="1">
      <alignment horizontal="center" readingOrder="0" shrinkToFit="0" wrapText="0"/>
    </xf>
    <xf borderId="9" fillId="4" fontId="19" numFmtId="4" xfId="0" applyAlignment="1" applyBorder="1" applyFont="1" applyNumberFormat="1">
      <alignment horizontal="center" shrinkToFit="0" wrapText="0"/>
    </xf>
    <xf borderId="8" fillId="8" fontId="21" numFmtId="0" xfId="0" applyAlignment="1" applyBorder="1" applyFill="1" applyFont="1">
      <alignment horizontal="left" readingOrder="0" shrinkToFit="0" wrapText="0"/>
    </xf>
    <xf borderId="2" fillId="8" fontId="16" numFmtId="4" xfId="0" applyAlignment="1" applyBorder="1" applyFont="1" applyNumberFormat="1">
      <alignment horizontal="right" readingOrder="0" shrinkToFit="0" wrapText="0"/>
    </xf>
    <xf borderId="8" fillId="9" fontId="22" numFmtId="0" xfId="0" applyAlignment="1" applyBorder="1" applyFill="1" applyFont="1">
      <alignment horizontal="left" readingOrder="0" shrinkToFit="0" wrapText="0"/>
    </xf>
    <xf borderId="2" fillId="9" fontId="23" numFmtId="4" xfId="0" applyAlignment="1" applyBorder="1" applyFont="1" applyNumberFormat="1">
      <alignment horizontal="right" readingOrder="0" shrinkToFit="0" vertical="bottom" wrapText="0"/>
    </xf>
    <xf borderId="11" fillId="7" fontId="5" numFmtId="4" xfId="0" applyAlignment="1" applyBorder="1" applyFont="1" applyNumberFormat="1">
      <alignment horizontal="right" readingOrder="0" shrinkToFit="0" wrapText="0"/>
    </xf>
    <xf borderId="7" fillId="3" fontId="16" numFmtId="4" xfId="0" applyAlignment="1" applyBorder="1" applyFont="1" applyNumberFormat="1">
      <alignment horizontal="right" readingOrder="0" shrinkToFit="0" wrapText="0"/>
    </xf>
    <xf borderId="8" fillId="0" fontId="17" numFmtId="0" xfId="0" applyAlignment="1" applyBorder="1" applyFont="1">
      <alignment horizontal="left" readingOrder="0" shrinkToFit="0" wrapText="0"/>
    </xf>
    <xf borderId="0" fillId="4" fontId="11" numFmtId="0" xfId="0" applyAlignment="1" applyFont="1">
      <alignment horizontal="left" shrinkToFit="0" wrapText="0"/>
    </xf>
    <xf borderId="2" fillId="5" fontId="6" numFmtId="0" xfId="0" applyAlignment="1" applyBorder="1" applyFont="1">
      <alignment horizontal="left" readingOrder="0" shrinkToFit="0" wrapText="0"/>
    </xf>
    <xf borderId="7" fillId="5" fontId="16" numFmtId="4" xfId="0" applyAlignment="1" applyBorder="1" applyFont="1" applyNumberFormat="1">
      <alignment horizontal="right" readingOrder="0" shrinkToFit="0" wrapText="0"/>
    </xf>
    <xf borderId="8" fillId="0" fontId="11" numFmtId="0" xfId="0" applyAlignment="1" applyBorder="1" applyFont="1">
      <alignment horizontal="left" shrinkToFit="0" wrapText="0"/>
    </xf>
    <xf borderId="2" fillId="5" fontId="5" numFmtId="0" xfId="0" applyAlignment="1" applyBorder="1" applyFont="1">
      <alignment horizontal="left" readingOrder="0" shrinkToFit="0" wrapText="0"/>
    </xf>
    <xf borderId="4" fillId="5" fontId="16" numFmtId="4" xfId="0" applyAlignment="1" applyBorder="1" applyFont="1" applyNumberFormat="1">
      <alignment horizontal="right" readingOrder="0" shrinkToFit="0" wrapText="0"/>
    </xf>
    <xf borderId="8" fillId="5" fontId="5" numFmtId="0" xfId="0" applyAlignment="1" applyBorder="1" applyFont="1">
      <alignment horizontal="left" readingOrder="0" shrinkToFit="0" wrapText="0"/>
    </xf>
    <xf borderId="9" fillId="5" fontId="16" numFmtId="4" xfId="0" applyAlignment="1" applyBorder="1" applyFont="1" applyNumberFormat="1">
      <alignment horizontal="right" readingOrder="0" shrinkToFit="0" wrapText="0"/>
    </xf>
    <xf borderId="8" fillId="7" fontId="5" numFmtId="0" xfId="0" applyAlignment="1" applyBorder="1" applyFont="1">
      <alignment horizontal="left" readingOrder="0" shrinkToFit="0" wrapText="0"/>
    </xf>
    <xf borderId="9" fillId="7" fontId="16" numFmtId="4" xfId="0" applyAlignment="1" applyBorder="1" applyFont="1" applyNumberFormat="1">
      <alignment horizontal="right" readingOrder="0" shrinkToFit="0" wrapText="0"/>
    </xf>
    <xf borderId="8" fillId="3" fontId="24" numFmtId="0" xfId="0" applyAlignment="1" applyBorder="1" applyFont="1">
      <alignment horizontal="left" readingOrder="0" shrinkToFit="0" wrapText="0"/>
    </xf>
    <xf borderId="9" fillId="3" fontId="24" numFmtId="4" xfId="0" applyAlignment="1" applyBorder="1" applyFont="1" applyNumberFormat="1">
      <alignment horizontal="right" readingOrder="0" shrinkToFit="0" wrapText="0"/>
    </xf>
    <xf borderId="2" fillId="0" fontId="17" numFmtId="0" xfId="0" applyAlignment="1" applyBorder="1" applyFont="1">
      <alignment horizontal="left" readingOrder="0" shrinkToFit="0" wrapText="0"/>
    </xf>
    <xf borderId="2" fillId="0" fontId="1" numFmtId="4" xfId="0" applyAlignment="1" applyBorder="1" applyFont="1" applyNumberForma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21" numFmtId="0" xfId="0" applyAlignment="1" applyBorder="1" applyFont="1">
      <alignment readingOrder="0" shrinkToFit="0" vertical="bottom" wrapText="0"/>
    </xf>
    <xf borderId="2" fillId="0" fontId="1" numFmtId="4" xfId="0" applyAlignment="1" applyBorder="1" applyFont="1" applyNumberFormat="1">
      <alignment shrinkToFit="0" vertical="bottom" wrapText="0"/>
    </xf>
    <xf borderId="14" fillId="0" fontId="17" numFmtId="0" xfId="0" applyAlignment="1" applyBorder="1" applyFont="1">
      <alignment horizontal="left" readingOrder="0" shrinkToFit="0" wrapText="0"/>
    </xf>
    <xf borderId="4" fillId="0" fontId="1" numFmtId="4" xfId="0" applyAlignment="1" applyBorder="1" applyFont="1" applyNumberFormat="1">
      <alignment horizontal="right" readingOrder="0" shrinkToFit="0" vertical="bottom" wrapText="0"/>
    </xf>
    <xf borderId="9" fillId="4" fontId="11" numFmtId="4" xfId="0" applyAlignment="1" applyBorder="1" applyFont="1" applyNumberFormat="1">
      <alignment horizontal="center" shrinkToFit="0" wrapText="0"/>
    </xf>
    <xf borderId="9" fillId="4" fontId="17" numFmtId="4" xfId="0" applyAlignment="1" applyBorder="1" applyFont="1" applyNumberFormat="1">
      <alignment horizontal="center" readingOrder="0" shrinkToFit="0" wrapText="0"/>
    </xf>
    <xf borderId="0" fillId="4" fontId="25" numFmtId="0" xfId="0" applyAlignment="1" applyFont="1">
      <alignment horizontal="center" readingOrder="0" shrinkToFit="0" wrapText="0"/>
    </xf>
    <xf borderId="1" fillId="5" fontId="25" numFmtId="0" xfId="0" applyAlignment="1" applyBorder="1" applyFont="1">
      <alignment horizontal="center" readingOrder="0" shrinkToFit="0" wrapText="0"/>
    </xf>
    <xf borderId="4" fillId="5" fontId="25" numFmtId="4" xfId="0" applyAlignment="1" applyBorder="1" applyFont="1" applyNumberFormat="1">
      <alignment horizontal="center" readingOrder="0" shrinkToFit="0" wrapText="0"/>
    </xf>
    <xf borderId="4" fillId="5" fontId="11" numFmtId="0" xfId="0" applyBorder="1" applyFont="1"/>
    <xf borderId="0" fillId="4" fontId="17" numFmtId="0" xfId="0" applyAlignment="1" applyFont="1">
      <alignment horizontal="left" readingOrder="0" shrinkToFit="0" wrapText="0"/>
    </xf>
    <xf borderId="9" fillId="0" fontId="17" numFmtId="4" xfId="0" applyAlignment="1" applyBorder="1" applyFont="1" applyNumberFormat="1">
      <alignment horizontal="right" readingOrder="0" shrinkToFit="0" vertical="bottom" wrapText="0"/>
    </xf>
    <xf borderId="9" fillId="10" fontId="11" numFmtId="4" xfId="0" applyAlignment="1" applyBorder="1" applyFill="1" applyFont="1" applyNumberFormat="1">
      <alignment shrinkToFit="0" vertical="bottom" wrapText="0"/>
    </xf>
    <xf borderId="9" fillId="10" fontId="11" numFmtId="4" xfId="0" applyAlignment="1" applyBorder="1" applyFont="1" applyNumberFormat="1">
      <alignment horizontal="center" shrinkToFit="0" wrapText="0"/>
    </xf>
    <xf borderId="0" fillId="4" fontId="26" numFmtId="0" xfId="0" applyAlignment="1" applyFont="1">
      <alignment readingOrder="0" shrinkToFit="0" vertical="bottom" wrapText="0"/>
    </xf>
    <xf borderId="0" fillId="4" fontId="26" numFmtId="0" xfId="0" applyAlignment="1" applyFont="1">
      <alignment shrinkToFit="0" vertical="bottom" wrapText="0"/>
    </xf>
    <xf borderId="2" fillId="5" fontId="9" numFmtId="0" xfId="0" applyAlignment="1" applyBorder="1" applyFont="1">
      <alignment horizontal="center" readingOrder="0" shrinkToFit="0" wrapText="0"/>
    </xf>
    <xf borderId="0" fillId="0" fontId="17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shrinkToFit="0" wrapText="0"/>
    </xf>
    <xf borderId="2" fillId="0" fontId="11" numFmtId="0" xfId="0" applyAlignment="1" applyBorder="1" applyFont="1">
      <alignment shrinkToFit="0" vertical="bottom" wrapText="0"/>
    </xf>
    <xf borderId="2" fillId="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horizontal="center" shrinkToFit="0" wrapText="0"/>
    </xf>
    <xf borderId="2" fillId="0" fontId="11" numFmtId="0" xfId="0" applyBorder="1" applyFont="1"/>
    <xf borderId="0" fillId="0" fontId="11" numFmtId="0" xfId="0" applyAlignment="1" applyFont="1">
      <alignment horizontal="right" shrinkToFit="0" wrapText="0"/>
    </xf>
    <xf borderId="0" fillId="0" fontId="11" numFmtId="0" xfId="0" applyAlignment="1" applyFont="1">
      <alignment horizontal="center" shrinkToFit="0" wrapText="0"/>
    </xf>
    <xf borderId="0" fillId="0" fontId="11" numFmtId="4" xfId="0" applyAlignment="1" applyFont="1" applyNumberFormat="1">
      <alignment horizontal="center" shrinkToFit="0" wrapText="0"/>
    </xf>
    <xf borderId="0" fillId="0" fontId="11" numFmtId="0" xfId="0" applyFont="1"/>
    <xf borderId="0" fillId="0" fontId="2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right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17" numFmtId="4" xfId="0" applyAlignment="1" applyFont="1" applyNumberFormat="1">
      <alignment horizontal="center" readingOrder="0" shrinkToFit="0" wrapText="0"/>
    </xf>
    <xf borderId="8" fillId="4" fontId="19" numFmtId="4" xfId="0" applyAlignment="1" applyBorder="1" applyFont="1" applyNumberFormat="1">
      <alignment horizontal="center" shrinkToFit="0" wrapText="0"/>
    </xf>
    <xf borderId="8" fillId="0" fontId="19" numFmtId="4" xfId="0" applyAlignment="1" applyBorder="1" applyFont="1" applyNumberFormat="1">
      <alignment horizontal="center" shrinkToFit="0" wrapText="0"/>
    </xf>
    <xf borderId="12" fillId="3" fontId="13" numFmtId="0" xfId="0" applyAlignment="1" applyBorder="1" applyFont="1">
      <alignment horizontal="center" shrinkToFit="0" wrapText="0"/>
    </xf>
    <xf borderId="2" fillId="5" fontId="13" numFmtId="4" xfId="0" applyAlignment="1" applyBorder="1" applyFont="1" applyNumberFormat="1">
      <alignment horizontal="center" readingOrder="0" shrinkToFit="0" wrapText="0"/>
    </xf>
    <xf borderId="0" fillId="3" fontId="28" numFmtId="0" xfId="0" applyAlignment="1" applyFont="1">
      <alignment shrinkToFit="0" wrapText="0"/>
    </xf>
    <xf borderId="0" fillId="3" fontId="29" numFmtId="0" xfId="0" applyAlignment="1" applyFont="1">
      <alignment horizontal="center" shrinkToFit="0" wrapText="0"/>
    </xf>
    <xf borderId="16" fillId="3" fontId="30" numFmtId="0" xfId="0" applyAlignment="1" applyBorder="1" applyFont="1">
      <alignment horizontal="right"/>
    </xf>
    <xf borderId="17" fillId="3" fontId="30" numFmtId="0" xfId="0" applyAlignment="1" applyBorder="1" applyFont="1">
      <alignment horizontal="right"/>
    </xf>
    <xf borderId="0" fillId="0" fontId="31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1" numFmtId="165" xfId="0" applyAlignment="1" applyFont="1" applyNumberFormat="1">
      <alignment readingOrder="0"/>
    </xf>
    <xf borderId="0" fillId="0" fontId="31" numFmtId="166" xfId="0" applyAlignment="1" applyFont="1" applyNumberFormat="1">
      <alignment readingOrder="0"/>
    </xf>
    <xf borderId="2" fillId="0" fontId="2" numFmtId="167" xfId="0" applyAlignment="1" applyBorder="1" applyFont="1" applyNumberFormat="1">
      <alignment horizontal="center" readingOrder="0" shrinkToFit="0" wrapText="0"/>
    </xf>
    <xf borderId="2" fillId="4" fontId="17" numFmtId="0" xfId="0" applyAlignment="1" applyBorder="1" applyFont="1">
      <alignment readingOrder="0" shrinkToFit="0" vertical="bottom" wrapText="0"/>
    </xf>
    <xf borderId="9" fillId="5" fontId="16" numFmtId="0" xfId="0" applyAlignment="1" applyBorder="1" applyFont="1">
      <alignment horizontal="right" readingOrder="0" shrinkToFit="0" wrapText="0"/>
    </xf>
    <xf borderId="9" fillId="7" fontId="21" numFmtId="4" xfId="0" applyAlignment="1" applyBorder="1" applyFont="1" applyNumberFormat="1">
      <alignment horizontal="right" readingOrder="0" shrinkToFit="0" wrapText="0"/>
    </xf>
    <xf borderId="9" fillId="3" fontId="24" numFmtId="0" xfId="0" applyAlignment="1" applyBorder="1" applyFont="1">
      <alignment horizontal="right" readingOrder="0" shrinkToFit="0" wrapText="0"/>
    </xf>
    <xf borderId="9" fillId="5" fontId="17" numFmtId="4" xfId="0" applyAlignment="1" applyBorder="1" applyFont="1" applyNumberFormat="1">
      <alignment horizontal="center" readingOrder="0" shrinkToFit="0" wrapText="0"/>
    </xf>
    <xf borderId="2" fillId="0" fontId="17" numFmtId="4" xfId="0" applyAlignment="1" applyBorder="1" applyFont="1" applyNumberFormat="1">
      <alignment readingOrder="0" shrinkToFit="0" vertical="bottom" wrapText="0"/>
    </xf>
    <xf borderId="0" fillId="11" fontId="26" numFmtId="0" xfId="0" applyAlignment="1" applyFill="1" applyFont="1">
      <alignment readingOrder="0" shrinkToFit="0" vertical="bottom" wrapText="0"/>
    </xf>
    <xf borderId="9" fillId="11" fontId="17" numFmtId="4" xfId="0" applyAlignment="1" applyBorder="1" applyFont="1" applyNumberFormat="1">
      <alignment horizontal="center" readingOrder="0" shrinkToFit="0" wrapText="0"/>
    </xf>
    <xf borderId="9" fillId="5" fontId="18" numFmtId="4" xfId="0" applyAlignment="1" applyBorder="1" applyFont="1" applyNumberFormat="1">
      <alignment horizontal="center" readingOrder="0" shrinkToFit="0" wrapText="0"/>
    </xf>
    <xf borderId="0" fillId="0" fontId="13" numFmtId="0" xfId="0" applyAlignment="1" applyFont="1">
      <alignment shrinkToFit="0" vertical="bottom" wrapText="0"/>
    </xf>
    <xf borderId="9" fillId="12" fontId="17" numFmtId="4" xfId="0" applyAlignment="1" applyBorder="1" applyFill="1" applyFont="1" applyNumberFormat="1">
      <alignment horizontal="center" readingOrder="0" shrinkToFit="0" wrapText="0"/>
    </xf>
    <xf borderId="0" fillId="3" fontId="1" numFmtId="0" xfId="0" applyAlignment="1" applyFont="1">
      <alignment readingOrder="0" shrinkToFit="0" vertical="bottom" wrapText="0"/>
    </xf>
    <xf borderId="11" fillId="5" fontId="17" numFmtId="4" xfId="0" applyAlignment="1" applyBorder="1" applyFont="1" applyNumberFormat="1">
      <alignment horizontal="center" readingOrder="0" shrinkToFit="0" vertical="bottom" wrapText="0"/>
    </xf>
    <xf borderId="4" fillId="11" fontId="17" numFmtId="4" xfId="0" applyAlignment="1" applyBorder="1" applyFont="1" applyNumberFormat="1">
      <alignment horizontal="center" readingOrder="0" shrinkToFit="0" wrapText="0"/>
    </xf>
    <xf borderId="0" fillId="5" fontId="31" numFmtId="0" xfId="0" applyAlignment="1" applyFont="1">
      <alignment readingOrder="0"/>
    </xf>
    <xf borderId="9" fillId="11" fontId="18" numFmtId="4" xfId="0" applyAlignment="1" applyBorder="1" applyFont="1" applyNumberFormat="1">
      <alignment horizontal="center" readingOrder="0" shrinkToFit="0" wrapText="0"/>
    </xf>
    <xf borderId="11" fillId="11" fontId="17" numFmtId="4" xfId="0" applyAlignment="1" applyBorder="1" applyFont="1" applyNumberFormat="1">
      <alignment horizontal="center" readingOrder="0" shrinkToFit="0" vertical="bottom" wrapText="0"/>
    </xf>
    <xf borderId="4" fillId="11" fontId="18" numFmtId="4" xfId="0" applyAlignment="1" applyBorder="1" applyFont="1" applyNumberFormat="1">
      <alignment horizontal="center" readingOrder="0" shrinkToFit="0" wrapText="0"/>
    </xf>
    <xf borderId="9" fillId="11" fontId="32" numFmtId="4" xfId="0" applyAlignment="1" applyBorder="1" applyFont="1" applyNumberFormat="1">
      <alignment horizontal="center" readingOrder="0" shrinkToFit="0" wrapText="0"/>
    </xf>
    <xf borderId="9" fillId="12" fontId="18" numFmtId="4" xfId="0" applyAlignment="1" applyBorder="1" applyFont="1" applyNumberFormat="1">
      <alignment horizontal="center" readingOrder="0" shrinkToFit="0" wrapText="0"/>
    </xf>
    <xf borderId="9" fillId="13" fontId="18" numFmtId="4" xfId="0" applyAlignment="1" applyBorder="1" applyFill="1" applyFont="1" applyNumberFormat="1">
      <alignment horizontal="center" readingOrder="0" shrinkToFit="0" wrapText="0"/>
    </xf>
    <xf borderId="9" fillId="12" fontId="19" numFmtId="4" xfId="0" applyAlignment="1" applyBorder="1" applyFont="1" applyNumberFormat="1">
      <alignment horizontal="center" shrinkToFit="0" wrapText="0"/>
    </xf>
    <xf borderId="2" fillId="12" fontId="17" numFmtId="0" xfId="0" applyAlignment="1" applyBorder="1" applyFont="1">
      <alignment readingOrder="0" shrinkToFit="0" vertical="bottom" wrapText="0"/>
    </xf>
    <xf borderId="9" fillId="14" fontId="17" numFmtId="4" xfId="0" applyAlignment="1" applyBorder="1" applyFill="1" applyFont="1" applyNumberFormat="1">
      <alignment horizontal="center" readingOrder="0" shrinkToFit="0" wrapText="0"/>
    </xf>
    <xf borderId="2" fillId="12" fontId="15" numFmtId="0" xfId="0" applyAlignment="1" applyBorder="1" applyFont="1">
      <alignment horizontal="center" readingOrder="0" shrinkToFit="0" wrapText="0"/>
    </xf>
    <xf borderId="0" fillId="12" fontId="17" numFmtId="0" xfId="0" applyAlignment="1" applyFont="1">
      <alignment horizontal="right" readingOrder="0" shrinkToFit="0" wrapText="0"/>
    </xf>
    <xf borderId="9" fillId="7" fontId="6" numFmtId="0" xfId="0" applyAlignment="1" applyBorder="1" applyFont="1">
      <alignment horizontal="right" readingOrder="0" shrinkToFit="0" wrapText="0"/>
    </xf>
    <xf borderId="9" fillId="4" fontId="17" numFmtId="4" xfId="0" applyAlignment="1" applyBorder="1" applyFont="1" applyNumberFormat="1">
      <alignment readingOrder="0" shrinkToFit="0" vertical="bottom" wrapText="0"/>
    </xf>
    <xf borderId="0" fillId="4" fontId="27" numFmtId="0" xfId="0" applyAlignment="1" applyFont="1">
      <alignment horizontal="center" readingOrder="0" shrinkToFit="0" vertical="bottom" wrapText="0"/>
    </xf>
    <xf borderId="0" fillId="11" fontId="27" numFmtId="0" xfId="0" applyAlignment="1" applyFont="1">
      <alignment horizontal="center" readingOrder="0" shrinkToFit="0" vertical="bottom" wrapText="0"/>
    </xf>
    <xf borderId="12" fillId="4" fontId="11" numFmtId="0" xfId="0" applyAlignment="1" applyBorder="1" applyFont="1">
      <alignment horizontal="center" readingOrder="0" shrinkToFit="0" wrapText="0"/>
    </xf>
    <xf borderId="9" fillId="0" fontId="17" numFmtId="0" xfId="0" applyAlignment="1" applyBorder="1" applyFont="1">
      <alignment readingOrder="0" shrinkToFit="0" vertical="bottom" wrapText="0"/>
    </xf>
    <xf borderId="2" fillId="0" fontId="17" numFmtId="0" xfId="0" applyAlignment="1" applyBorder="1" applyFont="1">
      <alignment readingOrder="0" shrinkToFit="0" vertical="bottom" wrapText="0"/>
    </xf>
    <xf borderId="0" fillId="4" fontId="31" numFmtId="0" xfId="0" applyFont="1"/>
    <xf borderId="0" fillId="4" fontId="31" numFmtId="0" xfId="0" applyAlignment="1" applyFont="1">
      <alignment readingOrder="0"/>
    </xf>
    <xf borderId="8" fillId="0" fontId="18" numFmtId="4" xfId="0" applyAlignment="1" applyBorder="1" applyFont="1" applyNumberFormat="1">
      <alignment horizontal="center" readingOrder="0" shrinkToFit="0" wrapText="0"/>
    </xf>
    <xf borderId="0" fillId="11" fontId="1" numFmtId="0" xfId="0" applyAlignment="1" applyFont="1">
      <alignment readingOrder="0" shrinkToFit="0" vertical="bottom" wrapText="0"/>
    </xf>
    <xf borderId="2" fillId="5" fontId="15" numFmtId="0" xfId="0" applyAlignment="1" applyBorder="1" applyFont="1">
      <alignment horizontal="center" readingOrder="0" shrinkToFit="0" wrapText="0"/>
    </xf>
    <xf borderId="9" fillId="12" fontId="17" numFmtId="4" xfId="0" applyAlignment="1" applyBorder="1" applyFont="1" applyNumberFormat="1">
      <alignment readingOrder="0" shrinkToFit="0" vertical="bottom" wrapText="0"/>
    </xf>
    <xf borderId="9" fillId="0" fontId="17" numFmtId="0" xfId="0" applyAlignment="1" applyBorder="1" applyFont="1">
      <alignment readingOrder="0"/>
    </xf>
    <xf borderId="4" fillId="5" fontId="17" numFmtId="4" xfId="0" applyAlignment="1" applyBorder="1" applyFont="1" applyNumberFormat="1">
      <alignment horizontal="center" readingOrder="0" shrinkToFit="0" wrapText="0"/>
    </xf>
    <xf borderId="9" fillId="0" fontId="33" numFmtId="0" xfId="0" applyAlignment="1" applyBorder="1" applyFont="1">
      <alignment readingOrder="0"/>
    </xf>
    <xf borderId="9" fillId="15" fontId="18" numFmtId="4" xfId="0" applyAlignment="1" applyBorder="1" applyFill="1" applyFont="1" applyNumberFormat="1">
      <alignment horizontal="center" readingOrder="0" shrinkToFit="0" wrapText="0"/>
    </xf>
    <xf borderId="9" fillId="5" fontId="19" numFmtId="4" xfId="0" applyAlignment="1" applyBorder="1" applyFont="1" applyNumberFormat="1">
      <alignment horizontal="center" shrinkToFit="0" wrapText="0"/>
    </xf>
    <xf borderId="9" fillId="5" fontId="11" numFmtId="4" xfId="0" applyAlignment="1" applyBorder="1" applyFont="1" applyNumberFormat="1">
      <alignment horizontal="center" shrinkToFit="0" wrapText="0"/>
    </xf>
    <xf borderId="0" fillId="11" fontId="1" numFmtId="0" xfId="0" applyAlignment="1" applyFont="1">
      <alignment shrinkToFit="0" vertical="bottom" wrapText="0"/>
    </xf>
    <xf borderId="4" fillId="5" fontId="18" numFmtId="4" xfId="0" applyAlignment="1" applyBorder="1" applyFont="1" applyNumberFormat="1">
      <alignment horizontal="center" readingOrder="0" shrinkToFit="0" wrapText="0"/>
    </xf>
    <xf borderId="9" fillId="16" fontId="18" numFmtId="4" xfId="0" applyAlignment="1" applyBorder="1" applyFill="1" applyFont="1" applyNumberFormat="1">
      <alignment horizontal="center" readingOrder="0" shrinkToFit="0" wrapText="0"/>
    </xf>
    <xf borderId="9" fillId="17" fontId="17" numFmtId="4" xfId="0" applyAlignment="1" applyBorder="1" applyFill="1" applyFont="1" applyNumberFormat="1">
      <alignment horizontal="center" readingOrder="0" shrinkToFit="0" wrapText="0"/>
    </xf>
    <xf borderId="8" fillId="5" fontId="18" numFmtId="4" xfId="0" applyAlignment="1" applyBorder="1" applyFont="1" applyNumberFormat="1">
      <alignment horizontal="center" readingOrder="0" shrinkToFit="0" wrapText="0"/>
    </xf>
    <xf borderId="8" fillId="11" fontId="18" numFmtId="4" xfId="0" applyAlignment="1" applyBorder="1" applyFont="1" applyNumberFormat="1">
      <alignment horizontal="center" readingOrder="0" shrinkToFit="0" wrapText="0"/>
    </xf>
    <xf borderId="9" fillId="16" fontId="17" numFmtId="4" xfId="0" applyAlignment="1" applyBorder="1" applyFont="1" applyNumberFormat="1">
      <alignment horizontal="center" readingOrder="0" shrinkToFit="0" wrapText="0"/>
    </xf>
    <xf borderId="9" fillId="18" fontId="17" numFmtId="4" xfId="0" applyAlignment="1" applyBorder="1" applyFill="1" applyFont="1" applyNumberFormat="1">
      <alignment horizontal="center" readingOrder="0" shrinkToFit="0" wrapText="0"/>
    </xf>
    <xf borderId="9" fillId="16" fontId="11" numFmtId="4" xfId="0" applyAlignment="1" applyBorder="1" applyFont="1" applyNumberFormat="1">
      <alignment horizontal="center" shrinkToFit="0" wrapText="0"/>
    </xf>
    <xf borderId="0" fillId="5" fontId="17" numFmtId="0" xfId="0" applyAlignment="1" applyFont="1">
      <alignment horizontal="right" readingOrder="0" shrinkToFit="0" wrapText="0"/>
    </xf>
    <xf borderId="0" fillId="5" fontId="34" numFmtId="0" xfId="0" applyAlignment="1" applyFont="1">
      <alignment readingOrder="0" shrinkToFit="0" vertical="bottom" wrapText="0"/>
    </xf>
    <xf borderId="0" fillId="0" fontId="34" numFmtId="0" xfId="0" applyAlignment="1" applyFont="1">
      <alignment readingOrder="0" shrinkToFit="0" vertical="bottom" wrapText="0"/>
    </xf>
    <xf borderId="0" fillId="11" fontId="11" numFmtId="0" xfId="0" applyAlignment="1" applyFont="1">
      <alignment shrinkToFit="0" vertical="bottom" wrapText="0"/>
    </xf>
    <xf borderId="0" fillId="11" fontId="17" numFmtId="0" xfId="0" applyAlignment="1" applyFont="1">
      <alignment horizontal="right" readingOrder="0" shrinkToFit="0" wrapText="0"/>
    </xf>
    <xf borderId="0" fillId="11" fontId="11" numFmtId="0" xfId="0" applyAlignment="1" applyFont="1">
      <alignment horizontal="right" shrinkToFit="0" wrapText="0"/>
    </xf>
    <xf borderId="0" fillId="16" fontId="11" numFmtId="0" xfId="0" applyAlignment="1" applyFont="1">
      <alignment horizontal="right" shrinkToFit="0" wrapText="0"/>
    </xf>
    <xf borderId="0" fillId="16" fontId="17" numFmtId="0" xfId="0" applyAlignment="1" applyFont="1">
      <alignment horizontal="right" readingOrder="0" shrinkToFit="0" wrapText="0"/>
    </xf>
    <xf borderId="0" fillId="0" fontId="17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Summary!$B$1</c:f>
            </c:strRef>
          </c:cat>
          <c:val>
            <c:numRef>
              <c:f>Summary!$B$1</c:f>
              <c:numCache/>
            </c:numRef>
          </c:val>
        </c:ser>
        <c:axId val="2110723042"/>
        <c:axId val="175602134"/>
      </c:barChart>
      <c:catAx>
        <c:axId val="21107230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602134"/>
      </c:catAx>
      <c:valAx>
        <c:axId val="17560213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1107230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3">
        <v>45870.0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8" t="s">
        <v>41</v>
      </c>
      <c r="B1" s="128" t="s">
        <v>42</v>
      </c>
    </row>
    <row r="2">
      <c r="A2" s="128" t="s">
        <v>43</v>
      </c>
      <c r="B2" s="128" t="s">
        <v>44</v>
      </c>
    </row>
    <row r="3">
      <c r="A3" s="128" t="s">
        <v>45</v>
      </c>
      <c r="B3" s="128" t="s">
        <v>46</v>
      </c>
    </row>
    <row r="4">
      <c r="A4" s="128" t="s">
        <v>47</v>
      </c>
      <c r="B4" s="129">
        <v>2025.0</v>
      </c>
    </row>
    <row r="5">
      <c r="A5" s="128" t="s">
        <v>48</v>
      </c>
      <c r="B5" s="128" t="s">
        <v>49</v>
      </c>
    </row>
    <row r="6">
      <c r="A6" s="128" t="s">
        <v>50</v>
      </c>
      <c r="B6" s="128" t="s">
        <v>51</v>
      </c>
    </row>
    <row r="7">
      <c r="A7" s="128" t="s">
        <v>52</v>
      </c>
      <c r="B7" s="128" t="s">
        <v>53</v>
      </c>
    </row>
    <row r="8">
      <c r="A8" s="128" t="s">
        <v>54</v>
      </c>
      <c r="B8" s="128" t="s">
        <v>55</v>
      </c>
    </row>
    <row r="9">
      <c r="A9" s="128" t="s">
        <v>56</v>
      </c>
      <c r="B9" s="128" t="s">
        <v>57</v>
      </c>
    </row>
    <row r="10">
      <c r="A10" s="128" t="s">
        <v>58</v>
      </c>
      <c r="B10" s="130">
        <v>45962.32638888889</v>
      </c>
    </row>
    <row r="11">
      <c r="A11" s="128" t="s">
        <v>59</v>
      </c>
      <c r="B11" s="128" t="s">
        <v>60</v>
      </c>
    </row>
    <row r="12">
      <c r="A12" s="128" t="s">
        <v>61</v>
      </c>
      <c r="B12" s="128" t="s">
        <v>62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8" t="s">
        <v>63</v>
      </c>
      <c r="B1" s="128" t="s">
        <v>42</v>
      </c>
    </row>
    <row r="2">
      <c r="A2" s="128" t="s">
        <v>64</v>
      </c>
      <c r="B2" s="129">
        <v>30.0</v>
      </c>
    </row>
    <row r="3">
      <c r="A3" s="128" t="s">
        <v>48</v>
      </c>
      <c r="B3" s="128" t="s">
        <v>49</v>
      </c>
    </row>
    <row r="4">
      <c r="A4" s="128" t="s">
        <v>50</v>
      </c>
      <c r="B4" s="128" t="s">
        <v>51</v>
      </c>
    </row>
    <row r="5">
      <c r="A5" s="128" t="s">
        <v>52</v>
      </c>
      <c r="B5" s="128" t="s">
        <v>53</v>
      </c>
    </row>
    <row r="6">
      <c r="A6" s="128" t="s">
        <v>65</v>
      </c>
      <c r="B6" s="131">
        <v>45962.32708333333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45962.0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80438.0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4038.0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6392.0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20485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14588</v>
      </c>
      <c r="D10" s="24"/>
      <c r="E10" s="43">
        <v>1.0</v>
      </c>
      <c r="F10" s="44">
        <v>379.0</v>
      </c>
      <c r="G10" s="45"/>
      <c r="H10" s="45">
        <v>379.0</v>
      </c>
      <c r="I10" s="45"/>
      <c r="J10" s="133">
        <v>1200.0</v>
      </c>
      <c r="K10" s="24"/>
      <c r="L10" s="47"/>
      <c r="M10" s="47"/>
      <c r="N10" s="48"/>
      <c r="O10" s="49"/>
      <c r="P10" s="85" t="s">
        <v>67</v>
      </c>
      <c r="Q10" s="51"/>
      <c r="R10" s="52">
        <v>100.0</v>
      </c>
      <c r="S10" s="53"/>
      <c r="T10" s="54"/>
      <c r="U10" s="55"/>
      <c r="V10" s="24"/>
      <c r="W10" s="47">
        <v>172.0</v>
      </c>
      <c r="X10" s="47"/>
      <c r="Y10" s="47" t="s">
        <v>68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5800</v>
      </c>
      <c r="D11" s="24"/>
      <c r="E11" s="43">
        <v>2.0</v>
      </c>
      <c r="F11" s="56">
        <v>882.0</v>
      </c>
      <c r="G11" s="57">
        <v>882.0</v>
      </c>
      <c r="H11" s="58"/>
      <c r="I11" s="59"/>
      <c r="J11" s="133">
        <v>1201.0</v>
      </c>
      <c r="K11" s="24"/>
      <c r="L11" s="48"/>
      <c r="M11" s="48"/>
      <c r="N11" s="48"/>
      <c r="O11" s="49"/>
      <c r="P11" s="72" t="s">
        <v>69</v>
      </c>
      <c r="Q11" s="51"/>
      <c r="R11" s="52">
        <v>20.0</v>
      </c>
      <c r="S11" s="53"/>
      <c r="T11" s="61"/>
      <c r="U11" s="62"/>
      <c r="V11" s="24"/>
      <c r="W11" s="47">
        <v>229.0</v>
      </c>
      <c r="X11" s="47"/>
      <c r="Y11" s="47" t="s">
        <v>70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97</v>
      </c>
      <c r="D12" s="24"/>
      <c r="E12" s="43">
        <v>3.0</v>
      </c>
      <c r="F12" s="63">
        <v>218.0</v>
      </c>
      <c r="G12" s="64">
        <v>218.0</v>
      </c>
      <c r="H12" s="64"/>
      <c r="I12" s="65"/>
      <c r="J12" s="133">
        <v>1202.0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189.0</v>
      </c>
      <c r="G13" s="64">
        <v>189.0</v>
      </c>
      <c r="H13" s="65"/>
      <c r="I13" s="65"/>
      <c r="J13" s="133">
        <v>1203.0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76.0</v>
      </c>
      <c r="G14" s="64"/>
      <c r="H14" s="64">
        <v>76.0</v>
      </c>
      <c r="I14" s="65"/>
      <c r="J14" s="133">
        <v>1204.0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401</v>
      </c>
      <c r="D15" s="24"/>
      <c r="E15" s="43">
        <v>6.0</v>
      </c>
      <c r="F15" s="56">
        <v>932.0</v>
      </c>
      <c r="G15" s="64">
        <v>932.0</v>
      </c>
      <c r="H15" s="64"/>
      <c r="I15" s="65"/>
      <c r="J15" s="133">
        <v>1205.0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120</v>
      </c>
      <c r="D16" s="24"/>
      <c r="E16" s="43">
        <v>7.0</v>
      </c>
      <c r="F16" s="56">
        <v>54.0</v>
      </c>
      <c r="G16" s="64">
        <v>54.0</v>
      </c>
      <c r="H16" s="64"/>
      <c r="I16" s="65"/>
      <c r="J16" s="133">
        <v>1206.0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120</v>
      </c>
      <c r="D17" s="24"/>
      <c r="E17" s="43">
        <v>8.0</v>
      </c>
      <c r="F17" s="56">
        <v>1345.0</v>
      </c>
      <c r="G17" s="64">
        <v>1345.0</v>
      </c>
      <c r="H17" s="64"/>
      <c r="I17" s="65"/>
      <c r="J17" s="133">
        <v>1207.0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92.0</v>
      </c>
      <c r="G18" s="64"/>
      <c r="H18" s="64">
        <v>92.0</v>
      </c>
      <c r="I18" s="65"/>
      <c r="J18" s="133">
        <v>1208.0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188.0</v>
      </c>
      <c r="G19" s="64">
        <v>188.0</v>
      </c>
      <c r="H19" s="65"/>
      <c r="I19" s="65"/>
      <c r="J19" s="133">
        <v>1209.0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6489</v>
      </c>
      <c r="D20" s="24"/>
      <c r="E20" s="43">
        <v>11.0</v>
      </c>
      <c r="F20" s="56">
        <v>870.0</v>
      </c>
      <c r="G20" s="64">
        <v>870.0</v>
      </c>
      <c r="H20" s="64"/>
      <c r="I20" s="65"/>
      <c r="J20" s="133">
        <v>1210.0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5800</v>
      </c>
      <c r="D21" s="24"/>
      <c r="E21" s="43">
        <v>12.0</v>
      </c>
      <c r="F21" s="56">
        <v>319.0</v>
      </c>
      <c r="G21" s="64">
        <v>319.0</v>
      </c>
      <c r="H21" s="64"/>
      <c r="I21" s="65"/>
      <c r="J21" s="133">
        <v>1211.0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134" t="str">
        <f>C5+C8+C10+C13-C17-R32-R34</f>
        <v>#VALUE!</v>
      </c>
      <c r="D22" s="24"/>
      <c r="E22" s="43">
        <v>13.0</v>
      </c>
      <c r="F22" s="56">
        <v>140.0</v>
      </c>
      <c r="G22" s="64">
        <v>140.0</v>
      </c>
      <c r="H22" s="64"/>
      <c r="I22" s="65"/>
      <c r="J22" s="133">
        <v>1212.0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94852.0</v>
      </c>
      <c r="D23" s="24"/>
      <c r="E23" s="43">
        <v>14.0</v>
      </c>
      <c r="F23" s="56">
        <v>861.0</v>
      </c>
      <c r="G23" s="64">
        <v>861.0</v>
      </c>
      <c r="H23" s="65"/>
      <c r="I23" s="65"/>
      <c r="J23" s="133">
        <v>1213.0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136" t="str">
        <f>C22-C23</f>
        <v>#VALUE!</v>
      </c>
      <c r="D24" s="24"/>
      <c r="E24" s="43">
        <v>15.0</v>
      </c>
      <c r="F24" s="56">
        <v>230.0</v>
      </c>
      <c r="G24" s="64">
        <v>230.0</v>
      </c>
      <c r="H24" s="65"/>
      <c r="I24" s="65"/>
      <c r="J24" s="133">
        <v>1214.0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347.0</v>
      </c>
      <c r="G25" s="64">
        <v>347.0</v>
      </c>
      <c r="H25" s="65"/>
      <c r="I25" s="65"/>
      <c r="J25" s="133">
        <v>1215.0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20886</v>
      </c>
      <c r="D26" s="24"/>
      <c r="E26" s="43">
        <v>17.0</v>
      </c>
      <c r="F26" s="56">
        <v>161.0</v>
      </c>
      <c r="G26" s="64">
        <v>161.0</v>
      </c>
      <c r="H26" s="65"/>
      <c r="I26" s="65"/>
      <c r="J26" s="133">
        <v>1216.0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68.0</v>
      </c>
      <c r="D27" s="24"/>
      <c r="E27" s="43">
        <v>18.0</v>
      </c>
      <c r="F27" s="56">
        <v>117.0</v>
      </c>
      <c r="G27" s="64">
        <v>117.0</v>
      </c>
      <c r="H27" s="65"/>
      <c r="I27" s="65"/>
      <c r="J27" s="133">
        <v>1217.0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307.1470588</v>
      </c>
      <c r="D28" s="24"/>
      <c r="E28" s="43">
        <v>19.0</v>
      </c>
      <c r="F28" s="56">
        <v>50.0</v>
      </c>
      <c r="G28" s="64">
        <v>50.0</v>
      </c>
      <c r="H28" s="65"/>
      <c r="I28" s="65"/>
      <c r="J28" s="133">
        <v>1218.0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729.0</v>
      </c>
      <c r="G29" s="64">
        <v>729.0</v>
      </c>
      <c r="H29" s="65"/>
      <c r="I29" s="65"/>
      <c r="J29" s="133">
        <v>1219.0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439.0</v>
      </c>
      <c r="G30" s="93">
        <v>439.0</v>
      </c>
      <c r="H30" s="92"/>
      <c r="I30" s="93"/>
      <c r="J30" s="133">
        <v>1220.0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4038</v>
      </c>
      <c r="D31" s="24"/>
      <c r="E31" s="43">
        <v>22.0</v>
      </c>
      <c r="F31" s="56">
        <v>106.0</v>
      </c>
      <c r="G31" s="93">
        <v>106.0</v>
      </c>
      <c r="H31" s="92"/>
      <c r="I31" s="92"/>
      <c r="J31" s="133">
        <v>1221.0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120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> </v>
      </c>
      <c r="D32" s="24"/>
      <c r="E32" s="43">
        <v>23.0</v>
      </c>
      <c r="F32" s="56">
        <v>49.0</v>
      </c>
      <c r="G32" s="93">
        <v>49.0</v>
      </c>
      <c r="H32" s="92"/>
      <c r="I32" s="92"/>
      <c r="J32" s="133">
        <v>1222.0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699.0</v>
      </c>
      <c r="G33" s="93">
        <v>699.0</v>
      </c>
      <c r="H33" s="92"/>
      <c r="I33" s="92"/>
      <c r="J33" s="133">
        <v>1223.0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4038.0</v>
      </c>
      <c r="T33" s="101"/>
      <c r="U33" s="55"/>
      <c r="V33" s="24"/>
      <c r="W33" s="104">
        <f t="shared" ref="W33:X33" si="3">sum(W10:W32)</f>
        <v>401</v>
      </c>
      <c r="X33" s="104">
        <f t="shared" si="3"/>
        <v>0</v>
      </c>
      <c r="Y33" s="104">
        <f>W33+X33</f>
        <v>401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396.0</v>
      </c>
      <c r="G34" s="93"/>
      <c r="H34" s="137">
        <v>396.0</v>
      </c>
      <c r="I34" s="92"/>
      <c r="J34" s="133">
        <v>1224.0</v>
      </c>
      <c r="K34" s="24"/>
      <c r="L34" s="106"/>
      <c r="M34" s="106"/>
      <c r="N34" s="106"/>
      <c r="O34" s="106"/>
      <c r="P34" s="85" t="s">
        <v>40</v>
      </c>
      <c r="Q34" s="107"/>
      <c r="R34" s="138" t="s">
        <v>69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60.0</v>
      </c>
      <c r="G35" s="93">
        <v>60.0</v>
      </c>
      <c r="H35" s="93"/>
      <c r="I35" s="92"/>
      <c r="J35" s="133">
        <v>1225.0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421.0</v>
      </c>
      <c r="G36" s="93">
        <v>229.0</v>
      </c>
      <c r="H36" s="137">
        <v>192.0</v>
      </c>
      <c r="I36" s="92"/>
      <c r="J36" s="133">
        <v>1226.0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7.0</v>
      </c>
      <c r="G37" s="93">
        <v>7.0</v>
      </c>
      <c r="H37" s="92"/>
      <c r="I37" s="92"/>
      <c r="J37" s="133">
        <v>1227.0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39"/>
      <c r="C38" s="118"/>
      <c r="D38" s="24"/>
      <c r="E38" s="43">
        <v>29.0</v>
      </c>
      <c r="F38" s="56">
        <v>69.0</v>
      </c>
      <c r="G38" s="93">
        <v>69.0</v>
      </c>
      <c r="H38" s="92"/>
      <c r="I38" s="92"/>
      <c r="J38" s="133">
        <v>1228.0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398.0</v>
      </c>
      <c r="G39" s="93">
        <v>398.0</v>
      </c>
      <c r="H39" s="93"/>
      <c r="I39" s="92"/>
      <c r="J39" s="133">
        <v>1229.0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125.0</v>
      </c>
      <c r="G40" s="93">
        <v>125.0</v>
      </c>
      <c r="H40" s="93"/>
      <c r="I40" s="92"/>
      <c r="J40" s="133">
        <v>1230.0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162.0</v>
      </c>
      <c r="G41" s="93">
        <v>162.0</v>
      </c>
      <c r="H41" s="93"/>
      <c r="I41" s="92"/>
      <c r="J41" s="133">
        <v>1231.0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275.0</v>
      </c>
      <c r="G42" s="93"/>
      <c r="H42" s="137">
        <v>275.0</v>
      </c>
      <c r="I42" s="92"/>
      <c r="J42" s="133">
        <v>1232.0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323.0</v>
      </c>
      <c r="G43" s="93">
        <v>300.0</v>
      </c>
      <c r="H43" s="137">
        <v>23.0</v>
      </c>
      <c r="I43" s="92"/>
      <c r="J43" s="133">
        <v>1233.0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81.0</v>
      </c>
      <c r="G44" s="92"/>
      <c r="H44" s="137">
        <v>81.0</v>
      </c>
      <c r="I44" s="92"/>
      <c r="J44" s="133">
        <v>1234.0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600.0</v>
      </c>
      <c r="G45" s="93">
        <v>600.0</v>
      </c>
      <c r="H45" s="92"/>
      <c r="I45" s="92"/>
      <c r="J45" s="133">
        <v>1235.0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1035.0</v>
      </c>
      <c r="G46" s="93"/>
      <c r="H46" s="137">
        <v>1035.0</v>
      </c>
      <c r="I46" s="92"/>
      <c r="J46" s="133">
        <v>1236.0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540.0</v>
      </c>
      <c r="G47" s="93">
        <v>540.0</v>
      </c>
      <c r="H47" s="93"/>
      <c r="I47" s="92"/>
      <c r="J47" s="133">
        <v>1237.0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148.0</v>
      </c>
      <c r="G48" s="92"/>
      <c r="H48" s="137">
        <v>148.0</v>
      </c>
      <c r="I48" s="92"/>
      <c r="J48" s="133">
        <v>1238.0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248.0</v>
      </c>
      <c r="G49" s="93">
        <v>248.0</v>
      </c>
      <c r="H49" s="92"/>
      <c r="I49" s="92"/>
      <c r="J49" s="133">
        <v>1239.0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303.0</v>
      </c>
      <c r="G50" s="93">
        <v>303.0</v>
      </c>
      <c r="H50" s="93"/>
      <c r="I50" s="92"/>
      <c r="J50" s="133">
        <v>1240.0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488.0</v>
      </c>
      <c r="G51" s="93" t="s">
        <v>69</v>
      </c>
      <c r="H51" s="137">
        <v>488.0</v>
      </c>
      <c r="I51" s="92"/>
      <c r="J51" s="133">
        <v>1241.0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186.0</v>
      </c>
      <c r="G52" s="93">
        <v>186.0</v>
      </c>
      <c r="H52" s="92"/>
      <c r="I52" s="92"/>
      <c r="J52" s="133">
        <v>1242.0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845.0</v>
      </c>
      <c r="G53" s="93"/>
      <c r="H53" s="137">
        <v>845.0</v>
      </c>
      <c r="I53" s="92"/>
      <c r="J53" s="133">
        <v>1243.0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68.0</v>
      </c>
      <c r="G54" s="93">
        <v>68.0</v>
      </c>
      <c r="H54" s="92"/>
      <c r="I54" s="92"/>
      <c r="J54" s="133">
        <v>1244.0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100.0</v>
      </c>
      <c r="G55" s="93">
        <v>100.0</v>
      </c>
      <c r="H55" s="92"/>
      <c r="I55" s="92"/>
      <c r="J55" s="133">
        <v>1245.0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228.0</v>
      </c>
      <c r="G56" s="93">
        <v>228.0</v>
      </c>
      <c r="H56" s="92"/>
      <c r="I56" s="92"/>
      <c r="J56" s="133">
        <v>1246.0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298.0</v>
      </c>
      <c r="G57" s="93">
        <v>298.0</v>
      </c>
      <c r="H57" s="92"/>
      <c r="I57" s="92"/>
      <c r="J57" s="133">
        <v>1247.0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38.0</v>
      </c>
      <c r="G58" s="93">
        <v>38.0</v>
      </c>
      <c r="H58" s="92"/>
      <c r="I58" s="92"/>
      <c r="J58" s="133">
        <v>1248.0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1194.0</v>
      </c>
      <c r="G59" s="93">
        <v>1194.0</v>
      </c>
      <c r="H59" s="92"/>
      <c r="I59" s="92"/>
      <c r="J59" s="133">
        <v>1249.0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117.0</v>
      </c>
      <c r="G60" s="93">
        <v>117.0</v>
      </c>
      <c r="H60" s="92"/>
      <c r="I60" s="92"/>
      <c r="J60" s="133">
        <v>1250.0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23.0</v>
      </c>
      <c r="G61" s="92"/>
      <c r="H61" s="137">
        <v>23.0</v>
      </c>
      <c r="I61" s="92"/>
      <c r="J61" s="133">
        <v>1251.0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130.0</v>
      </c>
      <c r="G62" s="93">
        <v>130.0</v>
      </c>
      <c r="H62" s="92"/>
      <c r="I62" s="92"/>
      <c r="J62" s="133">
        <v>1252.0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347.0</v>
      </c>
      <c r="G63" s="93" t="s">
        <v>69</v>
      </c>
      <c r="H63" s="137">
        <v>347.0</v>
      </c>
      <c r="I63" s="92"/>
      <c r="J63" s="133">
        <v>1253.0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320.0</v>
      </c>
      <c r="G64" s="93">
        <v>320.0</v>
      </c>
      <c r="H64" s="92"/>
      <c r="I64" s="93" t="s">
        <v>69</v>
      </c>
      <c r="J64" s="133">
        <v>1254.0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97.0</v>
      </c>
      <c r="G65" s="93" t="s">
        <v>69</v>
      </c>
      <c r="H65" s="93" t="s">
        <v>69</v>
      </c>
      <c r="I65" s="93">
        <v>97.0</v>
      </c>
      <c r="J65" s="133">
        <v>1255.0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4.0</v>
      </c>
      <c r="G66" s="93">
        <v>4.0</v>
      </c>
      <c r="H66" s="93" t="s">
        <v>69</v>
      </c>
      <c r="I66" s="92"/>
      <c r="J66" s="133">
        <v>1256.0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238.0</v>
      </c>
      <c r="G67" s="92"/>
      <c r="H67" s="137">
        <v>238.0</v>
      </c>
      <c r="I67" s="92"/>
      <c r="J67" s="133">
        <v>1257.0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46.0</v>
      </c>
      <c r="G68" s="93">
        <v>46.0</v>
      </c>
      <c r="H68" s="92"/>
      <c r="I68" s="92"/>
      <c r="J68" s="133">
        <v>1258.0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222.0</v>
      </c>
      <c r="G69" s="92"/>
      <c r="H69" s="93">
        <v>222.0</v>
      </c>
      <c r="I69" s="92"/>
      <c r="J69" s="133">
        <v>1259.0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38.0</v>
      </c>
      <c r="G70" s="92"/>
      <c r="H70" s="93">
        <v>38.0</v>
      </c>
      <c r="I70" s="92"/>
      <c r="J70" s="133">
        <v>1260.0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93.0</v>
      </c>
      <c r="G71" s="93">
        <v>93.0</v>
      </c>
      <c r="H71" s="92"/>
      <c r="I71" s="92"/>
      <c r="J71" s="133">
        <v>1261.0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60.0</v>
      </c>
      <c r="G72" s="93">
        <v>60.0</v>
      </c>
      <c r="H72" s="92"/>
      <c r="I72" s="92"/>
      <c r="J72" s="133">
        <v>1262.0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100.0</v>
      </c>
      <c r="G73" s="93">
        <v>100.0</v>
      </c>
      <c r="H73" s="92"/>
      <c r="I73" s="92"/>
      <c r="J73" s="133">
        <v>1263.0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517.0</v>
      </c>
      <c r="G74" s="92"/>
      <c r="H74" s="93">
        <v>517.0</v>
      </c>
      <c r="I74" s="92"/>
      <c r="J74" s="133">
        <v>1264.0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140.0</v>
      </c>
      <c r="G75" s="92"/>
      <c r="H75" s="93">
        <v>140.0</v>
      </c>
      <c r="I75" s="92"/>
      <c r="J75" s="133">
        <v>1265.0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195.0</v>
      </c>
      <c r="G76" s="92"/>
      <c r="H76" s="93">
        <v>195.0</v>
      </c>
      <c r="I76" s="92"/>
      <c r="J76" s="133">
        <v>1266.0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50.0</v>
      </c>
      <c r="G77" s="92"/>
      <c r="H77" s="93">
        <v>50.0</v>
      </c>
      <c r="I77" s="92"/>
      <c r="J77" s="133">
        <v>1267.0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41.0</v>
      </c>
      <c r="G78" s="93">
        <v>41.0</v>
      </c>
      <c r="H78" s="92"/>
      <c r="I78" s="92"/>
      <c r="J78" s="133">
        <v>1268.0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33">
        <v>1269.0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3">
        <v>1270.0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33">
        <v>1271.0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33">
        <v>1272.0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3">
        <v>1273.0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3">
        <v>1274.0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3">
        <v>1275.0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3">
        <v>1276.0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3">
        <v>1277.0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3">
        <v>1278.0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3">
        <v>1279.0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3">
        <v>1280.0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3">
        <v>1281.0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3">
        <v>1282.0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3">
        <v>1283.0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33">
        <v>1284.0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20886</v>
      </c>
      <c r="G97" s="123">
        <f t="shared" si="4"/>
        <v>14989</v>
      </c>
      <c r="H97" s="123">
        <f t="shared" si="4"/>
        <v>5800</v>
      </c>
      <c r="I97" s="123">
        <f t="shared" si="4"/>
        <v>97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45963.0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94885.0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5800.0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6489.0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14300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8020</v>
      </c>
      <c r="D10" s="24"/>
      <c r="E10" s="43">
        <v>1.0</v>
      </c>
      <c r="F10" s="44">
        <v>268.0</v>
      </c>
      <c r="G10" s="45"/>
      <c r="H10" s="45">
        <v>268.0</v>
      </c>
      <c r="I10" s="45"/>
      <c r="J10" s="133">
        <v>1268.0</v>
      </c>
      <c r="K10" s="24"/>
      <c r="L10" s="47">
        <v>97.0</v>
      </c>
      <c r="M10" s="47"/>
      <c r="N10" s="47">
        <v>1255.0</v>
      </c>
      <c r="O10" s="49"/>
      <c r="P10" s="85" t="s">
        <v>67</v>
      </c>
      <c r="Q10" s="51"/>
      <c r="R10" s="52">
        <v>100.0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7750</v>
      </c>
      <c r="D11" s="24"/>
      <c r="E11" s="43">
        <v>2.0</v>
      </c>
      <c r="F11" s="56">
        <v>928.0</v>
      </c>
      <c r="G11" s="57">
        <v>928.0</v>
      </c>
      <c r="H11" s="58" t="s">
        <v>69</v>
      </c>
      <c r="I11" s="59"/>
      <c r="J11" s="133">
        <v>1269.0</v>
      </c>
      <c r="K11" s="24"/>
      <c r="L11" s="48"/>
      <c r="M11" s="47"/>
      <c r="N11" s="47"/>
      <c r="O11" s="49"/>
      <c r="P11" s="72" t="s">
        <v>71</v>
      </c>
      <c r="Q11" s="51"/>
      <c r="R11" s="52">
        <v>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>
        <v>60.0</v>
      </c>
      <c r="G12" s="64"/>
      <c r="H12" s="64">
        <v>60.0</v>
      </c>
      <c r="I12" s="65"/>
      <c r="J12" s="133">
        <v>1270.0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97</v>
      </c>
      <c r="D13" s="24"/>
      <c r="E13" s="43">
        <v>4.0</v>
      </c>
      <c r="F13" s="56">
        <v>444.0</v>
      </c>
      <c r="G13" s="64"/>
      <c r="H13" s="64">
        <v>444.0</v>
      </c>
      <c r="I13" s="65"/>
      <c r="J13" s="133">
        <v>1271.0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63.0</v>
      </c>
      <c r="G14" s="64">
        <v>60.0</v>
      </c>
      <c r="H14" s="64">
        <v>3.0</v>
      </c>
      <c r="I14" s="65"/>
      <c r="J14" s="133">
        <v>1272.0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270.0</v>
      </c>
      <c r="G15" s="64">
        <v>270.0</v>
      </c>
      <c r="H15" s="64"/>
      <c r="I15" s="65"/>
      <c r="J15" s="133">
        <v>1273.0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150</v>
      </c>
      <c r="D16" s="24"/>
      <c r="E16" s="43">
        <v>7.0</v>
      </c>
      <c r="F16" s="56">
        <v>99.0</v>
      </c>
      <c r="G16" s="64">
        <v>99.0</v>
      </c>
      <c r="H16" s="64"/>
      <c r="I16" s="65"/>
      <c r="J16" s="133">
        <v>1274.0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150</v>
      </c>
      <c r="D17" s="24"/>
      <c r="E17" s="43">
        <v>8.0</v>
      </c>
      <c r="F17" s="56">
        <v>26.0</v>
      </c>
      <c r="G17" s="64" t="s">
        <v>69</v>
      </c>
      <c r="H17" s="64">
        <v>26.0</v>
      </c>
      <c r="I17" s="65"/>
      <c r="J17" s="133">
        <v>1275.0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142.0</v>
      </c>
      <c r="G18" s="64" t="s">
        <v>69</v>
      </c>
      <c r="H18" s="64">
        <v>142.0</v>
      </c>
      <c r="I18" s="65"/>
      <c r="J18" s="133">
        <v>1276.0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294.0</v>
      </c>
      <c r="G19" s="64">
        <v>294.0</v>
      </c>
      <c r="H19" s="65"/>
      <c r="I19" s="65"/>
      <c r="J19" s="133">
        <v>1277.0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6392</v>
      </c>
      <c r="D20" s="24"/>
      <c r="E20" s="43">
        <v>11.0</v>
      </c>
      <c r="F20" s="56">
        <v>952.0</v>
      </c>
      <c r="G20" s="64">
        <v>952.0</v>
      </c>
      <c r="H20" s="64"/>
      <c r="I20" s="65"/>
      <c r="J20" s="133">
        <v>1278.0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7750</v>
      </c>
      <c r="D21" s="24"/>
      <c r="E21" s="43">
        <v>12.0</v>
      </c>
      <c r="F21" s="56">
        <v>184.0</v>
      </c>
      <c r="G21" s="65"/>
      <c r="H21" s="64">
        <v>184.0</v>
      </c>
      <c r="I21" s="65"/>
      <c r="J21" s="133">
        <v>1279.0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102852</v>
      </c>
      <c r="D22" s="24"/>
      <c r="E22" s="43">
        <v>13.0</v>
      </c>
      <c r="F22" s="56">
        <v>1277.0</v>
      </c>
      <c r="G22" s="64"/>
      <c r="H22" s="64">
        <v>1277.0</v>
      </c>
      <c r="I22" s="65"/>
      <c r="J22" s="133">
        <v>1280.0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>
        <v>45.0</v>
      </c>
      <c r="G23" s="64">
        <v>45.0</v>
      </c>
      <c r="H23" s="65"/>
      <c r="I23" s="65"/>
      <c r="J23" s="133">
        <v>1281.0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102852</v>
      </c>
      <c r="D24" s="24"/>
      <c r="E24" s="43">
        <v>15.0</v>
      </c>
      <c r="F24" s="56">
        <v>9.0</v>
      </c>
      <c r="G24" s="64">
        <v>9.0</v>
      </c>
      <c r="H24" s="65"/>
      <c r="I24" s="65"/>
      <c r="J24" s="133">
        <v>1282.0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151.0</v>
      </c>
      <c r="G25" s="64">
        <v>151.0</v>
      </c>
      <c r="H25" s="65"/>
      <c r="I25" s="65"/>
      <c r="J25" s="133">
        <v>1283.0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14300</v>
      </c>
      <c r="D26" s="24"/>
      <c r="E26" s="43">
        <v>17.0</v>
      </c>
      <c r="F26" s="56">
        <v>118.0</v>
      </c>
      <c r="G26" s="64"/>
      <c r="H26" s="64">
        <v>118.0</v>
      </c>
      <c r="I26" s="65"/>
      <c r="J26" s="133">
        <v>1284.0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55.0</v>
      </c>
      <c r="D27" s="24"/>
      <c r="E27" s="43">
        <v>18.0</v>
      </c>
      <c r="F27" s="56">
        <v>561.0</v>
      </c>
      <c r="G27" s="64"/>
      <c r="H27" s="64">
        <v>561.0</v>
      </c>
      <c r="I27" s="65"/>
      <c r="J27" s="133">
        <v>1285.0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260</v>
      </c>
      <c r="D28" s="24"/>
      <c r="E28" s="43">
        <v>19.0</v>
      </c>
      <c r="F28" s="56">
        <v>145.0</v>
      </c>
      <c r="G28" s="64">
        <v>145.0</v>
      </c>
      <c r="H28" s="65"/>
      <c r="I28" s="65"/>
      <c r="J28" s="133">
        <v>1286.0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124.0</v>
      </c>
      <c r="G29" s="64">
        <v>120.0</v>
      </c>
      <c r="H29" s="64">
        <v>4.0</v>
      </c>
      <c r="I29" s="65"/>
      <c r="J29" s="133">
        <v>1287.0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682.0</v>
      </c>
      <c r="G30" s="92"/>
      <c r="H30" s="140">
        <v>682.0</v>
      </c>
      <c r="I30" s="93" t="s">
        <v>69</v>
      </c>
      <c r="J30" s="133" t="s">
        <v>72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5800</v>
      </c>
      <c r="D31" s="24"/>
      <c r="E31" s="43">
        <v>22.0</v>
      </c>
      <c r="F31" s="56">
        <v>269.0</v>
      </c>
      <c r="G31" s="93">
        <v>269.0</v>
      </c>
      <c r="H31" s="92"/>
      <c r="I31" s="92"/>
      <c r="J31" s="133">
        <v>1289.0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601.0</v>
      </c>
      <c r="G32" s="93">
        <v>500.0</v>
      </c>
      <c r="H32" s="93">
        <v>101.0</v>
      </c>
      <c r="I32" s="92"/>
      <c r="J32" s="133">
        <v>1289.0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230.0</v>
      </c>
      <c r="G33" s="93" t="s">
        <v>69</v>
      </c>
      <c r="H33" s="93">
        <v>230.0</v>
      </c>
      <c r="I33" s="92"/>
      <c r="J33" s="133">
        <v>1289.0</v>
      </c>
      <c r="K33" s="24"/>
      <c r="L33" s="104">
        <f t="shared" ref="L33:M33" si="2">sum(L10:L32)</f>
        <v>97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5800.0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53.0</v>
      </c>
      <c r="G34" s="93">
        <v>53.0</v>
      </c>
      <c r="H34" s="92"/>
      <c r="I34" s="92"/>
      <c r="J34" s="133">
        <v>1289.0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310.0</v>
      </c>
      <c r="G35" s="93">
        <v>310.0</v>
      </c>
      <c r="H35" s="93"/>
      <c r="I35" s="92"/>
      <c r="J35" s="133">
        <v>1289.0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188.0</v>
      </c>
      <c r="G36" s="92"/>
      <c r="H36" s="93">
        <v>188.0</v>
      </c>
      <c r="I36" s="92"/>
      <c r="J36" s="133">
        <v>1289.0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60.0</v>
      </c>
      <c r="G37" s="93">
        <v>60.0</v>
      </c>
      <c r="H37" s="92"/>
      <c r="I37" s="92"/>
      <c r="J37" s="133">
        <v>1289.0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11.0</v>
      </c>
      <c r="G38" s="93"/>
      <c r="H38" s="93">
        <v>11.0</v>
      </c>
      <c r="I38" s="92"/>
      <c r="J38" s="133">
        <v>1289.0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38.0</v>
      </c>
      <c r="G39" s="93" t="s">
        <v>69</v>
      </c>
      <c r="H39" s="93">
        <v>38.0</v>
      </c>
      <c r="I39" s="92"/>
      <c r="J39" s="133">
        <v>1289.0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349.0</v>
      </c>
      <c r="G40" s="92"/>
      <c r="H40" s="93">
        <v>349.0</v>
      </c>
      <c r="I40" s="92"/>
      <c r="J40" s="133">
        <v>1289.0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39.0</v>
      </c>
      <c r="G41" s="93">
        <v>39.0</v>
      </c>
      <c r="H41" s="93"/>
      <c r="I41" s="92"/>
      <c r="J41" s="133">
        <v>1289.0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136.0</v>
      </c>
      <c r="G42" s="93">
        <v>120.0</v>
      </c>
      <c r="H42" s="93">
        <v>16.0</v>
      </c>
      <c r="I42" s="92"/>
      <c r="J42" s="133">
        <v>1289.0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40.0</v>
      </c>
      <c r="G43" s="93"/>
      <c r="H43" s="93">
        <v>40.0</v>
      </c>
      <c r="I43" s="92"/>
      <c r="J43" s="133">
        <v>1289.0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215.0</v>
      </c>
      <c r="G44" s="93">
        <v>215.0</v>
      </c>
      <c r="H44" s="93"/>
      <c r="I44" s="92"/>
      <c r="J44" s="133">
        <v>1289.0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8.0</v>
      </c>
      <c r="G45" s="93"/>
      <c r="H45" s="93">
        <v>8.0</v>
      </c>
      <c r="I45" s="92"/>
      <c r="J45" s="133">
        <v>1289.0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64.0</v>
      </c>
      <c r="G46" s="93"/>
      <c r="H46" s="93">
        <v>64.0</v>
      </c>
      <c r="I46" s="92"/>
      <c r="J46" s="133">
        <v>1289.0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54.0</v>
      </c>
      <c r="G47" s="93">
        <v>54.0</v>
      </c>
      <c r="H47" s="93"/>
      <c r="I47" s="92"/>
      <c r="J47" s="133">
        <v>1289.0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5.0</v>
      </c>
      <c r="G48" s="93">
        <v>5.0</v>
      </c>
      <c r="H48" s="92"/>
      <c r="I48" s="92"/>
      <c r="J48" s="133">
        <v>1289.0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75.0</v>
      </c>
      <c r="G49" s="93" t="s">
        <v>69</v>
      </c>
      <c r="H49" s="93">
        <v>75.0</v>
      </c>
      <c r="I49" s="92"/>
      <c r="J49" s="133">
        <v>1289.0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425.0</v>
      </c>
      <c r="G50" s="93">
        <v>425.0</v>
      </c>
      <c r="H50" s="93"/>
      <c r="I50" s="92"/>
      <c r="J50" s="133">
        <v>1289.0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1838.0</v>
      </c>
      <c r="G51" s="93">
        <v>1838.0</v>
      </c>
      <c r="H51" s="92"/>
      <c r="I51" s="92"/>
      <c r="J51" s="133">
        <v>1289.0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38.0</v>
      </c>
      <c r="G52" s="93">
        <v>38.0</v>
      </c>
      <c r="H52" s="92"/>
      <c r="I52" s="92"/>
      <c r="J52" s="133">
        <v>1289.0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66.0</v>
      </c>
      <c r="G53" s="93">
        <v>66.0</v>
      </c>
      <c r="H53" s="92"/>
      <c r="I53" s="92"/>
      <c r="J53" s="133">
        <v>1289.0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826.0</v>
      </c>
      <c r="G54" s="92"/>
      <c r="H54" s="93">
        <v>826.0</v>
      </c>
      <c r="I54" s="92"/>
      <c r="J54" s="133">
        <v>1289.0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99.0</v>
      </c>
      <c r="G55" s="93">
        <v>99.0</v>
      </c>
      <c r="H55" s="92"/>
      <c r="I55" s="92"/>
      <c r="J55" s="133">
        <v>1289.0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275.0</v>
      </c>
      <c r="G56" s="92"/>
      <c r="H56" s="93">
        <v>275.0</v>
      </c>
      <c r="I56" s="92"/>
      <c r="J56" s="133">
        <v>1289.0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689.0</v>
      </c>
      <c r="G57" s="93">
        <v>689.0</v>
      </c>
      <c r="H57" s="92"/>
      <c r="I57" s="92"/>
      <c r="J57" s="133">
        <v>1289.0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18.0</v>
      </c>
      <c r="G58" s="93">
        <v>18.0</v>
      </c>
      <c r="H58" s="92"/>
      <c r="I58" s="92"/>
      <c r="J58" s="133">
        <v>1289.0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39.0</v>
      </c>
      <c r="G59" s="93">
        <v>39.0</v>
      </c>
      <c r="H59" s="92"/>
      <c r="I59" s="92"/>
      <c r="J59" s="133">
        <v>1289.0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20.0</v>
      </c>
      <c r="G60" s="93">
        <v>20.0</v>
      </c>
      <c r="H60" s="92"/>
      <c r="I60" s="92"/>
      <c r="J60" s="133">
        <v>1289.0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22.0</v>
      </c>
      <c r="G61" s="93">
        <v>22.0</v>
      </c>
      <c r="H61" s="92"/>
      <c r="I61" s="92"/>
      <c r="J61" s="133">
        <v>1289.0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290.0</v>
      </c>
      <c r="G62" s="92"/>
      <c r="H62" s="93">
        <v>290.0</v>
      </c>
      <c r="I62" s="92"/>
      <c r="J62" s="133">
        <v>1289.0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50.0</v>
      </c>
      <c r="G63" s="93">
        <v>50.0</v>
      </c>
      <c r="H63" s="92"/>
      <c r="I63" s="92"/>
      <c r="J63" s="133">
        <v>1289.0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18.0</v>
      </c>
      <c r="G64" s="93">
        <v>18.0</v>
      </c>
      <c r="H64" s="92"/>
      <c r="I64" s="92"/>
      <c r="J64" s="133">
        <v>1289.0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47">
        <v>1470.0</v>
      </c>
      <c r="I65" s="47"/>
      <c r="J65" s="47" t="s">
        <v>73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133">
        <v>1289.0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133">
        <v>1289.0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14300</v>
      </c>
      <c r="G97" s="123">
        <f t="shared" si="4"/>
        <v>8020</v>
      </c>
      <c r="H97" s="123">
        <f t="shared" si="4"/>
        <v>7750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45964.0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102852.0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7750.0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6392.0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24323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15203</v>
      </c>
      <c r="D10" s="24"/>
      <c r="E10" s="43">
        <v>1.0</v>
      </c>
      <c r="F10" s="44">
        <v>928.0</v>
      </c>
      <c r="G10" s="45">
        <v>928.0</v>
      </c>
      <c r="H10" s="45"/>
      <c r="I10" s="45"/>
      <c r="J10" s="133">
        <v>1323.0</v>
      </c>
      <c r="K10" s="24"/>
      <c r="L10" s="47">
        <v>211.0</v>
      </c>
      <c r="M10" s="47"/>
      <c r="N10" s="47">
        <v>1145.0</v>
      </c>
      <c r="O10" s="49"/>
      <c r="P10" s="85" t="s">
        <v>74</v>
      </c>
      <c r="Q10" s="51"/>
      <c r="R10" s="52">
        <v>10.0</v>
      </c>
      <c r="S10" s="53"/>
      <c r="T10" s="54"/>
      <c r="U10" s="55"/>
      <c r="V10" s="24"/>
      <c r="W10" s="47">
        <v>445.0</v>
      </c>
      <c r="X10" s="47"/>
      <c r="Y10" s="47" t="s">
        <v>75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6562</v>
      </c>
      <c r="D11" s="24"/>
      <c r="E11" s="43">
        <v>2.0</v>
      </c>
      <c r="F11" s="56">
        <v>100.0</v>
      </c>
      <c r="G11" s="57">
        <v>100.0</v>
      </c>
      <c r="H11" s="58"/>
      <c r="I11" s="59"/>
      <c r="J11" s="133">
        <v>1324.0</v>
      </c>
      <c r="K11" s="24"/>
      <c r="L11" s="47">
        <v>104.0</v>
      </c>
      <c r="M11" s="48"/>
      <c r="N11" s="47">
        <v>1186.0</v>
      </c>
      <c r="O11" s="49"/>
      <c r="P11" s="72" t="s">
        <v>76</v>
      </c>
      <c r="Q11" s="51"/>
      <c r="R11" s="52">
        <v>6387.0</v>
      </c>
      <c r="S11" s="53"/>
      <c r="T11" s="61"/>
      <c r="U11" s="62"/>
      <c r="V11" s="24"/>
      <c r="W11" s="47">
        <v>23.0</v>
      </c>
      <c r="X11" s="47"/>
      <c r="Y11" s="47" t="s">
        <v>77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2557</v>
      </c>
      <c r="D12" s="24"/>
      <c r="E12" s="43">
        <v>3.0</v>
      </c>
      <c r="F12" s="63">
        <v>247.0</v>
      </c>
      <c r="G12" s="64"/>
      <c r="H12" s="141">
        <v>247.0</v>
      </c>
      <c r="I12" s="65"/>
      <c r="J12" s="133">
        <v>1325.0</v>
      </c>
      <c r="K12" s="24"/>
      <c r="L12" s="48"/>
      <c r="M12" s="48"/>
      <c r="N12" s="48"/>
      <c r="O12" s="49"/>
      <c r="P12" s="72" t="s">
        <v>78</v>
      </c>
      <c r="Q12" s="51"/>
      <c r="R12" s="52">
        <v>19538.0</v>
      </c>
      <c r="S12" s="52"/>
      <c r="T12" s="61"/>
      <c r="U12" s="62"/>
      <c r="V12" s="24"/>
      <c r="W12" s="47">
        <v>826.0</v>
      </c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315</v>
      </c>
      <c r="D13" s="24"/>
      <c r="E13" s="43">
        <v>4.0</v>
      </c>
      <c r="F13" s="56">
        <v>2325.0</v>
      </c>
      <c r="G13" s="64">
        <v>2325.0</v>
      </c>
      <c r="H13" s="65"/>
      <c r="I13" s="65"/>
      <c r="J13" s="133">
        <v>1326.0</v>
      </c>
      <c r="K13" s="24"/>
      <c r="L13" s="48"/>
      <c r="M13" s="48"/>
      <c r="N13" s="48"/>
      <c r="O13" s="49"/>
      <c r="P13" s="72" t="s">
        <v>79</v>
      </c>
      <c r="Q13" s="51"/>
      <c r="R13" s="52">
        <v>11613.0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210.0</v>
      </c>
      <c r="G14" s="64">
        <v>210.0</v>
      </c>
      <c r="H14" s="65"/>
      <c r="I14" s="65"/>
      <c r="J14" s="133">
        <v>1327.0</v>
      </c>
      <c r="K14" s="24"/>
      <c r="L14" s="48"/>
      <c r="M14" s="48"/>
      <c r="N14" s="48"/>
      <c r="O14" s="49"/>
      <c r="P14" s="72" t="s">
        <v>80</v>
      </c>
      <c r="Q14" s="51"/>
      <c r="R14" s="52">
        <v>100.0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1294</v>
      </c>
      <c r="D15" s="24"/>
      <c r="E15" s="43">
        <v>6.0</v>
      </c>
      <c r="F15" s="56">
        <v>180.0</v>
      </c>
      <c r="G15" s="64">
        <v>180.0</v>
      </c>
      <c r="H15" s="64"/>
      <c r="I15" s="65"/>
      <c r="J15" s="133">
        <v>1328.0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37648</v>
      </c>
      <c r="D16" s="24"/>
      <c r="E16" s="43">
        <v>7.0</v>
      </c>
      <c r="F16" s="56">
        <v>299.0</v>
      </c>
      <c r="G16" s="64">
        <v>299.0</v>
      </c>
      <c r="H16" s="64"/>
      <c r="I16" s="65"/>
      <c r="J16" s="133">
        <v>1329.0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37648</v>
      </c>
      <c r="D17" s="24"/>
      <c r="E17" s="43">
        <v>8.0</v>
      </c>
      <c r="F17" s="56">
        <v>76.0</v>
      </c>
      <c r="G17" s="64">
        <v>76.0</v>
      </c>
      <c r="H17" s="64"/>
      <c r="I17" s="65"/>
      <c r="J17" s="133">
        <v>1330.0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32.0</v>
      </c>
      <c r="G18" s="64"/>
      <c r="H18" s="141">
        <v>32.0</v>
      </c>
      <c r="I18" s="65"/>
      <c r="J18" s="133">
        <v>1331.0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384.0</v>
      </c>
      <c r="G19" s="64">
        <v>384.0</v>
      </c>
      <c r="H19" s="65"/>
      <c r="I19" s="65"/>
      <c r="J19" s="133">
        <v>1332.0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8634</v>
      </c>
      <c r="D20" s="24"/>
      <c r="E20" s="43">
        <v>11.0</v>
      </c>
      <c r="F20" s="56">
        <v>46.0</v>
      </c>
      <c r="G20" s="64">
        <v>46.0</v>
      </c>
      <c r="H20" s="64"/>
      <c r="I20" s="65"/>
      <c r="J20" s="133">
        <v>1333.0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6562</v>
      </c>
      <c r="D21" s="24"/>
      <c r="E21" s="43">
        <v>12.0</v>
      </c>
      <c r="F21" s="56">
        <v>1108.0</v>
      </c>
      <c r="G21" s="64">
        <v>1108.0</v>
      </c>
      <c r="H21" s="64"/>
      <c r="I21" s="65"/>
      <c r="J21" s="133">
        <v>1334.0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80722</v>
      </c>
      <c r="D22" s="24"/>
      <c r="E22" s="43">
        <v>13.0</v>
      </c>
      <c r="F22" s="56">
        <v>651.0</v>
      </c>
      <c r="G22" s="64">
        <v>651.0</v>
      </c>
      <c r="H22" s="64"/>
      <c r="I22" s="65"/>
      <c r="J22" s="133">
        <v>1335.0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80826.0</v>
      </c>
      <c r="D23" s="24"/>
      <c r="E23" s="43">
        <v>14.0</v>
      </c>
      <c r="F23" s="56">
        <v>130.0</v>
      </c>
      <c r="G23" s="64">
        <v>130.0</v>
      </c>
      <c r="H23" s="65"/>
      <c r="I23" s="65"/>
      <c r="J23" s="133">
        <v>1336.0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-104</v>
      </c>
      <c r="D24" s="24"/>
      <c r="E24" s="43">
        <v>15.0</v>
      </c>
      <c r="F24" s="56">
        <v>387.0</v>
      </c>
      <c r="G24" s="64">
        <v>387.0</v>
      </c>
      <c r="H24" s="65"/>
      <c r="I24" s="65"/>
      <c r="J24" s="133">
        <v>1337.0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215.0</v>
      </c>
      <c r="G25" s="64"/>
      <c r="H25" s="141">
        <v>215.0</v>
      </c>
      <c r="I25" s="65"/>
      <c r="J25" s="133">
        <v>1338.0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142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25617</v>
      </c>
      <c r="D26" s="24"/>
      <c r="E26" s="43">
        <v>17.0</v>
      </c>
      <c r="F26" s="56">
        <v>70.0</v>
      </c>
      <c r="G26" s="64">
        <v>70.0</v>
      </c>
      <c r="H26" s="65"/>
      <c r="I26" s="65"/>
      <c r="J26" s="133">
        <v>1339.0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60.0</v>
      </c>
      <c r="D27" s="24"/>
      <c r="E27" s="43">
        <v>18.0</v>
      </c>
      <c r="F27" s="56">
        <v>422.0</v>
      </c>
      <c r="G27" s="64">
        <v>422.0</v>
      </c>
      <c r="H27" s="65"/>
      <c r="I27" s="65"/>
      <c r="J27" s="133">
        <v>1340.0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426.95</v>
      </c>
      <c r="D28" s="24"/>
      <c r="E28" s="43">
        <v>19.0</v>
      </c>
      <c r="F28" s="56">
        <v>3265.0</v>
      </c>
      <c r="G28" s="64">
        <v>3265.0</v>
      </c>
      <c r="H28" s="65"/>
      <c r="I28" s="65"/>
      <c r="J28" s="133">
        <v>1341.0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290.0</v>
      </c>
      <c r="G29" s="64"/>
      <c r="H29" s="65"/>
      <c r="I29" s="64">
        <v>290.0</v>
      </c>
      <c r="J29" s="133">
        <v>1342.0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1666.0</v>
      </c>
      <c r="G30" s="93">
        <v>1666.0</v>
      </c>
      <c r="H30" s="92"/>
      <c r="I30" s="93"/>
      <c r="J30" s="133">
        <v>1343.0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7750</v>
      </c>
      <c r="D31" s="24"/>
      <c r="E31" s="43">
        <v>22.0</v>
      </c>
      <c r="F31" s="56">
        <v>10.0</v>
      </c>
      <c r="G31" s="93"/>
      <c r="H31" s="137">
        <v>10.0</v>
      </c>
      <c r="I31" s="92"/>
      <c r="J31" s="133">
        <v>1344.0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37648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324.0</v>
      </c>
      <c r="G32" s="93">
        <v>324.0</v>
      </c>
      <c r="H32" s="92"/>
      <c r="I32" s="92"/>
      <c r="J32" s="133">
        <v>1345.0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591.0</v>
      </c>
      <c r="G33" s="93">
        <v>591.0</v>
      </c>
      <c r="H33" s="92"/>
      <c r="I33" s="92"/>
      <c r="J33" s="133">
        <v>1346.0</v>
      </c>
      <c r="K33" s="24"/>
      <c r="L33" s="104">
        <f t="shared" ref="L33:M33" si="2">sum(L10:L32)</f>
        <v>315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7750.0</v>
      </c>
      <c r="T33" s="101"/>
      <c r="U33" s="55"/>
      <c r="V33" s="24"/>
      <c r="W33" s="104">
        <f t="shared" ref="W33:X33" si="3">sum(W10:W32)</f>
        <v>1294</v>
      </c>
      <c r="X33" s="104">
        <f t="shared" si="3"/>
        <v>0</v>
      </c>
      <c r="Y33" s="104">
        <f>W33+X33</f>
        <v>1294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62.0</v>
      </c>
      <c r="G34" s="93">
        <v>62.0</v>
      </c>
      <c r="H34" s="92"/>
      <c r="I34" s="92"/>
      <c r="J34" s="133">
        <v>1347.0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25.0</v>
      </c>
      <c r="G35" s="93">
        <v>25.0</v>
      </c>
      <c r="H35" s="93"/>
      <c r="I35" s="92"/>
      <c r="J35" s="133">
        <v>1348.0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62.0</v>
      </c>
      <c r="G36" s="93">
        <v>62.0</v>
      </c>
      <c r="H36" s="93"/>
      <c r="I36" s="92"/>
      <c r="J36" s="133">
        <v>1349.0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583.0</v>
      </c>
      <c r="G37" s="93" t="s">
        <v>69</v>
      </c>
      <c r="H37" s="93">
        <v>583.0</v>
      </c>
      <c r="I37" s="93"/>
      <c r="J37" s="133">
        <v>1350.0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224.0</v>
      </c>
      <c r="G38" s="93"/>
      <c r="H38" s="93">
        <v>224.0</v>
      </c>
      <c r="I38" s="92"/>
      <c r="J38" s="133">
        <v>1351.0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269.0</v>
      </c>
      <c r="G39" s="93">
        <v>269.0</v>
      </c>
      <c r="H39" s="93"/>
      <c r="I39" s="92"/>
      <c r="J39" s="133">
        <v>1352.0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90.0</v>
      </c>
      <c r="G40" s="93">
        <v>90.0</v>
      </c>
      <c r="H40" s="93"/>
      <c r="I40" s="92"/>
      <c r="J40" s="133">
        <v>1353.0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32.0</v>
      </c>
      <c r="G41" s="93">
        <v>32.0</v>
      </c>
      <c r="H41" s="93"/>
      <c r="I41" s="92"/>
      <c r="J41" s="133">
        <v>1354.0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45.0</v>
      </c>
      <c r="G42" s="93">
        <v>45.0</v>
      </c>
      <c r="H42" s="93"/>
      <c r="I42" s="92"/>
      <c r="J42" s="133">
        <v>1355.0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100.0</v>
      </c>
      <c r="G43" s="93"/>
      <c r="H43" s="93">
        <v>100.0</v>
      </c>
      <c r="I43" s="92"/>
      <c r="J43" s="133">
        <v>1356.0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102.0</v>
      </c>
      <c r="G44" s="93">
        <v>102.0</v>
      </c>
      <c r="H44" s="93"/>
      <c r="I44" s="92"/>
      <c r="J44" s="133">
        <v>1357.0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67.0</v>
      </c>
      <c r="G45" s="93"/>
      <c r="H45" s="93">
        <v>67.0</v>
      </c>
      <c r="I45" s="92"/>
      <c r="J45" s="133">
        <v>1358.0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37.0</v>
      </c>
      <c r="G46" s="93">
        <v>37.0</v>
      </c>
      <c r="H46" s="92"/>
      <c r="I46" s="92"/>
      <c r="J46" s="133">
        <v>1359.0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253.0</v>
      </c>
      <c r="G47" s="93">
        <v>253.0</v>
      </c>
      <c r="H47" s="93"/>
      <c r="I47" s="92"/>
      <c r="J47" s="133">
        <v>1360.0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599.0</v>
      </c>
      <c r="G48" s="93">
        <v>599.0</v>
      </c>
      <c r="H48" s="92"/>
      <c r="I48" s="92"/>
      <c r="J48" s="133">
        <v>1361.0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45.0</v>
      </c>
      <c r="G49" s="93">
        <v>45.0</v>
      </c>
      <c r="H49" s="92"/>
      <c r="I49" s="92"/>
      <c r="J49" s="133">
        <v>1362.0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679.0</v>
      </c>
      <c r="G50" s="93">
        <v>679.0</v>
      </c>
      <c r="H50" s="93"/>
      <c r="I50" s="92"/>
      <c r="J50" s="133">
        <v>1363.0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104.0</v>
      </c>
      <c r="G51" s="93">
        <v>104.0</v>
      </c>
      <c r="H51" s="92"/>
      <c r="I51" s="92"/>
      <c r="J51" s="133">
        <v>1364.0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285.0</v>
      </c>
      <c r="G52" s="93" t="s">
        <v>69</v>
      </c>
      <c r="H52" s="93">
        <v>285.0</v>
      </c>
      <c r="I52" s="92"/>
      <c r="J52" s="133">
        <v>1365.0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980.0</v>
      </c>
      <c r="G53" s="92"/>
      <c r="H53" s="93">
        <v>980.0</v>
      </c>
      <c r="I53" s="92"/>
      <c r="J53" s="133">
        <v>1366.0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117.0</v>
      </c>
      <c r="G54" s="93">
        <v>117.0</v>
      </c>
      <c r="H54" s="92"/>
      <c r="I54" s="92"/>
      <c r="J54" s="133">
        <v>1367.0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81.0</v>
      </c>
      <c r="G55" s="93">
        <v>81.0</v>
      </c>
      <c r="H55" s="92"/>
      <c r="I55" s="92"/>
      <c r="J55" s="133">
        <v>1368.0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135.0</v>
      </c>
      <c r="G56" s="93">
        <v>135.0</v>
      </c>
      <c r="H56" s="92"/>
      <c r="I56" s="92"/>
      <c r="J56" s="133">
        <v>1369.0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20.0</v>
      </c>
      <c r="G57" s="93">
        <v>20.0</v>
      </c>
      <c r="H57" s="92"/>
      <c r="I57" s="92"/>
      <c r="J57" s="133">
        <v>1370.0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598.0</v>
      </c>
      <c r="G58" s="92"/>
      <c r="H58" s="137">
        <v>598.0</v>
      </c>
      <c r="I58" s="92"/>
      <c r="J58" s="133">
        <v>1371.0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28.0</v>
      </c>
      <c r="G59" s="93">
        <v>28.0</v>
      </c>
      <c r="H59" s="92"/>
      <c r="I59" s="92"/>
      <c r="J59" s="133">
        <v>1372.0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315.0</v>
      </c>
      <c r="G60" s="93">
        <v>315.0</v>
      </c>
      <c r="H60" s="92"/>
      <c r="I60" s="92"/>
      <c r="J60" s="133">
        <v>1373.0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900.0</v>
      </c>
      <c r="G61" s="92"/>
      <c r="H61" s="137">
        <v>900.0</v>
      </c>
      <c r="I61" s="92"/>
      <c r="J61" s="133">
        <v>1374.0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30.0</v>
      </c>
      <c r="G62" s="93">
        <v>30.0</v>
      </c>
      <c r="H62" s="92"/>
      <c r="I62" s="92"/>
      <c r="J62" s="133">
        <v>1375.0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356.0</v>
      </c>
      <c r="G63" s="93" t="s">
        <v>69</v>
      </c>
      <c r="H63" s="137">
        <v>356.0</v>
      </c>
      <c r="I63" s="92"/>
      <c r="J63" s="133">
        <v>1376.0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1129.0</v>
      </c>
      <c r="G64" s="92"/>
      <c r="H64" s="137">
        <v>1129.0</v>
      </c>
      <c r="I64" s="92"/>
      <c r="J64" s="133">
        <v>1377.0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296.0</v>
      </c>
      <c r="G65" s="93" t="s">
        <v>69</v>
      </c>
      <c r="H65" s="143">
        <v>296.0</v>
      </c>
      <c r="I65" s="92"/>
      <c r="J65" s="133" t="s">
        <v>81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179.0</v>
      </c>
      <c r="G66" s="93">
        <v>179.0</v>
      </c>
      <c r="H66" s="92"/>
      <c r="I66" s="92"/>
      <c r="J66" s="133">
        <v>1379.0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27.0</v>
      </c>
      <c r="G67" s="93">
        <v>27.0</v>
      </c>
      <c r="H67" s="92"/>
      <c r="I67" s="92"/>
      <c r="J67" s="133">
        <v>1380.0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2267.0</v>
      </c>
      <c r="G68" s="92"/>
      <c r="H68" s="92"/>
      <c r="I68" s="93">
        <v>2267.0</v>
      </c>
      <c r="J68" s="133">
        <v>1381.0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540.0</v>
      </c>
      <c r="G69" s="92"/>
      <c r="H69" s="137">
        <v>540.0</v>
      </c>
      <c r="I69" s="92"/>
      <c r="J69" s="133">
        <v>1382.0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3">
        <v>-1.0</v>
      </c>
      <c r="H70" s="92"/>
      <c r="I70" s="92"/>
      <c r="J70" s="133">
        <v>1383.0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133">
        <v>1384.0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133">
        <v>1385.0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133">
        <v>1386.0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133">
        <v>1387.0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133">
        <v>1388.0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133">
        <v>1389.0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33">
        <v>1390.0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33">
        <v>1391.0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33">
        <v>1392.0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3">
        <v>1393.0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33">
        <v>1394.0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33">
        <v>1395.0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3">
        <v>1396.0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3">
        <v>1397.0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3">
        <v>1398.0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3">
        <v>1399.0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3">
        <v>1400.0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3">
        <v>1401.0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3">
        <v>1402.0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3">
        <v>1403.0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3">
        <v>1404.0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3">
        <v>1405.0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3">
        <v>1406.0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33">
        <v>1407.0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133">
        <v>1408.0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133">
        <v>1409.0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25617</v>
      </c>
      <c r="G97" s="123">
        <f t="shared" si="4"/>
        <v>16497</v>
      </c>
      <c r="H97" s="123">
        <f t="shared" si="4"/>
        <v>6562</v>
      </c>
      <c r="I97" s="123">
        <f t="shared" si="4"/>
        <v>2557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144">
        <v>769.0</v>
      </c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1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45965.0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80722.0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6562.0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8634.0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19063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8738</v>
      </c>
      <c r="D10" s="24"/>
      <c r="E10" s="43">
        <v>1.0</v>
      </c>
      <c r="F10" s="44">
        <v>340.0</v>
      </c>
      <c r="G10" s="45"/>
      <c r="H10" s="145">
        <v>340.0</v>
      </c>
      <c r="I10" s="45"/>
      <c r="J10" s="133">
        <v>1383.0</v>
      </c>
      <c r="K10" s="24"/>
      <c r="L10" s="47">
        <v>2267.0</v>
      </c>
      <c r="M10" s="47"/>
      <c r="N10" s="47">
        <v>1381.0</v>
      </c>
      <c r="O10" s="49"/>
      <c r="P10" s="85" t="s">
        <v>82</v>
      </c>
      <c r="Q10" s="51"/>
      <c r="R10" s="52">
        <v>25.0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10148</v>
      </c>
      <c r="D11" s="24"/>
      <c r="E11" s="43">
        <v>2.0</v>
      </c>
      <c r="F11" s="56">
        <v>393.0</v>
      </c>
      <c r="G11" s="57"/>
      <c r="H11" s="146">
        <v>393.0</v>
      </c>
      <c r="I11" s="59"/>
      <c r="J11" s="133" t="s">
        <v>83</v>
      </c>
      <c r="K11" s="24"/>
      <c r="L11" s="47" t="s">
        <v>69</v>
      </c>
      <c r="M11" s="47">
        <v>290.0</v>
      </c>
      <c r="N11" s="47">
        <v>1342.0</v>
      </c>
      <c r="O11" s="49"/>
      <c r="P11" s="72" t="s">
        <v>84</v>
      </c>
      <c r="Q11" s="51"/>
      <c r="R11" s="52">
        <v>120.0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1396</v>
      </c>
      <c r="D12" s="24"/>
      <c r="E12" s="43">
        <v>3.0</v>
      </c>
      <c r="F12" s="63">
        <v>50.0</v>
      </c>
      <c r="G12" s="64">
        <v>50.0</v>
      </c>
      <c r="H12" s="64"/>
      <c r="I12" s="65"/>
      <c r="J12" s="133">
        <v>1385.0</v>
      </c>
      <c r="K12" s="24"/>
      <c r="L12" s="48"/>
      <c r="M12" s="48"/>
      <c r="N12" s="48"/>
      <c r="O12" s="49"/>
      <c r="P12" s="72" t="s">
        <v>85</v>
      </c>
      <c r="Q12" s="51"/>
      <c r="R12" s="52">
        <v>20.0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2267</v>
      </c>
      <c r="D13" s="24"/>
      <c r="E13" s="43">
        <v>4.0</v>
      </c>
      <c r="F13" s="56">
        <v>269.0</v>
      </c>
      <c r="G13" s="64">
        <v>269.0</v>
      </c>
      <c r="H13" s="65"/>
      <c r="I13" s="65"/>
      <c r="J13" s="133">
        <v>1386.0</v>
      </c>
      <c r="K13" s="24"/>
      <c r="L13" s="48"/>
      <c r="M13" s="48"/>
      <c r="N13" s="48"/>
      <c r="O13" s="49"/>
      <c r="P13" s="72" t="s">
        <v>86</v>
      </c>
      <c r="Q13" s="51"/>
      <c r="R13" s="52">
        <v>75000.0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290</v>
      </c>
      <c r="D14" s="24"/>
      <c r="E14" s="43">
        <v>5.0</v>
      </c>
      <c r="F14" s="56">
        <v>20.0</v>
      </c>
      <c r="G14" s="64">
        <v>20.0</v>
      </c>
      <c r="H14" s="65"/>
      <c r="I14" s="65"/>
      <c r="J14" s="133">
        <v>1387.0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352.0</v>
      </c>
      <c r="G15" s="64">
        <v>352.0</v>
      </c>
      <c r="H15" s="64"/>
      <c r="I15" s="65"/>
      <c r="J15" s="133">
        <v>1388.0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75165</v>
      </c>
      <c r="D16" s="24"/>
      <c r="E16" s="43">
        <v>7.0</v>
      </c>
      <c r="F16" s="56">
        <v>275.0</v>
      </c>
      <c r="G16" s="64">
        <v>275.0</v>
      </c>
      <c r="H16" s="64"/>
      <c r="I16" s="65"/>
      <c r="J16" s="133">
        <v>1389.0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75165</v>
      </c>
      <c r="D17" s="24"/>
      <c r="E17" s="43">
        <v>8.0</v>
      </c>
      <c r="F17" s="56">
        <v>328.0</v>
      </c>
      <c r="G17" s="64">
        <v>328.0</v>
      </c>
      <c r="H17" s="64"/>
      <c r="I17" s="65"/>
      <c r="J17" s="133">
        <v>1390.0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188.0</v>
      </c>
      <c r="G18" s="64">
        <v>188.0</v>
      </c>
      <c r="H18" s="64"/>
      <c r="I18" s="65"/>
      <c r="J18" s="133">
        <v>1391.0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28.0</v>
      </c>
      <c r="G19" s="64">
        <v>28.0</v>
      </c>
      <c r="H19" s="65"/>
      <c r="I19" s="65"/>
      <c r="J19" s="133">
        <v>1392.0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7473</v>
      </c>
      <c r="D20" s="24"/>
      <c r="E20" s="43">
        <v>11.0</v>
      </c>
      <c r="F20" s="56">
        <v>520.0</v>
      </c>
      <c r="G20" s="64">
        <v>520.0</v>
      </c>
      <c r="H20" s="64"/>
      <c r="I20" s="65"/>
      <c r="J20" s="133">
        <v>1393.0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10438</v>
      </c>
      <c r="D21" s="24"/>
      <c r="E21" s="43">
        <v>12.0</v>
      </c>
      <c r="F21" s="56">
        <v>111.0</v>
      </c>
      <c r="G21" s="65"/>
      <c r="H21" s="141">
        <v>111.0</v>
      </c>
      <c r="I21" s="65"/>
      <c r="J21" s="133">
        <v>1394.0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16562</v>
      </c>
      <c r="D22" s="24"/>
      <c r="E22" s="43">
        <v>13.0</v>
      </c>
      <c r="F22" s="56">
        <v>81.0</v>
      </c>
      <c r="G22" s="64">
        <v>81.0</v>
      </c>
      <c r="H22" s="64"/>
      <c r="I22" s="65"/>
      <c r="J22" s="133">
        <v>1395.0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16391.0</v>
      </c>
      <c r="D23" s="24"/>
      <c r="E23" s="43">
        <v>14.0</v>
      </c>
      <c r="F23" s="56">
        <v>64.0</v>
      </c>
      <c r="G23" s="64">
        <v>64.0</v>
      </c>
      <c r="H23" s="65"/>
      <c r="I23" s="65"/>
      <c r="J23" s="133">
        <v>1396.0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171</v>
      </c>
      <c r="D24" s="24"/>
      <c r="E24" s="43">
        <v>15.0</v>
      </c>
      <c r="F24" s="56">
        <v>90.0</v>
      </c>
      <c r="G24" s="64"/>
      <c r="H24" s="141">
        <v>90.0</v>
      </c>
      <c r="I24" s="65"/>
      <c r="J24" s="133">
        <v>1397.0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181.0</v>
      </c>
      <c r="G25" s="64">
        <v>181.0</v>
      </c>
      <c r="H25" s="65"/>
      <c r="I25" s="65"/>
      <c r="J25" s="133">
        <v>1398.0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19063</v>
      </c>
      <c r="D26" s="24"/>
      <c r="E26" s="43">
        <v>17.0</v>
      </c>
      <c r="F26" s="56">
        <v>196.0</v>
      </c>
      <c r="G26" s="64"/>
      <c r="H26" s="141">
        <v>196.0</v>
      </c>
      <c r="I26" s="65"/>
      <c r="J26" s="133" t="s">
        <v>87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60.0</v>
      </c>
      <c r="D27" s="24"/>
      <c r="E27" s="43">
        <v>18.0</v>
      </c>
      <c r="F27" s="56">
        <v>649.0</v>
      </c>
      <c r="G27" s="64">
        <v>649.0</v>
      </c>
      <c r="H27" s="65"/>
      <c r="I27" s="65"/>
      <c r="J27" s="133">
        <v>1400.0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317.7166667</v>
      </c>
      <c r="D28" s="24"/>
      <c r="E28" s="43">
        <v>19.0</v>
      </c>
      <c r="F28" s="56">
        <v>18.0</v>
      </c>
      <c r="G28" s="64">
        <v>18.0</v>
      </c>
      <c r="H28" s="65"/>
      <c r="I28" s="65"/>
      <c r="J28" s="133">
        <v>1401.0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262.0</v>
      </c>
      <c r="G29" s="64">
        <v>262.0</v>
      </c>
      <c r="H29" s="65"/>
      <c r="I29" s="65"/>
      <c r="J29" s="133">
        <v>1402.0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80.0</v>
      </c>
      <c r="G30" s="93">
        <v>80.0</v>
      </c>
      <c r="H30" s="92"/>
      <c r="I30" s="93"/>
      <c r="J30" s="133">
        <v>1403.0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6562</v>
      </c>
      <c r="D31" s="24"/>
      <c r="E31" s="43">
        <v>22.0</v>
      </c>
      <c r="F31" s="56">
        <v>45.0</v>
      </c>
      <c r="G31" s="93">
        <v>45.0</v>
      </c>
      <c r="H31" s="92"/>
      <c r="I31" s="92"/>
      <c r="J31" s="133">
        <v>1404.0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75165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90.0</v>
      </c>
      <c r="G32" s="93">
        <v>90.0</v>
      </c>
      <c r="H32" s="92"/>
      <c r="I32" s="92"/>
      <c r="J32" s="133">
        <v>1405.0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450.0</v>
      </c>
      <c r="G33" s="93"/>
      <c r="H33" s="137">
        <v>450.0</v>
      </c>
      <c r="I33" s="92"/>
      <c r="J33" s="133">
        <v>1406.0</v>
      </c>
      <c r="K33" s="24"/>
      <c r="L33" s="104">
        <f t="shared" ref="L33:M33" si="2">sum(L10:L32)</f>
        <v>2267</v>
      </c>
      <c r="M33" s="104">
        <f t="shared" si="2"/>
        <v>290</v>
      </c>
      <c r="N33" s="104"/>
      <c r="O33" s="105"/>
      <c r="P33" s="85" t="s">
        <v>38</v>
      </c>
      <c r="Q33" s="51"/>
      <c r="R33" s="100"/>
      <c r="S33" s="52">
        <v>6562.0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99.0</v>
      </c>
      <c r="G34" s="93">
        <v>99.0</v>
      </c>
      <c r="H34" s="92"/>
      <c r="I34" s="92"/>
      <c r="J34" s="133">
        <v>1407.0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313.0</v>
      </c>
      <c r="G35" s="93">
        <v>313.0</v>
      </c>
      <c r="H35" s="93"/>
      <c r="I35" s="92"/>
      <c r="J35" s="133">
        <v>1408.0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1187.0</v>
      </c>
      <c r="G36" s="93">
        <v>1187.0</v>
      </c>
      <c r="H36" s="93"/>
      <c r="I36" s="92"/>
      <c r="J36" s="133">
        <v>1409.0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100.0</v>
      </c>
      <c r="G37" s="93">
        <v>100.0</v>
      </c>
      <c r="H37" s="92"/>
      <c r="I37" s="92"/>
      <c r="J37" s="133">
        <v>1410.0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291.0</v>
      </c>
      <c r="G38" s="93">
        <v>291.0</v>
      </c>
      <c r="H38" s="92"/>
      <c r="I38" s="92"/>
      <c r="J38" s="133">
        <v>1411.0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118.0</v>
      </c>
      <c r="G39" s="93">
        <v>118.0</v>
      </c>
      <c r="H39" s="93"/>
      <c r="I39" s="92"/>
      <c r="J39" s="133">
        <v>1412.0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582.0</v>
      </c>
      <c r="G40" s="93">
        <v>582.0</v>
      </c>
      <c r="H40" s="93"/>
      <c r="I40" s="92"/>
      <c r="J40" s="133">
        <v>1413.0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351.0</v>
      </c>
      <c r="G41" s="93">
        <v>351.0</v>
      </c>
      <c r="H41" s="93"/>
      <c r="I41" s="92"/>
      <c r="J41" s="133">
        <v>1414.0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1670.0</v>
      </c>
      <c r="G42" s="93"/>
      <c r="H42" s="137">
        <v>1670.0</v>
      </c>
      <c r="I42" s="92"/>
      <c r="J42" s="133">
        <v>1415.0</v>
      </c>
      <c r="K42" s="24"/>
      <c r="L42" s="112"/>
      <c r="M42" s="117">
        <v>1219.0</v>
      </c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167.0</v>
      </c>
      <c r="G43" s="93"/>
      <c r="H43" s="137">
        <v>167.0</v>
      </c>
      <c r="I43" s="92"/>
      <c r="J43" s="133">
        <v>1416.0</v>
      </c>
      <c r="K43" s="24"/>
      <c r="L43" s="112"/>
      <c r="M43" s="117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145.0</v>
      </c>
      <c r="G44" s="93">
        <v>145.0</v>
      </c>
      <c r="H44" s="93"/>
      <c r="I44" s="92"/>
      <c r="J44" s="133">
        <v>1417.0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75.0</v>
      </c>
      <c r="G45" s="93">
        <v>75.0</v>
      </c>
      <c r="H45" s="92"/>
      <c r="I45" s="92"/>
      <c r="J45" s="133">
        <v>1418.0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209.0</v>
      </c>
      <c r="G46" s="93">
        <v>209.0</v>
      </c>
      <c r="H46" s="92"/>
      <c r="I46" s="92"/>
      <c r="J46" s="133">
        <v>1419.0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150.0</v>
      </c>
      <c r="G47" s="92"/>
      <c r="H47" s="137">
        <v>150.0</v>
      </c>
      <c r="I47" s="92"/>
      <c r="J47" s="133">
        <v>1420.0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37.0</v>
      </c>
      <c r="G48" s="93">
        <v>37.0</v>
      </c>
      <c r="H48" s="92"/>
      <c r="I48" s="92"/>
      <c r="J48" s="133">
        <v>1421.0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145.0</v>
      </c>
      <c r="G49" s="93">
        <v>145.0</v>
      </c>
      <c r="H49" s="92"/>
      <c r="I49" s="92"/>
      <c r="J49" s="133">
        <v>1422.0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62.0</v>
      </c>
      <c r="G50" s="93">
        <v>62.0</v>
      </c>
      <c r="H50" s="93"/>
      <c r="I50" s="92"/>
      <c r="J50" s="133">
        <v>1423.0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100.0</v>
      </c>
      <c r="G51" s="93">
        <v>100.0</v>
      </c>
      <c r="H51" s="92"/>
      <c r="I51" s="92"/>
      <c r="J51" s="133">
        <v>1424.0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24.0</v>
      </c>
      <c r="G52" s="93">
        <v>24.0</v>
      </c>
      <c r="H52" s="92"/>
      <c r="I52" s="92"/>
      <c r="J52" s="133">
        <v>1425.0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60.0</v>
      </c>
      <c r="G53" s="93"/>
      <c r="H53" s="137">
        <v>60.0</v>
      </c>
      <c r="I53" s="92"/>
      <c r="J53" s="133">
        <v>1426.0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54.0</v>
      </c>
      <c r="G54" s="93">
        <v>54.0</v>
      </c>
      <c r="H54" s="92"/>
      <c r="I54" s="92"/>
      <c r="J54" s="133">
        <v>1427.0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103.0</v>
      </c>
      <c r="G55" s="93">
        <v>103.0</v>
      </c>
      <c r="H55" s="92"/>
      <c r="I55" s="92"/>
      <c r="J55" s="133">
        <v>1428.0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33.0</v>
      </c>
      <c r="G56" s="93">
        <v>33.0</v>
      </c>
      <c r="H56" s="92"/>
      <c r="I56" s="92"/>
      <c r="J56" s="133">
        <v>1429.0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1657.0</v>
      </c>
      <c r="G57" s="92"/>
      <c r="H57" s="137">
        <v>1657.0</v>
      </c>
      <c r="I57" s="92"/>
      <c r="J57" s="133">
        <v>1430.0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100.0</v>
      </c>
      <c r="G58" s="92"/>
      <c r="H58" s="137">
        <v>100.0</v>
      </c>
      <c r="I58" s="92"/>
      <c r="J58" s="133">
        <v>1431.0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170.0</v>
      </c>
      <c r="G59" s="92"/>
      <c r="H59" s="137">
        <v>170.0</v>
      </c>
      <c r="I59" s="92"/>
      <c r="J59" s="133">
        <v>1432.0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740.0</v>
      </c>
      <c r="G60" s="93">
        <v>740.0</v>
      </c>
      <c r="H60" s="92"/>
      <c r="I60" s="92"/>
      <c r="J60" s="133">
        <v>1433.0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210.0</v>
      </c>
      <c r="G61" s="93">
        <v>210.0</v>
      </c>
      <c r="H61" s="92"/>
      <c r="I61" s="92"/>
      <c r="J61" s="133">
        <v>1434.0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191.0</v>
      </c>
      <c r="G62" s="92"/>
      <c r="H62" s="137">
        <v>191.0</v>
      </c>
      <c r="I62" s="92"/>
      <c r="J62" s="133">
        <v>1435.0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87.0</v>
      </c>
      <c r="G63" s="92"/>
      <c r="H63" s="137">
        <v>87.0</v>
      </c>
      <c r="I63" s="92"/>
      <c r="J63" s="133">
        <v>1436.0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714.0</v>
      </c>
      <c r="G64" s="92"/>
      <c r="H64" s="137">
        <v>714.0</v>
      </c>
      <c r="I64" s="92"/>
      <c r="J64" s="133">
        <v>1437.0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418.0</v>
      </c>
      <c r="G65" s="92"/>
      <c r="H65" s="137">
        <v>418.0</v>
      </c>
      <c r="I65" s="92"/>
      <c r="J65" s="133">
        <v>1438.0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291.0</v>
      </c>
      <c r="G66" s="92"/>
      <c r="H66" s="137">
        <v>291.0</v>
      </c>
      <c r="I66" s="92"/>
      <c r="J66" s="133">
        <v>1439.0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260.0</v>
      </c>
      <c r="G67" s="93">
        <v>260.0</v>
      </c>
      <c r="H67" s="92"/>
      <c r="I67" s="92"/>
      <c r="J67" s="133">
        <v>1440.0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2896.0</v>
      </c>
      <c r="G68" s="93" t="s">
        <v>69</v>
      </c>
      <c r="H68" s="137">
        <v>1500.0</v>
      </c>
      <c r="I68" s="93">
        <v>1396.0</v>
      </c>
      <c r="J68" s="133" t="s">
        <v>88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174.0</v>
      </c>
      <c r="G69" s="92"/>
      <c r="H69" s="147">
        <v>174.0</v>
      </c>
      <c r="I69" s="92"/>
      <c r="J69" s="133">
        <v>1442.0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133">
        <v>1443.0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133">
        <v>1444.0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133">
        <v>1445.0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133">
        <v>1446.0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133">
        <v>1447.0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133">
        <v>1448.0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133">
        <v>1449.0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33">
        <v>1450.0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3" t="s">
        <v>89</v>
      </c>
      <c r="I78" s="92"/>
      <c r="J78" s="133">
        <v>1451.0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3">
        <v>1219.0</v>
      </c>
      <c r="I79" s="92"/>
      <c r="J79" s="133">
        <v>1452.0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3">
        <v>1453.0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33">
        <v>1454.0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33">
        <v>1455.0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3">
        <v>1456.0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3">
        <v>1457.0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3">
        <v>1458.0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3">
        <v>1459.0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3">
        <v>1460.0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3">
        <v>1461.0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3">
        <v>1462.0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3">
        <v>1463.0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3">
        <v>1464.0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3">
        <v>1465.0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3">
        <v>1466.0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54" t="s">
        <v>69</v>
      </c>
      <c r="I94" s="61"/>
      <c r="J94" s="133">
        <v>1467.0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19063</v>
      </c>
      <c r="G97" s="123">
        <f t="shared" si="4"/>
        <v>8738</v>
      </c>
      <c r="H97" s="123">
        <f t="shared" si="4"/>
        <v>10148</v>
      </c>
      <c r="I97" s="123">
        <f t="shared" si="4"/>
        <v>1396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45966.0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16562.0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10438.0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7473.0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23746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9681</v>
      </c>
      <c r="D10" s="24"/>
      <c r="E10" s="43">
        <v>1.0</v>
      </c>
      <c r="F10" s="44">
        <v>542.0</v>
      </c>
      <c r="G10" s="45">
        <v>542.0</v>
      </c>
      <c r="H10" s="45"/>
      <c r="I10" s="45"/>
      <c r="J10" s="133">
        <v>1443.0</v>
      </c>
      <c r="K10" s="24"/>
      <c r="L10" s="47"/>
      <c r="M10" s="47"/>
      <c r="N10" s="48"/>
      <c r="O10" s="49"/>
      <c r="P10" s="85" t="s">
        <v>90</v>
      </c>
      <c r="Q10" s="51"/>
      <c r="R10" s="52">
        <v>160.0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13270</v>
      </c>
      <c r="D11" s="24"/>
      <c r="E11" s="43">
        <v>2.0</v>
      </c>
      <c r="F11" s="56">
        <v>91.0</v>
      </c>
      <c r="G11" s="57">
        <v>91.0</v>
      </c>
      <c r="H11" s="58"/>
      <c r="I11" s="59"/>
      <c r="J11" s="133">
        <v>1444.0</v>
      </c>
      <c r="K11" s="24"/>
      <c r="L11" s="48"/>
      <c r="M11" s="48"/>
      <c r="N11" s="48"/>
      <c r="O11" s="49"/>
      <c r="P11" s="72" t="s">
        <v>67</v>
      </c>
      <c r="Q11" s="51"/>
      <c r="R11" s="52">
        <v>100.0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795</v>
      </c>
      <c r="D12" s="24"/>
      <c r="E12" s="43">
        <v>3.0</v>
      </c>
      <c r="F12" s="63">
        <v>99.0</v>
      </c>
      <c r="G12" s="64">
        <v>99.0</v>
      </c>
      <c r="H12" s="64"/>
      <c r="I12" s="65"/>
      <c r="J12" s="133">
        <v>1445.0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885.0</v>
      </c>
      <c r="G13" s="64">
        <v>885.0</v>
      </c>
      <c r="H13" s="65"/>
      <c r="I13" s="65"/>
      <c r="J13" s="133">
        <v>1446.0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43.0</v>
      </c>
      <c r="G14" s="64">
        <v>43.0</v>
      </c>
      <c r="H14" s="65"/>
      <c r="I14" s="65"/>
      <c r="J14" s="133">
        <v>1447.0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118.0</v>
      </c>
      <c r="G15" s="64">
        <v>118.0</v>
      </c>
      <c r="H15" s="64"/>
      <c r="I15" s="65"/>
      <c r="J15" s="133">
        <v>1448.0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260</v>
      </c>
      <c r="D16" s="24"/>
      <c r="E16" s="43">
        <v>7.0</v>
      </c>
      <c r="F16" s="56">
        <v>59.0</v>
      </c>
      <c r="G16" s="64">
        <v>59.0</v>
      </c>
      <c r="H16" s="64"/>
      <c r="I16" s="65"/>
      <c r="J16" s="133">
        <v>1449.0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260</v>
      </c>
      <c r="D17" s="24"/>
      <c r="E17" s="43">
        <v>8.0</v>
      </c>
      <c r="F17" s="56">
        <v>51.0</v>
      </c>
      <c r="G17" s="64"/>
      <c r="H17" s="64">
        <v>51.0</v>
      </c>
      <c r="I17" s="65"/>
      <c r="J17" s="133">
        <v>1450.0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1623.0</v>
      </c>
      <c r="G18" s="64"/>
      <c r="H18" s="148">
        <v>1623.0</v>
      </c>
      <c r="I18" s="64" t="s">
        <v>69</v>
      </c>
      <c r="J18" s="133" t="s">
        <v>91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195.0</v>
      </c>
      <c r="G19" s="64">
        <v>195.0</v>
      </c>
      <c r="H19" s="64" t="s">
        <v>69</v>
      </c>
      <c r="I19" s="65"/>
      <c r="J19" s="133">
        <v>1452.0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8268</v>
      </c>
      <c r="D20" s="24"/>
      <c r="E20" s="43">
        <v>11.0</v>
      </c>
      <c r="F20" s="56">
        <v>125.0</v>
      </c>
      <c r="G20" s="64">
        <v>125.0</v>
      </c>
      <c r="H20" s="64"/>
      <c r="I20" s="65"/>
      <c r="J20" s="133">
        <v>1453.0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13270</v>
      </c>
      <c r="D21" s="24"/>
      <c r="E21" s="43">
        <v>12.0</v>
      </c>
      <c r="F21" s="56">
        <v>102.0</v>
      </c>
      <c r="G21" s="64">
        <v>102.0</v>
      </c>
      <c r="H21" s="64"/>
      <c r="I21" s="65"/>
      <c r="J21" s="133">
        <v>1454.0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25983</v>
      </c>
      <c r="D22" s="24"/>
      <c r="E22" s="43">
        <v>13.0</v>
      </c>
      <c r="F22" s="56">
        <v>135.0</v>
      </c>
      <c r="G22" s="64">
        <v>135.0</v>
      </c>
      <c r="H22" s="64"/>
      <c r="I22" s="65"/>
      <c r="J22" s="133">
        <v>1455.0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25925.0</v>
      </c>
      <c r="D23" s="24"/>
      <c r="E23" s="43">
        <v>14.0</v>
      </c>
      <c r="F23" s="56">
        <v>156.0</v>
      </c>
      <c r="G23" s="64">
        <v>156.0</v>
      </c>
      <c r="H23" s="65"/>
      <c r="I23" s="65"/>
      <c r="J23" s="133">
        <v>1456.0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58</v>
      </c>
      <c r="D24" s="24"/>
      <c r="E24" s="43">
        <v>15.0</v>
      </c>
      <c r="F24" s="56">
        <v>251.0</v>
      </c>
      <c r="G24" s="64">
        <v>251.0</v>
      </c>
      <c r="H24" s="65"/>
      <c r="I24" s="65"/>
      <c r="J24" s="133">
        <v>1457.0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41.0</v>
      </c>
      <c r="G25" s="64">
        <v>41.0</v>
      </c>
      <c r="H25" s="65"/>
      <c r="I25" s="65"/>
      <c r="J25" s="133">
        <v>1458.0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23746</v>
      </c>
      <c r="D26" s="24"/>
      <c r="E26" s="43">
        <v>17.0</v>
      </c>
      <c r="F26" s="56">
        <v>12.0</v>
      </c>
      <c r="G26" s="64"/>
      <c r="H26" s="64">
        <v>12.0</v>
      </c>
      <c r="I26" s="65"/>
      <c r="J26" s="133">
        <v>1459.0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68.0</v>
      </c>
      <c r="D27" s="24"/>
      <c r="E27" s="43">
        <v>18.0</v>
      </c>
      <c r="F27" s="56">
        <v>66.0</v>
      </c>
      <c r="G27" s="64"/>
      <c r="H27" s="64">
        <v>66.0</v>
      </c>
      <c r="I27" s="65"/>
      <c r="J27" s="133">
        <v>1460.0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349.2058824</v>
      </c>
      <c r="D28" s="24"/>
      <c r="E28" s="43">
        <v>19.0</v>
      </c>
      <c r="F28" s="56">
        <v>200.0</v>
      </c>
      <c r="G28" s="64"/>
      <c r="H28" s="64">
        <v>200.0</v>
      </c>
      <c r="I28" s="65"/>
      <c r="J28" s="133">
        <v>1461.0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161.0</v>
      </c>
      <c r="G29" s="64">
        <v>161.0</v>
      </c>
      <c r="H29" s="65"/>
      <c r="I29" s="65"/>
      <c r="J29" s="133">
        <v>1462.0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199.0</v>
      </c>
      <c r="G30" s="93">
        <v>25.0</v>
      </c>
      <c r="H30" s="93">
        <v>174.0</v>
      </c>
      <c r="I30" s="93"/>
      <c r="J30" s="133">
        <v>1463.0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10438</v>
      </c>
      <c r="D31" s="24"/>
      <c r="E31" s="43">
        <v>22.0</v>
      </c>
      <c r="F31" s="56">
        <v>312.0</v>
      </c>
      <c r="G31" s="93">
        <v>312.0</v>
      </c>
      <c r="H31" s="92"/>
      <c r="I31" s="92"/>
      <c r="J31" s="133">
        <v>1464.0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260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960.0</v>
      </c>
      <c r="G32" s="93"/>
      <c r="H32" s="93">
        <v>960.0</v>
      </c>
      <c r="I32" s="92"/>
      <c r="J32" s="133">
        <v>1465.0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75.0</v>
      </c>
      <c r="G33" s="93">
        <v>75.0</v>
      </c>
      <c r="H33" s="92"/>
      <c r="I33" s="92"/>
      <c r="J33" s="133">
        <v>1466.0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10438.0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1231.0</v>
      </c>
      <c r="G34" s="93">
        <v>1231.0</v>
      </c>
      <c r="H34" s="92"/>
      <c r="I34" s="92"/>
      <c r="J34" s="133">
        <v>1467.0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71.0</v>
      </c>
      <c r="G35" s="92"/>
      <c r="H35" s="93"/>
      <c r="I35" s="93">
        <v>71.0</v>
      </c>
      <c r="J35" s="133" t="s">
        <v>92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2365.0</v>
      </c>
      <c r="G36" s="93" t="s">
        <v>69</v>
      </c>
      <c r="H36" s="93">
        <v>2365.0</v>
      </c>
      <c r="I36" s="92"/>
      <c r="J36" s="133">
        <v>1469.0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929.0</v>
      </c>
      <c r="G37" s="93">
        <v>929.0</v>
      </c>
      <c r="H37" s="92"/>
      <c r="I37" s="92"/>
      <c r="J37" s="133">
        <v>1470.0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1514.0</v>
      </c>
      <c r="G38" s="93" t="s">
        <v>69</v>
      </c>
      <c r="H38" s="93">
        <v>1014.0</v>
      </c>
      <c r="I38" s="93">
        <v>500.0</v>
      </c>
      <c r="J38" s="133">
        <v>1471.0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7.0</v>
      </c>
      <c r="G39" s="93">
        <v>7.0</v>
      </c>
      <c r="H39" s="93"/>
      <c r="I39" s="92"/>
      <c r="J39" s="133">
        <v>1472.0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629.0</v>
      </c>
      <c r="G40" s="93">
        <v>629.0</v>
      </c>
      <c r="H40" s="93"/>
      <c r="I40" s="92"/>
      <c r="J40" s="133">
        <v>1473.0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37.0</v>
      </c>
      <c r="G41" s="93">
        <v>37.0</v>
      </c>
      <c r="H41" s="93"/>
      <c r="I41" s="92"/>
      <c r="J41" s="133">
        <v>1474.0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18.0</v>
      </c>
      <c r="G42" s="93">
        <v>18.0</v>
      </c>
      <c r="H42" s="93"/>
      <c r="I42" s="92"/>
      <c r="J42" s="133">
        <v>1475.0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126.0</v>
      </c>
      <c r="G43" s="93">
        <v>126.0</v>
      </c>
      <c r="H43" s="92"/>
      <c r="I43" s="92"/>
      <c r="J43" s="133">
        <v>1476.0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145.0</v>
      </c>
      <c r="G44" s="93">
        <v>145.0</v>
      </c>
      <c r="H44" s="93"/>
      <c r="I44" s="92"/>
      <c r="J44" s="133">
        <v>1477.0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225.0</v>
      </c>
      <c r="G45" s="93">
        <v>225.0</v>
      </c>
      <c r="H45" s="92"/>
      <c r="I45" s="92"/>
      <c r="J45" s="133">
        <v>1478.0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224.0</v>
      </c>
      <c r="G46" s="93"/>
      <c r="H46" s="92"/>
      <c r="I46" s="93">
        <v>224.0</v>
      </c>
      <c r="J46" s="133" t="s">
        <v>93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511.0</v>
      </c>
      <c r="G47" s="92"/>
      <c r="H47" s="93">
        <v>511.0</v>
      </c>
      <c r="I47" s="92"/>
      <c r="J47" s="133">
        <v>1480.0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80.0</v>
      </c>
      <c r="G48" s="93">
        <v>80.0</v>
      </c>
      <c r="H48" s="92"/>
      <c r="I48" s="92"/>
      <c r="J48" s="133">
        <v>1481.0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288.0</v>
      </c>
      <c r="G49" s="92"/>
      <c r="H49" s="93">
        <v>288.0</v>
      </c>
      <c r="I49" s="92"/>
      <c r="J49" s="133">
        <v>1482.0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1614.0</v>
      </c>
      <c r="G50" s="92"/>
      <c r="H50" s="93">
        <v>1614.0</v>
      </c>
      <c r="I50" s="93" t="s">
        <v>69</v>
      </c>
      <c r="J50" s="133">
        <v>1483.0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118.0</v>
      </c>
      <c r="G51" s="93" t="s">
        <v>69</v>
      </c>
      <c r="H51" s="93">
        <v>118.0</v>
      </c>
      <c r="I51" s="92"/>
      <c r="J51" s="133">
        <v>1484.0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259.0</v>
      </c>
      <c r="G52" s="93" t="s">
        <v>69</v>
      </c>
      <c r="H52" s="93">
        <v>259.0</v>
      </c>
      <c r="I52" s="92"/>
      <c r="J52" s="133">
        <v>1485.0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357.0</v>
      </c>
      <c r="G53" s="93">
        <v>357.0</v>
      </c>
      <c r="H53" s="92"/>
      <c r="I53" s="92"/>
      <c r="J53" s="133">
        <v>1486.0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61.0</v>
      </c>
      <c r="G54" s="93">
        <v>61.0</v>
      </c>
      <c r="H54" s="92"/>
      <c r="I54" s="92"/>
      <c r="J54" s="133">
        <v>1487.0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230.0</v>
      </c>
      <c r="G55" s="92"/>
      <c r="H55" s="93">
        <v>230.0</v>
      </c>
      <c r="I55" s="92"/>
      <c r="J55" s="133">
        <v>1488.0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291.0</v>
      </c>
      <c r="G56" s="93">
        <v>291.0</v>
      </c>
      <c r="H56" s="92"/>
      <c r="I56" s="92"/>
      <c r="J56" s="133">
        <v>1489.0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191.0</v>
      </c>
      <c r="G57" s="92"/>
      <c r="H57" s="93">
        <v>191.0</v>
      </c>
      <c r="I57" s="92"/>
      <c r="J57" s="133">
        <v>1490.0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260.0</v>
      </c>
      <c r="G58" s="92"/>
      <c r="H58" s="93">
        <v>260.0</v>
      </c>
      <c r="I58" s="92"/>
      <c r="J58" s="133">
        <v>1491.0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18.0</v>
      </c>
      <c r="G59" s="93">
        <v>18.0</v>
      </c>
      <c r="H59" s="92"/>
      <c r="I59" s="92"/>
      <c r="J59" s="133">
        <v>1492.0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462.0</v>
      </c>
      <c r="G60" s="92"/>
      <c r="H60" s="93">
        <v>462.0</v>
      </c>
      <c r="I60" s="92"/>
      <c r="J60" s="133">
        <v>1493.0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735.0</v>
      </c>
      <c r="G61" s="93">
        <v>735.0</v>
      </c>
      <c r="H61" s="92"/>
      <c r="I61" s="92"/>
      <c r="J61" s="133">
        <v>1494.0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903.0</v>
      </c>
      <c r="G62" s="92"/>
      <c r="H62" s="93">
        <v>903.0</v>
      </c>
      <c r="I62" s="92"/>
      <c r="J62" s="133">
        <v>1495.0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168.0</v>
      </c>
      <c r="G63" s="93">
        <v>168.0</v>
      </c>
      <c r="H63" s="92"/>
      <c r="I63" s="92"/>
      <c r="J63" s="133">
        <v>1496.0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74.0</v>
      </c>
      <c r="G64" s="93">
        <v>74.0</v>
      </c>
      <c r="H64" s="92"/>
      <c r="I64" s="92"/>
      <c r="J64" s="133">
        <v>1497.0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448.0</v>
      </c>
      <c r="G65" s="92"/>
      <c r="H65" s="93">
        <v>448.0</v>
      </c>
      <c r="I65" s="92"/>
      <c r="J65" s="133">
        <v>1498.0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30.0</v>
      </c>
      <c r="G66" s="93">
        <v>30.0</v>
      </c>
      <c r="H66" s="92"/>
      <c r="I66" s="92"/>
      <c r="J66" s="133">
        <v>1499.0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185.0</v>
      </c>
      <c r="G67" s="93">
        <v>185.0</v>
      </c>
      <c r="H67" s="92"/>
      <c r="I67" s="92"/>
      <c r="J67" s="133">
        <v>1500.0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803.0</v>
      </c>
      <c r="G68" s="92"/>
      <c r="H68" s="93">
        <v>803.0</v>
      </c>
      <c r="I68" s="92"/>
      <c r="J68" s="133">
        <v>1501.0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119.0</v>
      </c>
      <c r="G69" s="92"/>
      <c r="H69" s="93">
        <v>119.0</v>
      </c>
      <c r="I69" s="92"/>
      <c r="J69" s="133">
        <v>1502.0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317.0</v>
      </c>
      <c r="G70" s="93">
        <v>317.0</v>
      </c>
      <c r="H70" s="92"/>
      <c r="I70" s="92"/>
      <c r="J70" s="133">
        <v>1503.0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122.0</v>
      </c>
      <c r="G71" s="92"/>
      <c r="H71" s="93">
        <v>122.0</v>
      </c>
      <c r="I71" s="92"/>
      <c r="J71" s="133">
        <v>1504.0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11.0</v>
      </c>
      <c r="G72" s="93">
        <v>11.0</v>
      </c>
      <c r="H72" s="93" t="s">
        <v>69</v>
      </c>
      <c r="I72" s="92"/>
      <c r="J72" s="133">
        <v>1505.0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191.0</v>
      </c>
      <c r="G73" s="93">
        <v>191.0</v>
      </c>
      <c r="H73" s="92"/>
      <c r="I73" s="92"/>
      <c r="J73" s="133">
        <v>1506.0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277.0</v>
      </c>
      <c r="G74" s="92"/>
      <c r="H74" s="93">
        <v>277.0</v>
      </c>
      <c r="I74" s="92"/>
      <c r="J74" s="133">
        <v>1507.0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200.0</v>
      </c>
      <c r="G75" s="92"/>
      <c r="H75" s="93">
        <v>200.0</v>
      </c>
      <c r="I75" s="92"/>
      <c r="J75" s="133">
        <v>1508.0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99.0</v>
      </c>
      <c r="G76" s="93">
        <v>99.0</v>
      </c>
      <c r="H76" s="92"/>
      <c r="I76" s="92"/>
      <c r="J76" s="133">
        <v>1509.0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302.0</v>
      </c>
      <c r="G77" s="93">
        <v>302.0</v>
      </c>
      <c r="H77" s="92"/>
      <c r="I77" s="92"/>
      <c r="J77" s="133">
        <v>1510.0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33">
        <v>1511.0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33">
        <v>1512.0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3">
        <v>1513.0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33">
        <v>1514.0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33">
        <v>1515.0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3">
        <v>1516.0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3">
        <v>1517.0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3">
        <v>1518.0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3">
        <v>1519.0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3">
        <v>1520.0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3">
        <v>1521.0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3">
        <v>1522.0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3">
        <v>1523.0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3">
        <v>1524.0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3">
        <v>1525.0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3">
        <v>1526.0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33">
        <v>1527.0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133">
        <v>1528.0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23746</v>
      </c>
      <c r="G97" s="123">
        <f t="shared" si="4"/>
        <v>9681</v>
      </c>
      <c r="H97" s="123">
        <f t="shared" si="4"/>
        <v>13270</v>
      </c>
      <c r="I97" s="123">
        <f t="shared" si="4"/>
        <v>795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45967.0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25983.0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13270.0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8268.0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26570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18546</v>
      </c>
      <c r="D10" s="24"/>
      <c r="E10" s="43">
        <v>1.0</v>
      </c>
      <c r="F10" s="44">
        <v>190.0</v>
      </c>
      <c r="G10" s="45"/>
      <c r="H10" s="149">
        <v>190.0</v>
      </c>
      <c r="I10" s="45"/>
      <c r="J10" s="133" t="s">
        <v>83</v>
      </c>
      <c r="K10" s="24"/>
      <c r="L10" s="47"/>
      <c r="M10" s="47"/>
      <c r="N10" s="48"/>
      <c r="O10" s="49"/>
      <c r="P10" s="85" t="s">
        <v>94</v>
      </c>
      <c r="Q10" s="51"/>
      <c r="R10" s="52">
        <v>150.0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7295</v>
      </c>
      <c r="D11" s="24"/>
      <c r="E11" s="43">
        <v>2.0</v>
      </c>
      <c r="F11" s="56">
        <v>652.0</v>
      </c>
      <c r="G11" s="150">
        <v>652.0</v>
      </c>
      <c r="H11" s="58"/>
      <c r="I11" s="59"/>
      <c r="J11" s="133">
        <v>1512.0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728</v>
      </c>
      <c r="D12" s="24"/>
      <c r="E12" s="43">
        <v>3.0</v>
      </c>
      <c r="F12" s="63">
        <v>219.0</v>
      </c>
      <c r="G12" s="64"/>
      <c r="H12" s="64">
        <v>219.0</v>
      </c>
      <c r="I12" s="65"/>
      <c r="J12" s="133">
        <v>1513.0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149.0</v>
      </c>
      <c r="G13" s="148">
        <v>149.0</v>
      </c>
      <c r="H13" s="65"/>
      <c r="I13" s="65"/>
      <c r="J13" s="133">
        <v>1514.0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1064.0</v>
      </c>
      <c r="G14" s="151">
        <v>1064.0</v>
      </c>
      <c r="H14" s="65"/>
      <c r="I14" s="65"/>
      <c r="J14" s="133">
        <v>1515.0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1860.0</v>
      </c>
      <c r="G15" s="152">
        <v>1860.0</v>
      </c>
      <c r="H15" s="64"/>
      <c r="I15" s="65"/>
      <c r="J15" s="133">
        <v>1516.0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150</v>
      </c>
      <c r="D16" s="24"/>
      <c r="E16" s="43">
        <v>7.0</v>
      </c>
      <c r="F16" s="56">
        <v>388.0</v>
      </c>
      <c r="G16" s="64" t="s">
        <v>69</v>
      </c>
      <c r="H16" s="64">
        <v>388.0</v>
      </c>
      <c r="I16" s="64" t="s">
        <v>69</v>
      </c>
      <c r="J16" s="133">
        <v>1517.0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150</v>
      </c>
      <c r="D17" s="24"/>
      <c r="E17" s="43">
        <v>8.0</v>
      </c>
      <c r="F17" s="56">
        <v>119.0</v>
      </c>
      <c r="G17" s="153">
        <v>119.0</v>
      </c>
      <c r="H17" s="64"/>
      <c r="I17" s="65"/>
      <c r="J17" s="133">
        <v>1518.0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83.0</v>
      </c>
      <c r="G18" s="152">
        <v>83.0</v>
      </c>
      <c r="H18" s="64"/>
      <c r="I18" s="65"/>
      <c r="J18" s="133">
        <v>1519.0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1985.0</v>
      </c>
      <c r="G19" s="148">
        <v>1985.0</v>
      </c>
      <c r="H19" s="65"/>
      <c r="I19" s="65"/>
      <c r="J19" s="133">
        <v>1520.0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8996</v>
      </c>
      <c r="D20" s="24"/>
      <c r="E20" s="43">
        <v>11.0</v>
      </c>
      <c r="F20" s="56">
        <v>266.0</v>
      </c>
      <c r="G20" s="64"/>
      <c r="H20" s="64">
        <v>266.0</v>
      </c>
      <c r="I20" s="65"/>
      <c r="J20" s="133">
        <v>1521.0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7295</v>
      </c>
      <c r="D21" s="24"/>
      <c r="E21" s="43">
        <v>12.0</v>
      </c>
      <c r="F21" s="56">
        <v>317.0</v>
      </c>
      <c r="G21" s="152">
        <v>317.0</v>
      </c>
      <c r="H21" s="64"/>
      <c r="I21" s="65"/>
      <c r="J21" s="133">
        <v>1522.0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44379</v>
      </c>
      <c r="D22" s="24"/>
      <c r="E22" s="43">
        <v>13.0</v>
      </c>
      <c r="F22" s="56">
        <v>115.0</v>
      </c>
      <c r="G22" s="64">
        <v>20.0</v>
      </c>
      <c r="H22" s="64">
        <v>95.0</v>
      </c>
      <c r="I22" s="154"/>
      <c r="J22" s="155">
        <v>1523.0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>
        <v>299.0</v>
      </c>
      <c r="G23" s="152">
        <v>200.0</v>
      </c>
      <c r="H23" s="64">
        <v>99.0</v>
      </c>
      <c r="I23" s="65"/>
      <c r="J23" s="133">
        <v>1524.0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44379</v>
      </c>
      <c r="D24" s="24"/>
      <c r="E24" s="43">
        <v>15.0</v>
      </c>
      <c r="F24" s="56">
        <v>61.0</v>
      </c>
      <c r="G24" s="152">
        <v>61.0</v>
      </c>
      <c r="H24" s="65"/>
      <c r="I24" s="65"/>
      <c r="J24" s="133">
        <v>1525.0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182.0</v>
      </c>
      <c r="G25" s="152">
        <v>182.0</v>
      </c>
      <c r="H25" s="65"/>
      <c r="I25" s="65"/>
      <c r="J25" s="133">
        <v>1526.0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26570</v>
      </c>
      <c r="D26" s="24"/>
      <c r="E26" s="43">
        <v>17.0</v>
      </c>
      <c r="F26" s="56">
        <v>283.0</v>
      </c>
      <c r="G26" s="64"/>
      <c r="H26" s="64">
        <v>283.0</v>
      </c>
      <c r="I26" s="65"/>
      <c r="J26" s="133">
        <v>1527.0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66.0</v>
      </c>
      <c r="D27" s="24"/>
      <c r="E27" s="43">
        <v>18.0</v>
      </c>
      <c r="F27" s="56">
        <v>161.0</v>
      </c>
      <c r="G27" s="152">
        <v>161.0</v>
      </c>
      <c r="H27" s="65"/>
      <c r="I27" s="65"/>
      <c r="J27" s="133">
        <v>1528.0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402.5757576</v>
      </c>
      <c r="D28" s="24"/>
      <c r="E28" s="43">
        <v>19.0</v>
      </c>
      <c r="F28" s="56">
        <v>267.0</v>
      </c>
      <c r="G28" s="64"/>
      <c r="H28" s="141">
        <v>267.0</v>
      </c>
      <c r="I28" s="64" t="s">
        <v>69</v>
      </c>
      <c r="J28" s="133">
        <v>1529.0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160.0</v>
      </c>
      <c r="G29" s="64"/>
      <c r="H29" s="148">
        <v>161.0</v>
      </c>
      <c r="I29" s="65"/>
      <c r="J29" s="133">
        <v>1530.0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496.0</v>
      </c>
      <c r="G30" s="140">
        <v>496.0</v>
      </c>
      <c r="H30" s="92"/>
      <c r="I30" s="93"/>
      <c r="J30" s="133">
        <v>1531.0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13270</v>
      </c>
      <c r="D31" s="24"/>
      <c r="E31" s="43">
        <v>22.0</v>
      </c>
      <c r="F31" s="56">
        <v>380.0</v>
      </c>
      <c r="G31" s="140">
        <v>380.0</v>
      </c>
      <c r="H31" s="92"/>
      <c r="I31" s="92"/>
      <c r="J31" s="133">
        <v>1532.0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65.0</v>
      </c>
      <c r="G32" s="140">
        <v>65.0</v>
      </c>
      <c r="H32" s="92"/>
      <c r="I32" s="92"/>
      <c r="J32" s="133">
        <v>1533.0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409.0</v>
      </c>
      <c r="G33" s="140">
        <v>409.0</v>
      </c>
      <c r="H33" s="92"/>
      <c r="I33" s="92"/>
      <c r="J33" s="133">
        <v>1534.0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13270.0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315.0</v>
      </c>
      <c r="G34" s="93"/>
      <c r="H34" s="93">
        <v>315.0</v>
      </c>
      <c r="I34" s="92"/>
      <c r="J34" s="133">
        <v>1535.0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79.0</v>
      </c>
      <c r="G35" s="140">
        <v>79.0</v>
      </c>
      <c r="H35" s="93"/>
      <c r="I35" s="92"/>
      <c r="J35" s="133">
        <v>1536.0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17.0</v>
      </c>
      <c r="G36" s="140">
        <v>17.0</v>
      </c>
      <c r="H36" s="93"/>
      <c r="I36" s="92"/>
      <c r="J36" s="133">
        <v>1537.0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812.0</v>
      </c>
      <c r="G37" s="140">
        <v>812.0</v>
      </c>
      <c r="H37" s="92"/>
      <c r="I37" s="92"/>
      <c r="J37" s="133">
        <v>1538.0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102.0</v>
      </c>
      <c r="G38" s="143">
        <v>102.0</v>
      </c>
      <c r="H38" s="92"/>
      <c r="I38" s="92"/>
      <c r="J38" s="133">
        <v>1539.0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639.0</v>
      </c>
      <c r="G39" s="93" t="s">
        <v>69</v>
      </c>
      <c r="H39" s="93"/>
      <c r="I39" s="93">
        <v>639.0</v>
      </c>
      <c r="J39" s="133">
        <v>1540.0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89.0</v>
      </c>
      <c r="G40" s="93"/>
      <c r="H40" s="93"/>
      <c r="I40" s="93">
        <v>89.0</v>
      </c>
      <c r="J40" s="133" t="s">
        <v>95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187.0</v>
      </c>
      <c r="G41" s="140">
        <v>187.0</v>
      </c>
      <c r="H41" s="93"/>
      <c r="I41" s="92"/>
      <c r="J41" s="133">
        <v>1542.0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6.0</v>
      </c>
      <c r="G42" s="143">
        <v>6.0</v>
      </c>
      <c r="H42" s="93"/>
      <c r="I42" s="92"/>
      <c r="J42" s="133">
        <v>1543.0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380.0</v>
      </c>
      <c r="G43" s="93"/>
      <c r="H43" s="93">
        <v>380.0</v>
      </c>
      <c r="I43" s="92"/>
      <c r="J43" s="133">
        <v>1544.0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356.0</v>
      </c>
      <c r="G44" s="143">
        <v>356.0</v>
      </c>
      <c r="H44" s="93"/>
      <c r="I44" s="92"/>
      <c r="J44" s="133">
        <v>1545.0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70.0</v>
      </c>
      <c r="G45" s="93"/>
      <c r="H45" s="93">
        <v>70.0</v>
      </c>
      <c r="I45" s="92"/>
      <c r="J45" s="133">
        <v>1546.0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1313.0</v>
      </c>
      <c r="G46" s="140">
        <v>1313.0</v>
      </c>
      <c r="H46" s="92"/>
      <c r="I46" s="92"/>
      <c r="J46" s="133">
        <v>1547.0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8.0</v>
      </c>
      <c r="G47" s="93"/>
      <c r="H47" s="93">
        <v>8.0</v>
      </c>
      <c r="I47" s="92"/>
      <c r="J47" s="133">
        <v>1548.0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1411.0</v>
      </c>
      <c r="G48" s="92"/>
      <c r="H48" s="93">
        <v>1411.0</v>
      </c>
      <c r="I48" s="92"/>
      <c r="J48" s="133">
        <v>1549.0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298.0</v>
      </c>
      <c r="G49" s="140">
        <v>298.0</v>
      </c>
      <c r="H49" s="92"/>
      <c r="I49" s="92"/>
      <c r="J49" s="133">
        <v>1550.0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600.0</v>
      </c>
      <c r="G50" s="92"/>
      <c r="H50" s="93">
        <v>600.0</v>
      </c>
      <c r="I50" s="92"/>
      <c r="J50" s="133">
        <v>1551.0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199.0</v>
      </c>
      <c r="G51" s="140">
        <v>199.0</v>
      </c>
      <c r="H51" s="92"/>
      <c r="I51" s="92"/>
      <c r="J51" s="133">
        <v>1552.0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60.0</v>
      </c>
      <c r="G52" s="92"/>
      <c r="H52" s="93">
        <v>60.0</v>
      </c>
      <c r="I52" s="92"/>
      <c r="J52" s="133">
        <v>1553.0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44.0</v>
      </c>
      <c r="G53" s="140">
        <v>44.0</v>
      </c>
      <c r="H53" s="92"/>
      <c r="I53" s="92"/>
      <c r="J53" s="133">
        <v>1554.0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86.0</v>
      </c>
      <c r="G54" s="92"/>
      <c r="H54" s="93">
        <v>86.0</v>
      </c>
      <c r="I54" s="92"/>
      <c r="J54" s="133">
        <v>1555.0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52.0</v>
      </c>
      <c r="G55" s="140">
        <v>52.0</v>
      </c>
      <c r="H55" s="92"/>
      <c r="I55" s="92"/>
      <c r="J55" s="133">
        <v>1556.0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620.0</v>
      </c>
      <c r="G56" s="140">
        <v>620.0</v>
      </c>
      <c r="H56" s="92"/>
      <c r="I56" s="92"/>
      <c r="J56" s="133">
        <v>1557.0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145.0</v>
      </c>
      <c r="G57" s="92"/>
      <c r="H57" s="140">
        <v>145.0</v>
      </c>
      <c r="I57" s="92"/>
      <c r="J57" s="133" t="s">
        <v>96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28.0</v>
      </c>
      <c r="G58" s="92"/>
      <c r="H58" s="93">
        <v>28.0</v>
      </c>
      <c r="I58" s="92"/>
      <c r="J58" s="133">
        <v>1559.0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125.0</v>
      </c>
      <c r="G59" s="92"/>
      <c r="H59" s="93">
        <v>125.0</v>
      </c>
      <c r="I59" s="92"/>
      <c r="J59" s="133">
        <v>1560.0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735.0</v>
      </c>
      <c r="G60" s="140">
        <v>735.0</v>
      </c>
      <c r="H60" s="92"/>
      <c r="I60" s="92"/>
      <c r="J60" s="133">
        <v>1561.0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11.0</v>
      </c>
      <c r="G61" s="140">
        <v>11.0</v>
      </c>
      <c r="H61" s="92"/>
      <c r="I61" s="92"/>
      <c r="J61" s="133">
        <v>1562.0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72.0</v>
      </c>
      <c r="G62" s="140">
        <v>72.0</v>
      </c>
      <c r="H62" s="92"/>
      <c r="I62" s="92"/>
      <c r="J62" s="133">
        <v>1563.0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10.0</v>
      </c>
      <c r="G63" s="140">
        <v>10.0</v>
      </c>
      <c r="H63" s="92"/>
      <c r="I63" s="92"/>
      <c r="J63" s="133">
        <v>1564.0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487.0</v>
      </c>
      <c r="G64" s="140">
        <v>487.0</v>
      </c>
      <c r="H64" s="92"/>
      <c r="I64" s="93" t="s">
        <v>69</v>
      </c>
      <c r="J64" s="133" t="s">
        <v>97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290.0</v>
      </c>
      <c r="G65" s="140">
        <v>290.0</v>
      </c>
      <c r="H65" s="92"/>
      <c r="I65" s="93" t="s">
        <v>69</v>
      </c>
      <c r="J65" s="133" t="s">
        <v>98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157.0</v>
      </c>
      <c r="G66" s="140">
        <v>157.0</v>
      </c>
      <c r="H66" s="92"/>
      <c r="I66" s="92"/>
      <c r="J66" s="133">
        <v>1567.0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4.0</v>
      </c>
      <c r="G67" s="140">
        <v>4.0</v>
      </c>
      <c r="H67" s="92"/>
      <c r="I67" s="92"/>
      <c r="J67" s="133">
        <v>1568.0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164.0</v>
      </c>
      <c r="G68" s="92"/>
      <c r="H68" s="93">
        <v>164.0</v>
      </c>
      <c r="I68" s="92"/>
      <c r="J68" s="133">
        <v>1569.0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1100.0</v>
      </c>
      <c r="G69" s="140">
        <v>1100.0</v>
      </c>
      <c r="H69" s="93"/>
      <c r="I69" s="92"/>
      <c r="J69" s="133">
        <v>1570.0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50.0</v>
      </c>
      <c r="G70" s="140">
        <v>50.0</v>
      </c>
      <c r="H70" s="92"/>
      <c r="I70" s="92"/>
      <c r="J70" s="133">
        <v>1571.0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867.0</v>
      </c>
      <c r="G71" s="92"/>
      <c r="H71" s="93">
        <v>867.0</v>
      </c>
      <c r="I71" s="92"/>
      <c r="J71" s="133">
        <v>1572.0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3300.0</v>
      </c>
      <c r="G72" s="140">
        <v>3300.0</v>
      </c>
      <c r="H72" s="92"/>
      <c r="I72" s="92"/>
      <c r="J72" s="133">
        <v>1573.0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1058.0</v>
      </c>
      <c r="G73" s="92"/>
      <c r="H73" s="93">
        <v>1058.0</v>
      </c>
      <c r="I73" s="92"/>
      <c r="J73" s="133">
        <v>1574.0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10.0</v>
      </c>
      <c r="G74" s="92"/>
      <c r="H74" s="156">
        <v>10.0</v>
      </c>
      <c r="I74" s="92"/>
      <c r="J74" s="133">
        <v>1575.0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44.0</v>
      </c>
      <c r="G75" s="140">
        <v>44.0</v>
      </c>
      <c r="H75" s="92"/>
      <c r="I75" s="92"/>
      <c r="J75" s="133">
        <v>1576.0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3">
        <v>-2.0</v>
      </c>
      <c r="H76" s="92"/>
      <c r="I76" s="92"/>
      <c r="J76" s="133">
        <v>1577.0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33">
        <v>1578.0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33">
        <v>1579.0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33">
        <v>1580.0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3">
        <v>1581.0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33">
        <v>1582.0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33">
        <v>1583.0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3">
        <v>1584.0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3">
        <v>1585.0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3">
        <v>1586.0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3">
        <v>1587.0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3">
        <v>1588.0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3">
        <v>1589.0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3">
        <v>1590.0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3">
        <v>1591.0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3">
        <v>1592.0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3">
        <v>1593.0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3">
        <v>1594.0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33">
        <v>1595.0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26570</v>
      </c>
      <c r="G97" s="123">
        <f t="shared" si="4"/>
        <v>18546</v>
      </c>
      <c r="H97" s="123">
        <f t="shared" si="4"/>
        <v>7295</v>
      </c>
      <c r="I97" s="123">
        <f t="shared" si="4"/>
        <v>728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45968.0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44379.0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7295.0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8996.0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23048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15190</v>
      </c>
      <c r="D10" s="24"/>
      <c r="E10" s="43">
        <v>1.0</v>
      </c>
      <c r="F10" s="44">
        <v>166.0</v>
      </c>
      <c r="G10" s="45">
        <v>166.0</v>
      </c>
      <c r="H10" s="45"/>
      <c r="I10" s="45"/>
      <c r="J10" s="133">
        <v>1577.0</v>
      </c>
      <c r="K10" s="24"/>
      <c r="L10" s="47"/>
      <c r="M10" s="47"/>
      <c r="N10" s="48"/>
      <c r="O10" s="49"/>
      <c r="P10" s="85" t="s">
        <v>99</v>
      </c>
      <c r="Q10" s="51"/>
      <c r="R10" s="52">
        <v>260.0</v>
      </c>
      <c r="S10" s="53"/>
      <c r="T10" s="54"/>
      <c r="U10" s="55"/>
      <c r="V10" s="24"/>
      <c r="W10" s="47">
        <v>111.0</v>
      </c>
      <c r="X10" s="47"/>
      <c r="Y10" s="47" t="s">
        <v>100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7865</v>
      </c>
      <c r="D11" s="24"/>
      <c r="E11" s="43">
        <v>2.0</v>
      </c>
      <c r="F11" s="56">
        <v>300.0</v>
      </c>
      <c r="G11" s="57">
        <v>300.0</v>
      </c>
      <c r="H11" s="58"/>
      <c r="I11" s="59"/>
      <c r="J11" s="133">
        <v>1578.0</v>
      </c>
      <c r="K11" s="24"/>
      <c r="L11" s="48"/>
      <c r="M11" s="48"/>
      <c r="N11" s="48"/>
      <c r="O11" s="49"/>
      <c r="P11" s="72" t="s">
        <v>85</v>
      </c>
      <c r="Q11" s="51"/>
      <c r="R11" s="52">
        <v>20.0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>
        <v>149.0</v>
      </c>
      <c r="G12" s="64">
        <v>149.0</v>
      </c>
      <c r="H12" s="64"/>
      <c r="I12" s="65"/>
      <c r="J12" s="133">
        <v>1579.0</v>
      </c>
      <c r="K12" s="24"/>
      <c r="L12" s="48"/>
      <c r="M12" s="48"/>
      <c r="N12" s="48"/>
      <c r="O12" s="49"/>
      <c r="P12" s="72" t="s">
        <v>101</v>
      </c>
      <c r="Q12" s="51"/>
      <c r="R12" s="52">
        <v>1000.0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170.0</v>
      </c>
      <c r="G13" s="64">
        <v>170.0</v>
      </c>
      <c r="H13" s="65"/>
      <c r="I13" s="65"/>
      <c r="J13" s="133">
        <v>1580.0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307.0</v>
      </c>
      <c r="G14" s="64"/>
      <c r="H14" s="148">
        <v>311.0</v>
      </c>
      <c r="I14" s="65"/>
      <c r="J14" s="133">
        <v>1581.0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111</v>
      </c>
      <c r="D15" s="24"/>
      <c r="E15" s="43">
        <v>6.0</v>
      </c>
      <c r="F15" s="56">
        <v>277.0</v>
      </c>
      <c r="G15" s="64">
        <v>277.0</v>
      </c>
      <c r="H15" s="64"/>
      <c r="I15" s="65"/>
      <c r="J15" s="133">
        <v>1582.0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1280</v>
      </c>
      <c r="D16" s="24"/>
      <c r="E16" s="43">
        <v>7.0</v>
      </c>
      <c r="F16" s="56">
        <v>219.0</v>
      </c>
      <c r="G16" s="64">
        <v>219.0</v>
      </c>
      <c r="H16" s="64"/>
      <c r="I16" s="65"/>
      <c r="J16" s="133">
        <v>1583.0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1280</v>
      </c>
      <c r="D17" s="24"/>
      <c r="E17" s="43">
        <v>8.0</v>
      </c>
      <c r="F17" s="56">
        <v>103.0</v>
      </c>
      <c r="G17" s="64">
        <v>103.0</v>
      </c>
      <c r="H17" s="64"/>
      <c r="I17" s="65"/>
      <c r="J17" s="133">
        <v>1584.0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666.0</v>
      </c>
      <c r="G18" s="64">
        <v>666.0</v>
      </c>
      <c r="H18" s="64"/>
      <c r="I18" s="65"/>
      <c r="J18" s="133">
        <v>1585.0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86.0</v>
      </c>
      <c r="G19" s="64">
        <v>86.0</v>
      </c>
      <c r="H19" s="65"/>
      <c r="I19" s="65"/>
      <c r="J19" s="133">
        <v>1586.0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8996</v>
      </c>
      <c r="D20" s="24"/>
      <c r="E20" s="43">
        <v>11.0</v>
      </c>
      <c r="F20" s="56">
        <v>915.0</v>
      </c>
      <c r="G20" s="64" t="s">
        <v>69</v>
      </c>
      <c r="H20" s="64">
        <v>915.0</v>
      </c>
      <c r="I20" s="65"/>
      <c r="J20" s="133">
        <v>1587.0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7865</v>
      </c>
      <c r="D21" s="24"/>
      <c r="E21" s="43">
        <v>12.0</v>
      </c>
      <c r="F21" s="56">
        <v>180.0</v>
      </c>
      <c r="G21" s="64">
        <v>180.0</v>
      </c>
      <c r="H21" s="64"/>
      <c r="I21" s="65"/>
      <c r="J21" s="133">
        <v>1588.0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58289</v>
      </c>
      <c r="D22" s="24"/>
      <c r="E22" s="43">
        <v>13.0</v>
      </c>
      <c r="F22" s="56">
        <v>70.0</v>
      </c>
      <c r="G22" s="64"/>
      <c r="H22" s="64">
        <v>70.0</v>
      </c>
      <c r="I22" s="65"/>
      <c r="J22" s="133">
        <v>1589.0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58622.0</v>
      </c>
      <c r="D23" s="24"/>
      <c r="E23" s="43">
        <v>14.0</v>
      </c>
      <c r="F23" s="56">
        <v>334.0</v>
      </c>
      <c r="G23" s="64">
        <v>334.0</v>
      </c>
      <c r="H23" s="65"/>
      <c r="I23" s="65"/>
      <c r="J23" s="133">
        <v>1590.0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-333</v>
      </c>
      <c r="D24" s="24"/>
      <c r="E24" s="43">
        <v>15.0</v>
      </c>
      <c r="F24" s="56">
        <v>150.0</v>
      </c>
      <c r="G24" s="64">
        <v>150.0</v>
      </c>
      <c r="H24" s="65"/>
      <c r="I24" s="65"/>
      <c r="J24" s="133">
        <v>1591.0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108.0</v>
      </c>
      <c r="G25" s="64">
        <v>108.0</v>
      </c>
      <c r="H25" s="65"/>
      <c r="I25" s="65"/>
      <c r="J25" s="133">
        <v>1592.0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23159</v>
      </c>
      <c r="D26" s="24"/>
      <c r="E26" s="43">
        <v>17.0</v>
      </c>
      <c r="F26" s="56">
        <v>179.0</v>
      </c>
      <c r="G26" s="64">
        <v>179.0</v>
      </c>
      <c r="H26" s="65"/>
      <c r="I26" s="65"/>
      <c r="J26" s="133">
        <v>1593.0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66.0</v>
      </c>
      <c r="D27" s="24"/>
      <c r="E27" s="43">
        <v>18.0</v>
      </c>
      <c r="F27" s="56">
        <v>10.0</v>
      </c>
      <c r="G27" s="64">
        <v>10.0</v>
      </c>
      <c r="H27" s="65"/>
      <c r="I27" s="65"/>
      <c r="J27" s="133">
        <v>1594.0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350.8939394</v>
      </c>
      <c r="D28" s="24"/>
      <c r="E28" s="43">
        <v>19.0</v>
      </c>
      <c r="F28" s="56">
        <v>186.0</v>
      </c>
      <c r="G28" s="64" t="s">
        <v>69</v>
      </c>
      <c r="H28" s="64">
        <v>186.0</v>
      </c>
      <c r="I28" s="65"/>
      <c r="J28" s="133">
        <v>1595.0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13.0</v>
      </c>
      <c r="G29" s="64">
        <v>13.0</v>
      </c>
      <c r="H29" s="93" t="s">
        <v>69</v>
      </c>
      <c r="I29" s="65"/>
      <c r="J29" s="133">
        <v>1596.0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18.0</v>
      </c>
      <c r="G30" s="92"/>
      <c r="H30" s="128">
        <v>20.0</v>
      </c>
      <c r="I30" s="93"/>
      <c r="J30" s="133">
        <v>1597.0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7295</v>
      </c>
      <c r="D31" s="24"/>
      <c r="E31" s="43">
        <v>22.0</v>
      </c>
      <c r="F31" s="56">
        <v>58.0</v>
      </c>
      <c r="G31" s="93" t="s">
        <v>69</v>
      </c>
      <c r="H31" s="93">
        <v>58.0</v>
      </c>
      <c r="I31" s="92"/>
      <c r="J31" s="133">
        <v>1598.0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1280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166.0</v>
      </c>
      <c r="G32" s="93">
        <v>166.0</v>
      </c>
      <c r="H32" s="92"/>
      <c r="I32" s="92"/>
      <c r="J32" s="133">
        <v>1599.0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522.0</v>
      </c>
      <c r="G33" s="93" t="s">
        <v>69</v>
      </c>
      <c r="H33" s="93">
        <v>522.0</v>
      </c>
      <c r="I33" s="92"/>
      <c r="J33" s="133">
        <v>1600.0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7295.0</v>
      </c>
      <c r="T33" s="101"/>
      <c r="U33" s="55"/>
      <c r="V33" s="24"/>
      <c r="W33" s="104">
        <f t="shared" ref="W33:X33" si="3">sum(W10:W32)</f>
        <v>111</v>
      </c>
      <c r="X33" s="104">
        <f t="shared" si="3"/>
        <v>0</v>
      </c>
      <c r="Y33" s="104">
        <f>W33+X33</f>
        <v>111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396.0</v>
      </c>
      <c r="G34" s="93">
        <v>396.0</v>
      </c>
      <c r="H34" s="92"/>
      <c r="I34" s="92"/>
      <c r="J34" s="133">
        <v>1601.0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212.0</v>
      </c>
      <c r="G35" s="93">
        <v>212.0</v>
      </c>
      <c r="H35" s="93"/>
      <c r="I35" s="92"/>
      <c r="J35" s="133">
        <v>1602.0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40.0</v>
      </c>
      <c r="G36" s="93">
        <v>40.0</v>
      </c>
      <c r="H36" s="93"/>
      <c r="I36" s="92"/>
      <c r="J36" s="133">
        <v>1603.0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30.0</v>
      </c>
      <c r="G37" s="93"/>
      <c r="H37" s="93">
        <v>30.0</v>
      </c>
      <c r="I37" s="92"/>
      <c r="J37" s="133">
        <v>1604.0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10.0</v>
      </c>
      <c r="G38" s="93">
        <v>10.0</v>
      </c>
      <c r="H38" s="92"/>
      <c r="I38" s="92"/>
      <c r="J38" s="133">
        <v>1605.0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45.0</v>
      </c>
      <c r="G39" s="93">
        <v>45.0</v>
      </c>
      <c r="H39" s="93"/>
      <c r="I39" s="92"/>
      <c r="J39" s="133">
        <v>1606.0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424.0</v>
      </c>
      <c r="G40" s="93">
        <v>424.0</v>
      </c>
      <c r="H40" s="93"/>
      <c r="I40" s="92"/>
      <c r="J40" s="133">
        <v>1607.0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216.0</v>
      </c>
      <c r="G41" s="93">
        <v>216.0</v>
      </c>
      <c r="H41" s="93"/>
      <c r="I41" s="92"/>
      <c r="J41" s="133">
        <v>1608.0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481.0</v>
      </c>
      <c r="G42" s="93"/>
      <c r="H42" s="93">
        <v>481.0</v>
      </c>
      <c r="I42" s="92"/>
      <c r="J42" s="133">
        <v>1609.0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224.0</v>
      </c>
      <c r="G43" s="93">
        <v>224.0</v>
      </c>
      <c r="H43" s="92"/>
      <c r="I43" s="92"/>
      <c r="J43" s="133">
        <v>1610.0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2169.0</v>
      </c>
      <c r="G44" s="93">
        <v>2169.0</v>
      </c>
      <c r="H44" s="93"/>
      <c r="I44" s="92"/>
      <c r="J44" s="133">
        <v>1611.0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730.0</v>
      </c>
      <c r="G45" s="93" t="s">
        <v>69</v>
      </c>
      <c r="H45" s="93">
        <v>730.0</v>
      </c>
      <c r="I45" s="92"/>
      <c r="J45" s="133">
        <v>1612.0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291.0</v>
      </c>
      <c r="G46" s="93">
        <v>291.0</v>
      </c>
      <c r="H46" s="92"/>
      <c r="I46" s="93" t="s">
        <v>69</v>
      </c>
      <c r="J46" s="133">
        <v>1613.0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829.0</v>
      </c>
      <c r="G47" s="92"/>
      <c r="H47" s="93">
        <v>829.0</v>
      </c>
      <c r="I47" s="92"/>
      <c r="J47" s="133">
        <v>1614.0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11.0</v>
      </c>
      <c r="G48" s="92"/>
      <c r="H48" s="93">
        <v>11.0</v>
      </c>
      <c r="I48" s="92"/>
      <c r="J48" s="133">
        <v>1615.0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4428.0</v>
      </c>
      <c r="G49" s="93">
        <v>4428.0</v>
      </c>
      <c r="H49" s="92"/>
      <c r="I49" s="92"/>
      <c r="J49" s="133">
        <v>1616.0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420.0</v>
      </c>
      <c r="G50" s="93">
        <v>160.0</v>
      </c>
      <c r="H50" s="93">
        <v>260.0</v>
      </c>
      <c r="I50" s="92"/>
      <c r="J50" s="133">
        <v>1617.0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10.0</v>
      </c>
      <c r="G51" s="93">
        <v>10.0</v>
      </c>
      <c r="H51" s="92"/>
      <c r="I51" s="92"/>
      <c r="J51" s="133">
        <v>1618.0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1009.0</v>
      </c>
      <c r="G52" s="92"/>
      <c r="H52" s="93">
        <v>1009.0</v>
      </c>
      <c r="I52" s="92"/>
      <c r="J52" s="133">
        <v>1619.0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252.0</v>
      </c>
      <c r="G53" s="92"/>
      <c r="H53" s="93">
        <v>252.0</v>
      </c>
      <c r="I53" s="92"/>
      <c r="J53" s="133">
        <v>1620.0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240.0</v>
      </c>
      <c r="G54" s="92"/>
      <c r="H54" s="93">
        <v>240.0</v>
      </c>
      <c r="I54" s="92"/>
      <c r="J54" s="133">
        <v>1621.0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96.0</v>
      </c>
      <c r="G55" s="93">
        <v>96.0</v>
      </c>
      <c r="H55" s="92"/>
      <c r="I55" s="92"/>
      <c r="J55" s="133">
        <v>1622.0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99.0</v>
      </c>
      <c r="G56" s="92"/>
      <c r="H56" s="93">
        <v>99.0</v>
      </c>
      <c r="I56" s="92"/>
      <c r="J56" s="133">
        <v>1623.0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196.0</v>
      </c>
      <c r="G57" s="92"/>
      <c r="H57" s="93">
        <v>196.0</v>
      </c>
      <c r="I57" s="92"/>
      <c r="J57" s="133">
        <v>1624.0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118.0</v>
      </c>
      <c r="G58" s="93">
        <v>118.0</v>
      </c>
      <c r="H58" s="92"/>
      <c r="I58" s="92"/>
      <c r="J58" s="133">
        <v>1625.0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156.0</v>
      </c>
      <c r="G59" s="93">
        <v>156.0</v>
      </c>
      <c r="H59" s="92"/>
      <c r="I59" s="92"/>
      <c r="J59" s="133">
        <v>1626.0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310.0</v>
      </c>
      <c r="G60" s="93">
        <v>310.0</v>
      </c>
      <c r="H60" s="92"/>
      <c r="I60" s="92"/>
      <c r="J60" s="133">
        <v>1627.0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300.0</v>
      </c>
      <c r="G61" s="93">
        <v>300.0</v>
      </c>
      <c r="H61" s="92"/>
      <c r="I61" s="92"/>
      <c r="J61" s="133">
        <v>1628.0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239.0</v>
      </c>
      <c r="G62" s="93">
        <v>239.0</v>
      </c>
      <c r="H62" s="92"/>
      <c r="I62" s="92"/>
      <c r="J62" s="133">
        <v>1629.0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570.0</v>
      </c>
      <c r="G63" s="93">
        <v>500.0</v>
      </c>
      <c r="H63" s="93">
        <v>70.0</v>
      </c>
      <c r="I63" s="92"/>
      <c r="J63" s="133">
        <v>1630.0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17.0</v>
      </c>
      <c r="G64" s="93">
        <v>17.0</v>
      </c>
      <c r="H64" s="92"/>
      <c r="I64" s="92"/>
      <c r="J64" s="133">
        <v>1631.0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92.0</v>
      </c>
      <c r="G65" s="93">
        <v>92.0</v>
      </c>
      <c r="H65" s="92"/>
      <c r="I65" s="92"/>
      <c r="J65" s="133">
        <v>1632.0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1000.0</v>
      </c>
      <c r="G66" s="93">
        <v>1000.0</v>
      </c>
      <c r="H66" s="92"/>
      <c r="I66" s="92"/>
      <c r="J66" s="133">
        <v>1633.0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692.0</v>
      </c>
      <c r="G67" s="92"/>
      <c r="H67" s="93">
        <v>692.0</v>
      </c>
      <c r="I67" s="92"/>
      <c r="J67" s="133">
        <v>1634.0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154.0</v>
      </c>
      <c r="G68" s="92"/>
      <c r="H68" s="93">
        <v>154.0</v>
      </c>
      <c r="I68" s="92"/>
      <c r="J68" s="133">
        <v>1635.0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180.0</v>
      </c>
      <c r="G69" s="93">
        <v>180.0</v>
      </c>
      <c r="H69" s="92"/>
      <c r="I69" s="92"/>
      <c r="J69" s="133">
        <v>1636.0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81.0</v>
      </c>
      <c r="G70" s="93">
        <v>81.0</v>
      </c>
      <c r="H70" s="92"/>
      <c r="I70" s="92"/>
      <c r="J70" s="133">
        <v>1637.0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 t="s">
        <v>69</v>
      </c>
      <c r="G71" s="92"/>
      <c r="H71" s="92"/>
      <c r="I71" s="93" t="s">
        <v>69</v>
      </c>
      <c r="J71" s="133">
        <v>1638.0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165.0</v>
      </c>
      <c r="G72" s="93">
        <v>165.0</v>
      </c>
      <c r="H72" s="92"/>
      <c r="I72" s="92"/>
      <c r="J72" s="133">
        <v>1639.0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531.0</v>
      </c>
      <c r="G73" s="92"/>
      <c r="H73" s="93">
        <v>531.0</v>
      </c>
      <c r="I73" s="92"/>
      <c r="J73" s="133">
        <v>1640.0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199.0</v>
      </c>
      <c r="G74" s="92"/>
      <c r="H74" s="93">
        <v>199.0</v>
      </c>
      <c r="I74" s="92"/>
      <c r="J74" s="133">
        <v>1641.0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145.0</v>
      </c>
      <c r="G75" s="93">
        <v>145.0</v>
      </c>
      <c r="H75" s="93"/>
      <c r="I75" s="92"/>
      <c r="J75" s="133">
        <v>1642.0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3">
        <v>1.0</v>
      </c>
      <c r="H76" s="92"/>
      <c r="I76" s="92"/>
      <c r="J76" s="133">
        <v>1643.0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33">
        <v>1644.0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33">
        <v>1645.0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33">
        <v>1646.0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3">
        <v>1647.0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33">
        <v>1648.0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33">
        <v>1649.0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3">
        <v>1650.0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3">
        <v>1651.0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3">
        <v>1652.0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3">
        <v>1653.0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3">
        <v>1654.0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3">
        <v>1655.0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3">
        <v>1656.0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3">
        <v>1657.0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23159</v>
      </c>
      <c r="G97" s="123">
        <f t="shared" si="4"/>
        <v>15301</v>
      </c>
      <c r="H97" s="123">
        <f t="shared" si="4"/>
        <v>7865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45969.0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58289.0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7865.0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8996.0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30810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9634</v>
      </c>
      <c r="D10" s="24"/>
      <c r="E10" s="43">
        <v>1.0</v>
      </c>
      <c r="F10" s="44">
        <v>51.0</v>
      </c>
      <c r="G10" s="45">
        <v>51.0</v>
      </c>
      <c r="H10" s="45"/>
      <c r="I10" s="45"/>
      <c r="J10" s="133">
        <v>1643.0</v>
      </c>
      <c r="K10" s="24"/>
      <c r="L10" s="47"/>
      <c r="M10" s="47"/>
      <c r="N10" s="48"/>
      <c r="O10" s="49"/>
      <c r="P10" s="85" t="s">
        <v>102</v>
      </c>
      <c r="Q10" s="51"/>
      <c r="R10" s="52">
        <v>110.0</v>
      </c>
      <c r="S10" s="53"/>
      <c r="T10" s="54"/>
      <c r="U10" s="55"/>
      <c r="V10" s="24"/>
      <c r="W10" s="47">
        <v>245.0</v>
      </c>
      <c r="X10" s="47"/>
      <c r="Y10" s="47" t="s">
        <v>103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11562</v>
      </c>
      <c r="D11" s="24"/>
      <c r="E11" s="43">
        <v>2.0</v>
      </c>
      <c r="F11" s="56">
        <v>198.0</v>
      </c>
      <c r="G11" s="57"/>
      <c r="H11" s="58">
        <v>198.0</v>
      </c>
      <c r="I11" s="59"/>
      <c r="J11" s="133">
        <v>1644.0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9616</v>
      </c>
      <c r="D12" s="24"/>
      <c r="E12" s="43">
        <v>3.0</v>
      </c>
      <c r="F12" s="63">
        <v>294.0</v>
      </c>
      <c r="G12" s="64">
        <v>294.0</v>
      </c>
      <c r="H12" s="64"/>
      <c r="I12" s="65"/>
      <c r="J12" s="133">
        <v>1645.0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293.0</v>
      </c>
      <c r="G13" s="64">
        <v>293.0</v>
      </c>
      <c r="H13" s="65"/>
      <c r="I13" s="65"/>
      <c r="J13" s="133">
        <v>1646.0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30.0</v>
      </c>
      <c r="G14" s="64">
        <v>30.0</v>
      </c>
      <c r="H14" s="65"/>
      <c r="I14" s="65"/>
      <c r="J14" s="133">
        <v>1647.0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245</v>
      </c>
      <c r="D15" s="24"/>
      <c r="E15" s="43">
        <v>6.0</v>
      </c>
      <c r="F15" s="56">
        <v>230.0</v>
      </c>
      <c r="G15" s="64">
        <v>230.0</v>
      </c>
      <c r="H15" s="64"/>
      <c r="I15" s="65"/>
      <c r="J15" s="133">
        <v>1648.0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110</v>
      </c>
      <c r="D16" s="24"/>
      <c r="E16" s="43">
        <v>7.0</v>
      </c>
      <c r="F16" s="56">
        <v>374.0</v>
      </c>
      <c r="G16" s="64"/>
      <c r="H16" s="64">
        <v>374.0</v>
      </c>
      <c r="I16" s="65"/>
      <c r="J16" s="133">
        <v>1649.0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110</v>
      </c>
      <c r="D17" s="24"/>
      <c r="E17" s="43">
        <v>8.0</v>
      </c>
      <c r="F17" s="56">
        <v>563.0</v>
      </c>
      <c r="G17" s="65"/>
      <c r="H17" s="64">
        <v>563.0</v>
      </c>
      <c r="I17" s="65"/>
      <c r="J17" s="133">
        <v>1650.0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20.0</v>
      </c>
      <c r="G18" s="64">
        <v>20.0</v>
      </c>
      <c r="H18" s="64"/>
      <c r="I18" s="65"/>
      <c r="J18" s="133">
        <v>1651.0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1618.0</v>
      </c>
      <c r="G19" s="64">
        <v>1618.0</v>
      </c>
      <c r="H19" s="65"/>
      <c r="I19" s="65"/>
      <c r="J19" s="133">
        <v>1652.0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18612</v>
      </c>
      <c r="D20" s="24"/>
      <c r="E20" s="43">
        <v>11.0</v>
      </c>
      <c r="F20" s="56">
        <v>12.0</v>
      </c>
      <c r="G20" s="64">
        <v>12.0</v>
      </c>
      <c r="H20" s="64"/>
      <c r="I20" s="65"/>
      <c r="J20" s="133">
        <v>1653.0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11562</v>
      </c>
      <c r="D21" s="24"/>
      <c r="E21" s="43">
        <v>12.0</v>
      </c>
      <c r="F21" s="56">
        <v>6.0</v>
      </c>
      <c r="G21" s="65"/>
      <c r="H21" s="64">
        <v>6.0</v>
      </c>
      <c r="I21" s="65"/>
      <c r="J21" s="133">
        <v>1654.0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67813</v>
      </c>
      <c r="D22" s="24"/>
      <c r="E22" s="43">
        <v>13.0</v>
      </c>
      <c r="F22" s="56">
        <v>1985.0</v>
      </c>
      <c r="G22" s="64"/>
      <c r="H22" s="64">
        <v>1985.0</v>
      </c>
      <c r="I22" s="65"/>
      <c r="J22" s="133">
        <v>1655.0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68146.0</v>
      </c>
      <c r="D23" s="24"/>
      <c r="E23" s="43">
        <v>14.0</v>
      </c>
      <c r="F23" s="56">
        <v>246.0</v>
      </c>
      <c r="G23" s="64">
        <v>246.0</v>
      </c>
      <c r="H23" s="65"/>
      <c r="I23" s="65"/>
      <c r="J23" s="133">
        <v>1656.0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-333</v>
      </c>
      <c r="D24" s="24"/>
      <c r="E24" s="43">
        <v>15.0</v>
      </c>
      <c r="F24" s="56">
        <v>437.0</v>
      </c>
      <c r="G24" s="64"/>
      <c r="H24" s="64">
        <v>437.0</v>
      </c>
      <c r="I24" s="65"/>
      <c r="J24" s="133">
        <v>1657.0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278.0</v>
      </c>
      <c r="G25" s="64"/>
      <c r="H25" s="64">
        <v>278.0</v>
      </c>
      <c r="I25" s="65"/>
      <c r="J25" s="133">
        <v>1658.0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31055</v>
      </c>
      <c r="D26" s="24"/>
      <c r="E26" s="43">
        <v>17.0</v>
      </c>
      <c r="F26" s="56">
        <v>4.0</v>
      </c>
      <c r="G26" s="64"/>
      <c r="H26" s="64">
        <v>4.0</v>
      </c>
      <c r="I26" s="65"/>
      <c r="J26" s="133">
        <v>1659.0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67.0</v>
      </c>
      <c r="D27" s="24"/>
      <c r="E27" s="43">
        <v>18.0</v>
      </c>
      <c r="F27" s="56">
        <v>187.0</v>
      </c>
      <c r="G27" s="64"/>
      <c r="H27" s="64">
        <v>187.0</v>
      </c>
      <c r="I27" s="65"/>
      <c r="J27" s="133">
        <v>1660.0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463.5074627</v>
      </c>
      <c r="D28" s="24"/>
      <c r="E28" s="43">
        <v>19.0</v>
      </c>
      <c r="F28" s="56">
        <v>44.0</v>
      </c>
      <c r="G28" s="64">
        <v>44.0</v>
      </c>
      <c r="H28" s="65"/>
      <c r="I28" s="65"/>
      <c r="J28" s="133">
        <v>1661.0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211.0</v>
      </c>
      <c r="G29" s="64">
        <v>211.0</v>
      </c>
      <c r="H29" s="65"/>
      <c r="I29" s="65"/>
      <c r="J29" s="133">
        <v>1662.0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239.0</v>
      </c>
      <c r="G30" s="93">
        <v>239.0</v>
      </c>
      <c r="H30" s="92"/>
      <c r="I30" s="93"/>
      <c r="J30" s="133">
        <v>1663.0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7865</v>
      </c>
      <c r="D31" s="24"/>
      <c r="E31" s="43">
        <v>22.0</v>
      </c>
      <c r="F31" s="56">
        <v>83.0</v>
      </c>
      <c r="G31" s="93"/>
      <c r="H31" s="93">
        <v>83.0</v>
      </c>
      <c r="I31" s="92"/>
      <c r="J31" s="133">
        <v>1664.0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110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151.0</v>
      </c>
      <c r="G32" s="93"/>
      <c r="H32" s="93">
        <v>151.0</v>
      </c>
      <c r="I32" s="92"/>
      <c r="J32" s="133">
        <v>1665.0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1058.0</v>
      </c>
      <c r="G33" s="93"/>
      <c r="H33" s="93">
        <v>1058.0</v>
      </c>
      <c r="I33" s="92"/>
      <c r="J33" s="133">
        <v>1666.0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7865.0</v>
      </c>
      <c r="T33" s="101"/>
      <c r="U33" s="55"/>
      <c r="V33" s="24"/>
      <c r="W33" s="104">
        <f t="shared" ref="W33:X33" si="3">sum(W10:W32)</f>
        <v>245</v>
      </c>
      <c r="X33" s="104">
        <f t="shared" si="3"/>
        <v>0</v>
      </c>
      <c r="Y33" s="104">
        <f>W33+X33</f>
        <v>245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105.0</v>
      </c>
      <c r="G34" s="93">
        <v>105.0</v>
      </c>
      <c r="H34" s="92"/>
      <c r="I34" s="92"/>
      <c r="J34" s="133">
        <v>1667.0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539.0</v>
      </c>
      <c r="G35" s="93">
        <v>500.0</v>
      </c>
      <c r="H35" s="93">
        <v>39.0</v>
      </c>
      <c r="I35" s="92"/>
      <c r="J35" s="133">
        <v>1668.0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59.0</v>
      </c>
      <c r="G36" s="93">
        <v>59.0</v>
      </c>
      <c r="H36" s="93"/>
      <c r="I36" s="92"/>
      <c r="J36" s="133">
        <v>1669.0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1480.0</v>
      </c>
      <c r="G37" s="93">
        <v>1480.0</v>
      </c>
      <c r="H37" s="92"/>
      <c r="I37" s="92"/>
      <c r="J37" s="133">
        <v>1670.0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238.0</v>
      </c>
      <c r="G38" s="93">
        <v>238.0</v>
      </c>
      <c r="H38" s="92"/>
      <c r="I38" s="92"/>
      <c r="J38" s="133">
        <v>1671.0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314.0</v>
      </c>
      <c r="G39" s="93"/>
      <c r="H39" s="93">
        <v>314.0</v>
      </c>
      <c r="I39" s="92"/>
      <c r="J39" s="133">
        <v>1672.0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84.0</v>
      </c>
      <c r="G40" s="93">
        <v>84.0</v>
      </c>
      <c r="H40" s="93"/>
      <c r="I40" s="92"/>
      <c r="J40" s="133">
        <v>1673.0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539.0</v>
      </c>
      <c r="G41" s="93" t="s">
        <v>69</v>
      </c>
      <c r="H41" s="93">
        <v>539.0</v>
      </c>
      <c r="I41" s="92"/>
      <c r="J41" s="133">
        <v>1674.0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151.0</v>
      </c>
      <c r="G42" s="93">
        <v>151.0</v>
      </c>
      <c r="H42" s="93"/>
      <c r="I42" s="92"/>
      <c r="J42" s="133">
        <v>1675.0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696.0</v>
      </c>
      <c r="G43" s="93">
        <v>696.0</v>
      </c>
      <c r="H43" s="92"/>
      <c r="I43" s="92"/>
      <c r="J43" s="133">
        <v>1676.0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170.0</v>
      </c>
      <c r="G44" s="93">
        <v>170.0</v>
      </c>
      <c r="H44" s="93"/>
      <c r="I44" s="92"/>
      <c r="J44" s="133">
        <v>1677.0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582.0</v>
      </c>
      <c r="G45" s="93"/>
      <c r="H45" s="93">
        <v>582.0</v>
      </c>
      <c r="I45" s="92"/>
      <c r="J45" s="133">
        <v>1678.0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423.0</v>
      </c>
      <c r="G46" s="93">
        <v>423.0</v>
      </c>
      <c r="H46" s="92"/>
      <c r="I46" s="92"/>
      <c r="J46" s="133">
        <v>1679.0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141.0</v>
      </c>
      <c r="G47" s="93">
        <v>141.0</v>
      </c>
      <c r="H47" s="93"/>
      <c r="I47" s="92"/>
      <c r="J47" s="133">
        <v>1680.0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219.0</v>
      </c>
      <c r="G48" s="93">
        <v>219.0</v>
      </c>
      <c r="H48" s="92"/>
      <c r="I48" s="92"/>
      <c r="J48" s="133">
        <v>1681.0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1071.0</v>
      </c>
      <c r="G49" s="92"/>
      <c r="H49" s="93">
        <v>1071.0</v>
      </c>
      <c r="I49" s="92"/>
      <c r="J49" s="133">
        <v>1682.0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614.0</v>
      </c>
      <c r="G50" s="93">
        <v>614.0</v>
      </c>
      <c r="H50" s="93"/>
      <c r="I50" s="92"/>
      <c r="J50" s="133">
        <v>1683.0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532.0</v>
      </c>
      <c r="G51" s="93">
        <v>532.0</v>
      </c>
      <c r="H51" s="92"/>
      <c r="I51" s="92"/>
      <c r="J51" s="133">
        <v>1684.0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17.0</v>
      </c>
      <c r="G52" s="92"/>
      <c r="H52" s="93">
        <v>17.0</v>
      </c>
      <c r="I52" s="92"/>
      <c r="J52" s="133">
        <v>1685.0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11.0</v>
      </c>
      <c r="G53" s="93">
        <v>11.0</v>
      </c>
      <c r="H53" s="92"/>
      <c r="I53" s="92"/>
      <c r="J53" s="133">
        <v>1686.0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179.0</v>
      </c>
      <c r="G54" s="93">
        <v>179.0</v>
      </c>
      <c r="H54" s="92"/>
      <c r="I54" s="92"/>
      <c r="J54" s="133">
        <v>1687.0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1003.0</v>
      </c>
      <c r="G55" s="92"/>
      <c r="H55" s="92"/>
      <c r="I55" s="93">
        <v>1003.0</v>
      </c>
      <c r="J55" s="133">
        <v>1688.0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2318.0</v>
      </c>
      <c r="G56" s="92"/>
      <c r="H56" s="93">
        <v>2318.0</v>
      </c>
      <c r="I56" s="92"/>
      <c r="J56" s="133">
        <v>1689.0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289.0</v>
      </c>
      <c r="G57" s="92"/>
      <c r="H57" s="93">
        <v>289.0</v>
      </c>
      <c r="I57" s="92"/>
      <c r="J57" s="133">
        <v>1690.0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61.0</v>
      </c>
      <c r="G58" s="92"/>
      <c r="H58" s="93">
        <v>61.0</v>
      </c>
      <c r="I58" s="92"/>
      <c r="J58" s="133">
        <v>1691.0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40.0</v>
      </c>
      <c r="G59" s="92"/>
      <c r="H59" s="93">
        <v>40.0</v>
      </c>
      <c r="I59" s="92"/>
      <c r="J59" s="133">
        <v>1692.0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8.0</v>
      </c>
      <c r="G60" s="93" t="s">
        <v>69</v>
      </c>
      <c r="H60" s="140">
        <v>9.0</v>
      </c>
      <c r="I60" s="92"/>
      <c r="J60" s="133">
        <v>1693.0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40.0</v>
      </c>
      <c r="G61" s="93">
        <v>40.0</v>
      </c>
      <c r="H61" s="92"/>
      <c r="I61" s="92"/>
      <c r="J61" s="133">
        <v>1694.0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102.0</v>
      </c>
      <c r="G62" s="93">
        <v>102.0</v>
      </c>
      <c r="H62" s="92"/>
      <c r="I62" s="92"/>
      <c r="J62" s="133">
        <v>1695.0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396.0</v>
      </c>
      <c r="G63" s="92"/>
      <c r="H63" s="92"/>
      <c r="I63" s="93">
        <v>396.0</v>
      </c>
      <c r="J63" s="133">
        <v>1696.0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18.0</v>
      </c>
      <c r="G64" s="92"/>
      <c r="H64" s="93">
        <v>18.0</v>
      </c>
      <c r="I64" s="92"/>
      <c r="J64" s="133">
        <v>1697.0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33.0</v>
      </c>
      <c r="G65" s="92"/>
      <c r="H65" s="93">
        <v>33.0</v>
      </c>
      <c r="I65" s="92"/>
      <c r="J65" s="133">
        <v>1698.0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269.0</v>
      </c>
      <c r="G66" s="92"/>
      <c r="H66" s="93">
        <v>269.0</v>
      </c>
      <c r="I66" s="92"/>
      <c r="J66" s="133">
        <v>1699.0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220.0</v>
      </c>
      <c r="G67" s="92"/>
      <c r="H67" s="93">
        <v>220.0</v>
      </c>
      <c r="I67" s="92"/>
      <c r="J67" s="133">
        <v>1700.0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290.0</v>
      </c>
      <c r="G68" s="93">
        <v>290.0</v>
      </c>
      <c r="H68" s="92"/>
      <c r="I68" s="92"/>
      <c r="J68" s="133">
        <v>1701.0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229.0</v>
      </c>
      <c r="G69" s="93">
        <v>229.0</v>
      </c>
      <c r="H69" s="92"/>
      <c r="I69" s="92"/>
      <c r="J69" s="133">
        <v>1702.0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247.0</v>
      </c>
      <c r="G70" s="92"/>
      <c r="H70" s="140">
        <v>248.0</v>
      </c>
      <c r="I70" s="92"/>
      <c r="J70" s="133">
        <v>1703.0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78.0</v>
      </c>
      <c r="G71" s="92"/>
      <c r="H71" s="93">
        <v>78.0</v>
      </c>
      <c r="I71" s="92"/>
      <c r="J71" s="133">
        <v>1704.0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40.0</v>
      </c>
      <c r="G72" s="93">
        <v>40.0</v>
      </c>
      <c r="H72" s="92"/>
      <c r="I72" s="92"/>
      <c r="J72" s="133">
        <v>1705.0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8217.0</v>
      </c>
      <c r="G73" s="92"/>
      <c r="H73" s="92"/>
      <c r="I73" s="93">
        <v>8217.0</v>
      </c>
      <c r="J73" s="133">
        <v>1706.0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180.0</v>
      </c>
      <c r="G74" s="93">
        <v>180.0</v>
      </c>
      <c r="H74" s="92"/>
      <c r="I74" s="92"/>
      <c r="J74" s="133">
        <v>1707.0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93.0</v>
      </c>
      <c r="G75" s="92"/>
      <c r="H75" s="93">
        <v>93.0</v>
      </c>
      <c r="I75" s="92"/>
      <c r="J75" s="133">
        <v>1708.0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108.0</v>
      </c>
      <c r="G76" s="93">
        <v>108.0</v>
      </c>
      <c r="H76" s="92"/>
      <c r="I76" s="92"/>
      <c r="J76" s="133">
        <v>1709.0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33">
        <v>1710.0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33">
        <v>1711.0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33">
        <v>1712.0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3">
        <v>1713.0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33">
        <v>1714.0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33">
        <v>1715.0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3">
        <v>1716.0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3">
        <v>1717.0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3">
        <v>1718.0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3">
        <v>1719.0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3">
        <v>1720.0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3">
        <v>1721.0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3">
        <v>1722.0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3">
        <v>1723.0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3">
        <v>1724.0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3">
        <v>1725.0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3">
        <v>1726.0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33">
        <v>1727.0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31055</v>
      </c>
      <c r="G97" s="123">
        <f t="shared" si="4"/>
        <v>9879</v>
      </c>
      <c r="H97" s="123">
        <f t="shared" si="4"/>
        <v>11562</v>
      </c>
      <c r="I97" s="123">
        <f t="shared" si="4"/>
        <v>9616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45970.0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67813.0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11562.0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18612.0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12584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7212</v>
      </c>
      <c r="D10" s="24"/>
      <c r="E10" s="43">
        <v>1.0</v>
      </c>
      <c r="F10" s="44">
        <v>73.0</v>
      </c>
      <c r="G10" s="45"/>
      <c r="H10" s="145">
        <v>73.0</v>
      </c>
      <c r="I10" s="45"/>
      <c r="J10" s="133">
        <v>1710.0</v>
      </c>
      <c r="K10" s="24"/>
      <c r="L10" s="47"/>
      <c r="M10" s="47">
        <v>1003.0</v>
      </c>
      <c r="N10" s="47">
        <v>1688.0</v>
      </c>
      <c r="O10" s="49"/>
      <c r="P10" s="50"/>
      <c r="Q10" s="51"/>
      <c r="R10" s="52"/>
      <c r="S10" s="53"/>
      <c r="T10" s="54"/>
      <c r="U10" s="55"/>
      <c r="V10" s="24"/>
      <c r="W10" s="47">
        <v>230.0</v>
      </c>
      <c r="X10" s="157"/>
      <c r="Y10" s="47">
        <v>1291.0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6158</v>
      </c>
      <c r="D11" s="24"/>
      <c r="E11" s="43">
        <v>2.0</v>
      </c>
      <c r="F11" s="56">
        <v>145.0</v>
      </c>
      <c r="G11" s="57">
        <v>145.0</v>
      </c>
      <c r="H11" s="58"/>
      <c r="I11" s="59"/>
      <c r="J11" s="133">
        <v>1711.0</v>
      </c>
      <c r="K11" s="24"/>
      <c r="L11" s="47">
        <v>399.0</v>
      </c>
      <c r="M11" s="48"/>
      <c r="N11" s="47" t="s">
        <v>104</v>
      </c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>
        <v>440.0</v>
      </c>
      <c r="G12" s="64">
        <v>440.0</v>
      </c>
      <c r="H12" s="64"/>
      <c r="I12" s="65"/>
      <c r="J12" s="133">
        <v>1712.0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399</v>
      </c>
      <c r="D13" s="24"/>
      <c r="E13" s="43">
        <v>4.0</v>
      </c>
      <c r="F13" s="56">
        <v>125.0</v>
      </c>
      <c r="G13" s="64"/>
      <c r="H13" s="64">
        <v>125.0</v>
      </c>
      <c r="I13" s="65"/>
      <c r="J13" s="133">
        <v>1713.0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1003</v>
      </c>
      <c r="D14" s="24"/>
      <c r="E14" s="43">
        <v>5.0</v>
      </c>
      <c r="F14" s="56">
        <v>1203.0</v>
      </c>
      <c r="G14" s="64">
        <v>1203.0</v>
      </c>
      <c r="H14" s="65"/>
      <c r="I14" s="65"/>
      <c r="J14" s="133">
        <v>1714.0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230</v>
      </c>
      <c r="D15" s="24"/>
      <c r="E15" s="43">
        <v>6.0</v>
      </c>
      <c r="F15" s="56">
        <v>119.0</v>
      </c>
      <c r="G15" s="64">
        <v>119.0</v>
      </c>
      <c r="H15" s="64"/>
      <c r="I15" s="65"/>
      <c r="J15" s="133">
        <v>1715.0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>
        <v>259.0</v>
      </c>
      <c r="G16" s="64"/>
      <c r="H16" s="141">
        <v>259.0</v>
      </c>
      <c r="I16" s="65"/>
      <c r="J16" s="133">
        <v>1716.0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>
        <v>60.0</v>
      </c>
      <c r="G17" s="64">
        <v>60.0</v>
      </c>
      <c r="H17" s="64"/>
      <c r="I17" s="65"/>
      <c r="J17" s="133">
        <v>1717.0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107.0</v>
      </c>
      <c r="G18" s="64"/>
      <c r="H18" s="141">
        <v>109.0</v>
      </c>
      <c r="I18" s="65"/>
      <c r="J18" s="133">
        <v>1718.0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15.0</v>
      </c>
      <c r="G19" s="64"/>
      <c r="H19" s="141">
        <v>15.0</v>
      </c>
      <c r="I19" s="65"/>
      <c r="J19" s="133">
        <v>1719.0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17210</v>
      </c>
      <c r="D20" s="24"/>
      <c r="E20" s="43">
        <v>11.0</v>
      </c>
      <c r="F20" s="56">
        <v>798.0</v>
      </c>
      <c r="G20" s="64">
        <v>798.0</v>
      </c>
      <c r="H20" s="64"/>
      <c r="I20" s="65"/>
      <c r="J20" s="133">
        <v>1720.0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7161</v>
      </c>
      <c r="D21" s="24"/>
      <c r="E21" s="43">
        <v>12.0</v>
      </c>
      <c r="F21" s="56">
        <v>5.0</v>
      </c>
      <c r="G21" s="65"/>
      <c r="H21" s="141">
        <v>5.0</v>
      </c>
      <c r="I21" s="65"/>
      <c r="J21" s="133">
        <v>1721.0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75424</v>
      </c>
      <c r="D22" s="24"/>
      <c r="E22" s="43">
        <v>13.0</v>
      </c>
      <c r="F22" s="56">
        <v>30.0</v>
      </c>
      <c r="G22" s="64"/>
      <c r="H22" s="141">
        <v>30.0</v>
      </c>
      <c r="I22" s="65"/>
      <c r="J22" s="133">
        <v>1722.0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74696.0</v>
      </c>
      <c r="D23" s="24"/>
      <c r="E23" s="43">
        <v>14.0</v>
      </c>
      <c r="F23" s="56">
        <v>19.0</v>
      </c>
      <c r="G23" s="64">
        <v>19.0</v>
      </c>
      <c r="H23" s="65"/>
      <c r="I23" s="65"/>
      <c r="J23" s="133">
        <v>1723.0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728</v>
      </c>
      <c r="D24" s="24"/>
      <c r="E24" s="43">
        <v>15.0</v>
      </c>
      <c r="F24" s="56">
        <v>465.0</v>
      </c>
      <c r="G24" s="64"/>
      <c r="H24" s="141">
        <v>465.0</v>
      </c>
      <c r="I24" s="65"/>
      <c r="J24" s="133">
        <v>1724.0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176.0</v>
      </c>
      <c r="G25" s="64"/>
      <c r="H25" s="141">
        <v>176.0</v>
      </c>
      <c r="I25" s="65"/>
      <c r="J25" s="133">
        <v>1725.0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12814</v>
      </c>
      <c r="D26" s="24"/>
      <c r="E26" s="43">
        <v>17.0</v>
      </c>
      <c r="F26" s="56">
        <v>374.0</v>
      </c>
      <c r="G26" s="64">
        <v>123.0</v>
      </c>
      <c r="H26" s="141">
        <v>251.0</v>
      </c>
      <c r="I26" s="65"/>
      <c r="J26" s="133">
        <v>1726.0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54.0</v>
      </c>
      <c r="D27" s="24"/>
      <c r="E27" s="43">
        <v>18.0</v>
      </c>
      <c r="F27" s="56">
        <v>90.0</v>
      </c>
      <c r="G27" s="64"/>
      <c r="H27" s="141">
        <v>90.0</v>
      </c>
      <c r="I27" s="65"/>
      <c r="J27" s="133">
        <v>1727.0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237.2962963</v>
      </c>
      <c r="D28" s="24"/>
      <c r="E28" s="43">
        <v>19.0</v>
      </c>
      <c r="F28" s="56">
        <v>297.0</v>
      </c>
      <c r="G28" s="64"/>
      <c r="H28" s="141">
        <v>297.0</v>
      </c>
      <c r="I28" s="65"/>
      <c r="J28" s="133">
        <v>1728.0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514.0</v>
      </c>
      <c r="G29" s="64"/>
      <c r="H29" s="141">
        <v>514.0</v>
      </c>
      <c r="I29" s="65"/>
      <c r="J29" s="133">
        <v>1729.0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52.0</v>
      </c>
      <c r="G30" s="92"/>
      <c r="H30" s="137">
        <v>52.0</v>
      </c>
      <c r="I30" s="93"/>
      <c r="J30" s="133">
        <v>1730.0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11562</v>
      </c>
      <c r="D31" s="24"/>
      <c r="E31" s="43">
        <v>22.0</v>
      </c>
      <c r="F31" s="56">
        <v>49.0</v>
      </c>
      <c r="G31" s="93">
        <v>49.0</v>
      </c>
      <c r="H31" s="92"/>
      <c r="I31" s="92"/>
      <c r="J31" s="133">
        <v>1731.0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86.0</v>
      </c>
      <c r="G32" s="93">
        <v>86.0</v>
      </c>
      <c r="H32" s="92"/>
      <c r="I32" s="92"/>
      <c r="J32" s="133">
        <v>1732.0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1049.0</v>
      </c>
      <c r="G33" s="93">
        <v>1014.0</v>
      </c>
      <c r="H33" s="137">
        <v>35.0</v>
      </c>
      <c r="I33" s="93">
        <v>0.0</v>
      </c>
      <c r="J33" s="133">
        <v>1733.0</v>
      </c>
      <c r="K33" s="24"/>
      <c r="L33" s="104">
        <f t="shared" ref="L33:M33" si="2">sum(L10:L32)</f>
        <v>399</v>
      </c>
      <c r="M33" s="104">
        <f t="shared" si="2"/>
        <v>1003</v>
      </c>
      <c r="N33" s="104"/>
      <c r="O33" s="105"/>
      <c r="P33" s="85" t="s">
        <v>38</v>
      </c>
      <c r="Q33" s="51"/>
      <c r="R33" s="100"/>
      <c r="S33" s="52">
        <v>11562.0</v>
      </c>
      <c r="T33" s="101"/>
      <c r="U33" s="55"/>
      <c r="V33" s="24"/>
      <c r="W33" s="104">
        <f t="shared" ref="W33:X33" si="3">sum(W10:W32)</f>
        <v>230</v>
      </c>
      <c r="X33" s="104">
        <f t="shared" si="3"/>
        <v>0</v>
      </c>
      <c r="Y33" s="104">
        <f>W33+X33</f>
        <v>230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86.0</v>
      </c>
      <c r="G34" s="93"/>
      <c r="H34" s="137">
        <v>86.0</v>
      </c>
      <c r="I34" s="92"/>
      <c r="J34" s="133">
        <v>1734.0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77.0</v>
      </c>
      <c r="G35" s="93">
        <v>77.0</v>
      </c>
      <c r="H35" s="93"/>
      <c r="I35" s="92"/>
      <c r="J35" s="133">
        <v>1735.0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159.0</v>
      </c>
      <c r="G36" s="93">
        <v>159.0</v>
      </c>
      <c r="H36" s="93"/>
      <c r="I36" s="92"/>
      <c r="J36" s="133">
        <v>1736.0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427.0</v>
      </c>
      <c r="G37" s="93">
        <v>427.0</v>
      </c>
      <c r="H37" s="92"/>
      <c r="I37" s="92"/>
      <c r="J37" s="133">
        <v>1737.0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90.0</v>
      </c>
      <c r="G38" s="93">
        <v>90.0</v>
      </c>
      <c r="H38" s="92"/>
      <c r="I38" s="92"/>
      <c r="J38" s="133">
        <v>1738.0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248.0</v>
      </c>
      <c r="G39" s="93"/>
      <c r="H39" s="137">
        <v>248.0</v>
      </c>
      <c r="I39" s="92"/>
      <c r="J39" s="133">
        <v>1739.0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10.0</v>
      </c>
      <c r="G40" s="93">
        <v>10.0</v>
      </c>
      <c r="H40" s="93"/>
      <c r="I40" s="92"/>
      <c r="J40" s="133">
        <v>1740.0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30.0</v>
      </c>
      <c r="G41" s="93">
        <v>30.0</v>
      </c>
      <c r="H41" s="93"/>
      <c r="I41" s="92"/>
      <c r="J41" s="133">
        <v>1741.0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721.0</v>
      </c>
      <c r="G42" s="93"/>
      <c r="H42" s="137">
        <v>721.0</v>
      </c>
      <c r="I42" s="92"/>
      <c r="J42" s="133">
        <v>1742.0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104.0</v>
      </c>
      <c r="G43" s="93">
        <v>104.0</v>
      </c>
      <c r="H43" s="92"/>
      <c r="I43" s="92"/>
      <c r="J43" s="133">
        <v>1743.0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115.0</v>
      </c>
      <c r="G44" s="93">
        <v>115.0</v>
      </c>
      <c r="H44" s="93"/>
      <c r="I44" s="92"/>
      <c r="J44" s="133">
        <v>1744.0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196.0</v>
      </c>
      <c r="G45" s="93"/>
      <c r="H45" s="137">
        <v>196.0</v>
      </c>
      <c r="I45" s="92"/>
      <c r="J45" s="133">
        <v>1745.0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1190.0</v>
      </c>
      <c r="G46" s="93">
        <v>1190.0</v>
      </c>
      <c r="H46" s="92"/>
      <c r="I46" s="92"/>
      <c r="J46" s="133">
        <v>1746.0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60.0</v>
      </c>
      <c r="G47" s="93">
        <v>60.0</v>
      </c>
      <c r="H47" s="93"/>
      <c r="I47" s="92"/>
      <c r="J47" s="133">
        <v>1747.0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36.0</v>
      </c>
      <c r="G48" s="93" t="s">
        <v>69</v>
      </c>
      <c r="H48" s="137">
        <v>36.0</v>
      </c>
      <c r="I48" s="92"/>
      <c r="J48" s="133">
        <v>1748.0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106.0</v>
      </c>
      <c r="G49" s="92"/>
      <c r="H49" s="137">
        <v>106.0</v>
      </c>
      <c r="I49" s="92"/>
      <c r="J49" s="133">
        <v>1749.0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26.0</v>
      </c>
      <c r="G50" s="93">
        <v>26.0</v>
      </c>
      <c r="H50" s="93"/>
      <c r="I50" s="92"/>
      <c r="J50" s="133">
        <v>1750.0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115.0</v>
      </c>
      <c r="G51" s="93"/>
      <c r="H51" s="137">
        <v>115.0</v>
      </c>
      <c r="I51" s="92"/>
      <c r="J51" s="133">
        <v>1751.0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125.0</v>
      </c>
      <c r="G52" s="93"/>
      <c r="H52" s="137">
        <v>125.0</v>
      </c>
      <c r="I52" s="92"/>
      <c r="J52" s="133">
        <v>1752.0</v>
      </c>
      <c r="K52" s="24"/>
      <c r="L52" s="112"/>
      <c r="M52" s="117">
        <v>784.0</v>
      </c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52.0</v>
      </c>
      <c r="G53" s="93">
        <v>52.0</v>
      </c>
      <c r="H53" s="92"/>
      <c r="I53" s="92"/>
      <c r="J53" s="133">
        <v>1753.0</v>
      </c>
      <c r="K53" s="24"/>
      <c r="L53" s="117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160.0</v>
      </c>
      <c r="G54" s="93">
        <v>160.0</v>
      </c>
      <c r="H54" s="92"/>
      <c r="I54" s="92"/>
      <c r="J54" s="133">
        <v>1754.0</v>
      </c>
      <c r="K54" s="24"/>
      <c r="L54" s="117">
        <v>86.0</v>
      </c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21.0</v>
      </c>
      <c r="G55" s="93">
        <v>21.0</v>
      </c>
      <c r="H55" s="92"/>
      <c r="I55" s="92"/>
      <c r="J55" s="133">
        <v>1755.0</v>
      </c>
      <c r="K55" s="24"/>
      <c r="L55" s="117">
        <v>1003.0</v>
      </c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8.0</v>
      </c>
      <c r="G56" s="92"/>
      <c r="H56" s="137">
        <v>8.0</v>
      </c>
      <c r="I56" s="92"/>
      <c r="J56" s="133">
        <v>1756.0</v>
      </c>
      <c r="K56" s="24"/>
      <c r="L56" s="158">
        <v>36.0</v>
      </c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36.0</v>
      </c>
      <c r="G57" s="92"/>
      <c r="H57" s="137">
        <v>36.0</v>
      </c>
      <c r="I57" s="92"/>
      <c r="J57" s="133">
        <v>1757.0</v>
      </c>
      <c r="K57" s="24"/>
      <c r="L57" s="117">
        <v>35.0</v>
      </c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499.0</v>
      </c>
      <c r="G58" s="92"/>
      <c r="H58" s="137">
        <v>499.0</v>
      </c>
      <c r="I58" s="92"/>
      <c r="J58" s="133">
        <v>1758.0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702.0</v>
      </c>
      <c r="G59" s="92"/>
      <c r="H59" s="137">
        <v>702.0</v>
      </c>
      <c r="I59" s="92"/>
      <c r="J59" s="133">
        <v>1759.0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615.0</v>
      </c>
      <c r="G60" s="93">
        <v>615.0</v>
      </c>
      <c r="H60" s="92"/>
      <c r="I60" s="92"/>
      <c r="J60" s="133">
        <v>1760.0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69.0</v>
      </c>
      <c r="G61" s="93">
        <v>69.0</v>
      </c>
      <c r="H61" s="92"/>
      <c r="I61" s="92"/>
      <c r="J61" s="133">
        <v>1761.0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93.0</v>
      </c>
      <c r="G62" s="93">
        <v>93.0</v>
      </c>
      <c r="H62" s="92"/>
      <c r="I62" s="92"/>
      <c r="J62" s="133">
        <v>1762.0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88.0</v>
      </c>
      <c r="G63" s="93">
        <v>88.0</v>
      </c>
      <c r="H63" s="92"/>
      <c r="I63" s="92"/>
      <c r="J63" s="133">
        <v>1763.0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3">
        <v>784.0</v>
      </c>
      <c r="I64" s="92"/>
      <c r="J64" s="133" t="s">
        <v>105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133">
        <v>1765.0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133">
        <v>1766.0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133">
        <v>1767.0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133">
        <v>1768.0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133">
        <v>1769.0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133">
        <v>1770.0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133">
        <v>1771.0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133">
        <v>1772.0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133">
        <v>1773.0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133">
        <v>1774.0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133">
        <v>1775.0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133">
        <v>1776.0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33">
        <v>1777.0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33">
        <v>1778.0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33">
        <v>1779.0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3">
        <v>1780.0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33">
        <v>1781.0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33">
        <v>1782.0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3">
        <v>1783.0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3">
        <v>1784.0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3">
        <v>1785.0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3">
        <v>1786.0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3">
        <v>1787.0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3">
        <v>1788.0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3">
        <v>1789.0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3">
        <v>1790.0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3">
        <v>1791.0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3">
        <v>1792.0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3">
        <v>1793.0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33">
        <v>1794.0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54">
        <v>0.0</v>
      </c>
      <c r="I95" s="61"/>
      <c r="J95" s="133">
        <v>1795.0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12814</v>
      </c>
      <c r="G97" s="123">
        <f t="shared" si="4"/>
        <v>7442</v>
      </c>
      <c r="H97" s="123">
        <f t="shared" si="4"/>
        <v>6158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45971.0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75424.0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7161.0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17210.0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23999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11885</v>
      </c>
      <c r="D10" s="24"/>
      <c r="E10" s="43">
        <v>1.0</v>
      </c>
      <c r="F10" s="44">
        <v>50.0</v>
      </c>
      <c r="G10" s="45">
        <v>50.0</v>
      </c>
      <c r="H10" s="45"/>
      <c r="I10" s="45"/>
      <c r="J10" s="133">
        <v>1764.0</v>
      </c>
      <c r="K10" s="24"/>
      <c r="L10" s="47"/>
      <c r="M10" s="47">
        <v>396.0</v>
      </c>
      <c r="N10" s="47">
        <v>1696.0</v>
      </c>
      <c r="O10" s="49"/>
      <c r="P10" s="85"/>
      <c r="Q10" s="51"/>
      <c r="R10" s="52"/>
      <c r="S10" s="53"/>
      <c r="T10" s="54"/>
      <c r="U10" s="55"/>
      <c r="V10" s="24"/>
      <c r="W10" s="47">
        <v>590.0</v>
      </c>
      <c r="X10" s="47"/>
      <c r="Y10" s="47" t="s">
        <v>106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6018</v>
      </c>
      <c r="D11" s="24"/>
      <c r="E11" s="43">
        <v>2.0</v>
      </c>
      <c r="F11" s="56">
        <v>1184.0</v>
      </c>
      <c r="G11" s="57">
        <v>1184.0</v>
      </c>
      <c r="H11" s="58"/>
      <c r="I11" s="59"/>
      <c r="J11" s="133">
        <v>1765.0</v>
      </c>
      <c r="K11" s="24"/>
      <c r="L11" s="48"/>
      <c r="M11" s="48"/>
      <c r="N11" s="48"/>
      <c r="O11" s="49"/>
      <c r="P11" s="72" t="s">
        <v>107</v>
      </c>
      <c r="Q11" s="51"/>
      <c r="R11" s="52">
        <v>100.0</v>
      </c>
      <c r="S11" s="53"/>
      <c r="T11" s="61"/>
      <c r="U11" s="62"/>
      <c r="V11" s="24"/>
      <c r="W11" s="47">
        <v>702.0</v>
      </c>
      <c r="X11" s="47"/>
      <c r="Y11" s="47" t="s">
        <v>108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6094</v>
      </c>
      <c r="D12" s="24"/>
      <c r="E12" s="43">
        <v>3.0</v>
      </c>
      <c r="F12" s="63">
        <v>65.0</v>
      </c>
      <c r="G12" s="64">
        <v>65.0</v>
      </c>
      <c r="H12" s="64"/>
      <c r="I12" s="65"/>
      <c r="J12" s="133">
        <v>1766.0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20.0</v>
      </c>
      <c r="G13" s="64">
        <v>20.0</v>
      </c>
      <c r="H13" s="65"/>
      <c r="I13" s="65"/>
      <c r="J13" s="133">
        <v>1767.0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396</v>
      </c>
      <c r="D14" s="24"/>
      <c r="E14" s="43">
        <v>5.0</v>
      </c>
      <c r="F14" s="56">
        <v>80.0</v>
      </c>
      <c r="G14" s="64">
        <v>80.0</v>
      </c>
      <c r="H14" s="65"/>
      <c r="I14" s="65"/>
      <c r="J14" s="133">
        <v>1768.0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1292</v>
      </c>
      <c r="D15" s="24"/>
      <c r="E15" s="43">
        <v>6.0</v>
      </c>
      <c r="F15" s="56">
        <v>225.0</v>
      </c>
      <c r="G15" s="64"/>
      <c r="H15" s="141">
        <v>225.0</v>
      </c>
      <c r="I15" s="65"/>
      <c r="J15" s="133">
        <v>1769.0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100</v>
      </c>
      <c r="D16" s="24"/>
      <c r="E16" s="43">
        <v>7.0</v>
      </c>
      <c r="F16" s="56">
        <v>581.0</v>
      </c>
      <c r="G16" s="64"/>
      <c r="H16" s="141">
        <v>581.0</v>
      </c>
      <c r="I16" s="65"/>
      <c r="J16" s="133">
        <v>1770.0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100</v>
      </c>
      <c r="D17" s="24"/>
      <c r="E17" s="43">
        <v>8.0</v>
      </c>
      <c r="F17" s="56">
        <v>145.0</v>
      </c>
      <c r="G17" s="64">
        <v>145.0</v>
      </c>
      <c r="H17" s="64"/>
      <c r="I17" s="65"/>
      <c r="J17" s="133">
        <v>1771.0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40.0</v>
      </c>
      <c r="G18" s="64">
        <v>40.0</v>
      </c>
      <c r="H18" s="64"/>
      <c r="I18" s="65"/>
      <c r="J18" s="133">
        <v>1772.0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587.0</v>
      </c>
      <c r="G19" s="64">
        <v>587.0</v>
      </c>
      <c r="H19" s="65"/>
      <c r="I19" s="65"/>
      <c r="J19" s="133">
        <v>1773.0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22908</v>
      </c>
      <c r="D20" s="24"/>
      <c r="E20" s="43">
        <v>11.0</v>
      </c>
      <c r="F20" s="56">
        <v>127.0</v>
      </c>
      <c r="G20" s="64">
        <v>127.0</v>
      </c>
      <c r="H20" s="64"/>
      <c r="I20" s="65"/>
      <c r="J20" s="133">
        <v>1774.0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7198</v>
      </c>
      <c r="D21" s="24"/>
      <c r="E21" s="43">
        <v>12.0</v>
      </c>
      <c r="F21" s="56">
        <v>24.0</v>
      </c>
      <c r="G21" s="64">
        <v>24.0</v>
      </c>
      <c r="H21" s="64"/>
      <c r="I21" s="65"/>
      <c r="J21" s="133">
        <v>1775.0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87209</v>
      </c>
      <c r="D22" s="24"/>
      <c r="E22" s="43">
        <v>13.0</v>
      </c>
      <c r="F22" s="56">
        <v>118.0</v>
      </c>
      <c r="G22" s="64"/>
      <c r="H22" s="141">
        <v>118.0</v>
      </c>
      <c r="I22" s="65"/>
      <c r="J22" s="133">
        <v>1776.0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86334.0</v>
      </c>
      <c r="D23" s="24"/>
      <c r="E23" s="43">
        <v>14.0</v>
      </c>
      <c r="F23" s="56">
        <v>189.0</v>
      </c>
      <c r="G23" s="64">
        <v>189.0</v>
      </c>
      <c r="H23" s="65"/>
      <c r="I23" s="65"/>
      <c r="J23" s="133">
        <v>1777.0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875</v>
      </c>
      <c r="D24" s="24"/>
      <c r="E24" s="43">
        <v>15.0</v>
      </c>
      <c r="F24" s="56">
        <v>171.0</v>
      </c>
      <c r="G24" s="64">
        <v>171.0</v>
      </c>
      <c r="H24" s="65"/>
      <c r="I24" s="65"/>
      <c r="J24" s="133">
        <v>1778.0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90.0</v>
      </c>
      <c r="G25" s="64">
        <v>90.0</v>
      </c>
      <c r="H25" s="65"/>
      <c r="I25" s="65"/>
      <c r="J25" s="133">
        <v>1779.0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25291</v>
      </c>
      <c r="D26" s="24"/>
      <c r="E26" s="43">
        <v>17.0</v>
      </c>
      <c r="F26" s="56">
        <v>145.0</v>
      </c>
      <c r="G26" s="64">
        <v>145.0</v>
      </c>
      <c r="H26" s="65"/>
      <c r="I26" s="65"/>
      <c r="J26" s="133">
        <v>1780.0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66.0</v>
      </c>
      <c r="D27" s="24"/>
      <c r="E27" s="43">
        <v>18.0</v>
      </c>
      <c r="F27" s="56">
        <v>358.0</v>
      </c>
      <c r="G27" s="64">
        <v>358.0</v>
      </c>
      <c r="H27" s="65"/>
      <c r="I27" s="65"/>
      <c r="J27" s="133">
        <v>1781.0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383.1969697</v>
      </c>
      <c r="D28" s="24"/>
      <c r="E28" s="43">
        <v>19.0</v>
      </c>
      <c r="F28" s="56">
        <v>350.0</v>
      </c>
      <c r="G28" s="64">
        <v>350.0</v>
      </c>
      <c r="H28" s="65"/>
      <c r="I28" s="65"/>
      <c r="J28" s="133">
        <v>1782.0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709.0</v>
      </c>
      <c r="G29" s="64">
        <v>709.0</v>
      </c>
      <c r="H29" s="65"/>
      <c r="I29" s="64"/>
      <c r="J29" s="133">
        <v>1783.0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29.0</v>
      </c>
      <c r="G30" s="93">
        <v>29.0</v>
      </c>
      <c r="H30" s="92"/>
      <c r="I30" s="93"/>
      <c r="J30" s="133">
        <v>1784.0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6377</v>
      </c>
      <c r="D31" s="24"/>
      <c r="E31" s="43">
        <v>22.0</v>
      </c>
      <c r="F31" s="56">
        <v>350.0</v>
      </c>
      <c r="G31" s="93"/>
      <c r="H31" s="137">
        <v>350.0</v>
      </c>
      <c r="I31" s="92"/>
      <c r="J31" s="133">
        <v>1785.0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298.0</v>
      </c>
      <c r="G32" s="93">
        <v>298.0</v>
      </c>
      <c r="H32" s="92"/>
      <c r="I32" s="92"/>
      <c r="J32" s="133">
        <v>1786.0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136.0</v>
      </c>
      <c r="G33" s="93">
        <v>136.0</v>
      </c>
      <c r="H33" s="92"/>
      <c r="I33" s="92"/>
      <c r="J33" s="133">
        <v>1787.0</v>
      </c>
      <c r="K33" s="24"/>
      <c r="L33" s="104">
        <f t="shared" ref="L33:M33" si="2">sum(L10:L32)</f>
        <v>0</v>
      </c>
      <c r="M33" s="104">
        <f t="shared" si="2"/>
        <v>396</v>
      </c>
      <c r="N33" s="104"/>
      <c r="O33" s="105"/>
      <c r="P33" s="85" t="s">
        <v>38</v>
      </c>
      <c r="Q33" s="51"/>
      <c r="R33" s="100"/>
      <c r="S33" s="52">
        <v>6377.0</v>
      </c>
      <c r="T33" s="101"/>
      <c r="U33" s="55"/>
      <c r="V33" s="24"/>
      <c r="W33" s="104">
        <f t="shared" ref="W33:X33" si="3">sum(W10:W32)</f>
        <v>1292</v>
      </c>
      <c r="X33" s="104">
        <f t="shared" si="3"/>
        <v>0</v>
      </c>
      <c r="Y33" s="104">
        <f>W33+X33</f>
        <v>1292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861.0</v>
      </c>
      <c r="G34" s="93">
        <v>861.0</v>
      </c>
      <c r="H34" s="92"/>
      <c r="I34" s="92"/>
      <c r="J34" s="133">
        <v>1788.0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70.0</v>
      </c>
      <c r="G35" s="93">
        <v>70.0</v>
      </c>
      <c r="H35" s="93"/>
      <c r="I35" s="92"/>
      <c r="J35" s="133">
        <v>1789.0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149.0</v>
      </c>
      <c r="G36" s="93">
        <v>149.0</v>
      </c>
      <c r="H36" s="93"/>
      <c r="I36" s="92"/>
      <c r="J36" s="133">
        <v>1790.0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40.0</v>
      </c>
      <c r="G37" s="93"/>
      <c r="H37" s="137">
        <v>40.0</v>
      </c>
      <c r="I37" s="92"/>
      <c r="J37" s="133">
        <v>1791.0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484.0</v>
      </c>
      <c r="G38" s="93"/>
      <c r="H38" s="137">
        <v>484.0</v>
      </c>
      <c r="I38" s="92"/>
      <c r="J38" s="133">
        <v>1792.0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849.0</v>
      </c>
      <c r="G39" s="93"/>
      <c r="H39" s="137">
        <v>849.0</v>
      </c>
      <c r="I39" s="92"/>
      <c r="J39" s="133">
        <v>1793.0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403.0</v>
      </c>
      <c r="G40" s="93">
        <v>403.0</v>
      </c>
      <c r="H40" s="93"/>
      <c r="I40" s="92"/>
      <c r="J40" s="133">
        <v>1794.0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64.0</v>
      </c>
      <c r="G41" s="93">
        <v>64.0</v>
      </c>
      <c r="H41" s="93"/>
      <c r="I41" s="92"/>
      <c r="J41" s="133">
        <v>1795.0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10.0</v>
      </c>
      <c r="G42" s="93">
        <v>10.0</v>
      </c>
      <c r="H42" s="93"/>
      <c r="I42" s="92"/>
      <c r="J42" s="133">
        <v>1796.0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1767.0</v>
      </c>
      <c r="G43" s="93">
        <v>1767.0</v>
      </c>
      <c r="H43" s="92"/>
      <c r="I43" s="93"/>
      <c r="J43" s="133">
        <v>1797.0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140.0</v>
      </c>
      <c r="G44" s="92"/>
      <c r="H44" s="137">
        <v>140.0</v>
      </c>
      <c r="I44" s="92"/>
      <c r="J44" s="133">
        <v>1798.0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434.0</v>
      </c>
      <c r="G45" s="93"/>
      <c r="H45" s="137">
        <v>434.0</v>
      </c>
      <c r="I45" s="92"/>
      <c r="J45" s="133">
        <v>1799.0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928.0</v>
      </c>
      <c r="G46" s="93">
        <v>928.0</v>
      </c>
      <c r="H46" s="92"/>
      <c r="I46" s="92"/>
      <c r="J46" s="133">
        <v>1800.0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461.0</v>
      </c>
      <c r="G47" s="93">
        <v>461.0</v>
      </c>
      <c r="H47" s="93"/>
      <c r="I47" s="92"/>
      <c r="J47" s="133">
        <v>1801.0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412.0</v>
      </c>
      <c r="G48" s="93">
        <v>412.0</v>
      </c>
      <c r="H48" s="92"/>
      <c r="I48" s="92"/>
      <c r="J48" s="133">
        <v>1802.0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360.0</v>
      </c>
      <c r="G49" s="92"/>
      <c r="H49" s="137">
        <v>360.0</v>
      </c>
      <c r="I49" s="92"/>
      <c r="J49" s="133">
        <v>1803.0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673.0</v>
      </c>
      <c r="G50" s="92"/>
      <c r="H50" s="137">
        <v>673.0</v>
      </c>
      <c r="I50" s="92"/>
      <c r="J50" s="133">
        <v>1804.0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23.0</v>
      </c>
      <c r="G51" s="92"/>
      <c r="H51" s="137">
        <v>23.0</v>
      </c>
      <c r="I51" s="92"/>
      <c r="J51" s="133">
        <v>1805.0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219.0</v>
      </c>
      <c r="G52" s="93">
        <v>219.0</v>
      </c>
      <c r="H52" s="92"/>
      <c r="I52" s="92"/>
      <c r="J52" s="133">
        <v>1806.0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38.0</v>
      </c>
      <c r="G53" s="93">
        <v>38.0</v>
      </c>
      <c r="H53" s="92"/>
      <c r="I53" s="92"/>
      <c r="J53" s="133">
        <v>1807.0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8.0</v>
      </c>
      <c r="G54" s="93">
        <v>8.0</v>
      </c>
      <c r="H54" s="92"/>
      <c r="I54" s="92"/>
      <c r="J54" s="133">
        <v>1808.0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58.0</v>
      </c>
      <c r="G55" s="92"/>
      <c r="H55" s="93">
        <v>58.0</v>
      </c>
      <c r="I55" s="92"/>
      <c r="J55" s="133">
        <v>1809.0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38.0</v>
      </c>
      <c r="G56" s="93">
        <v>38.0</v>
      </c>
      <c r="H56" s="92"/>
      <c r="I56" s="92"/>
      <c r="J56" s="133">
        <v>1810.0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140.0</v>
      </c>
      <c r="G57" s="93">
        <v>140.0</v>
      </c>
      <c r="H57" s="92"/>
      <c r="I57" s="92"/>
      <c r="J57" s="133">
        <v>1811.0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534.0</v>
      </c>
      <c r="G58" s="93">
        <v>534.0</v>
      </c>
      <c r="H58" s="92"/>
      <c r="I58" s="92"/>
      <c r="J58" s="133">
        <v>1812.0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40.0</v>
      </c>
      <c r="G59" s="93"/>
      <c r="H59" s="93">
        <v>40.0</v>
      </c>
      <c r="I59" s="92"/>
      <c r="J59" s="133">
        <v>1813.0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570.0</v>
      </c>
      <c r="G60" s="92"/>
      <c r="H60" s="93">
        <v>570.0</v>
      </c>
      <c r="I60" s="92"/>
      <c r="J60" s="133">
        <v>1814.0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59.0</v>
      </c>
      <c r="G61" s="93">
        <v>59.0</v>
      </c>
      <c r="H61" s="92"/>
      <c r="I61" s="92"/>
      <c r="J61" s="133">
        <v>1815.0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171.0</v>
      </c>
      <c r="G62" s="93">
        <v>171.0</v>
      </c>
      <c r="H62" s="92"/>
      <c r="I62" s="92"/>
      <c r="J62" s="133">
        <v>1816.0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46.0</v>
      </c>
      <c r="G63" s="93">
        <v>46.0</v>
      </c>
      <c r="H63" s="92"/>
      <c r="I63" s="92"/>
      <c r="J63" s="133">
        <v>1817.0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210.0</v>
      </c>
      <c r="G64" s="93">
        <v>210.0</v>
      </c>
      <c r="H64" s="92"/>
      <c r="I64" s="92"/>
      <c r="J64" s="133">
        <v>1818.0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171.0</v>
      </c>
      <c r="G65" s="93">
        <v>171.0</v>
      </c>
      <c r="H65" s="92"/>
      <c r="I65" s="92"/>
      <c r="J65" s="133">
        <v>1819.0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20.0</v>
      </c>
      <c r="G66" s="92"/>
      <c r="H66" s="93">
        <v>20.0</v>
      </c>
      <c r="I66" s="92"/>
      <c r="J66" s="133">
        <v>1820.0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71.0</v>
      </c>
      <c r="G67" s="93">
        <v>71.0</v>
      </c>
      <c r="H67" s="92"/>
      <c r="I67" s="92"/>
      <c r="J67" s="133">
        <v>1821.0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605.0</v>
      </c>
      <c r="G68" s="93"/>
      <c r="H68" s="93">
        <v>605.0</v>
      </c>
      <c r="I68" s="92"/>
      <c r="J68" s="133">
        <v>1822.0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119.0</v>
      </c>
      <c r="G69" s="93">
        <v>119.0</v>
      </c>
      <c r="H69" s="92"/>
      <c r="I69" s="92"/>
      <c r="J69" s="133">
        <v>1823.0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448.0</v>
      </c>
      <c r="G70" s="93"/>
      <c r="H70" s="93">
        <v>448.0</v>
      </c>
      <c r="I70" s="92"/>
      <c r="J70" s="133">
        <v>1824.0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6094.0</v>
      </c>
      <c r="G71" s="93"/>
      <c r="H71" s="92"/>
      <c r="I71" s="93">
        <v>6094.0</v>
      </c>
      <c r="J71" s="133">
        <v>1825.0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4.0</v>
      </c>
      <c r="G72" s="93">
        <v>4.0</v>
      </c>
      <c r="H72" s="92"/>
      <c r="I72" s="92"/>
      <c r="J72" s="133">
        <v>1826.0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40.0</v>
      </c>
      <c r="G73" s="93">
        <v>40.0</v>
      </c>
      <c r="H73" s="92"/>
      <c r="I73" s="92"/>
      <c r="J73" s="133">
        <v>1827.0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10.0</v>
      </c>
      <c r="G74" s="93">
        <v>10.0</v>
      </c>
      <c r="H74" s="92"/>
      <c r="I74" s="92"/>
      <c r="J74" s="133">
        <v>1828.0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1379.0</v>
      </c>
      <c r="G75" s="93">
        <v>1379.0</v>
      </c>
      <c r="H75" s="92"/>
      <c r="I75" s="92"/>
      <c r="J75" s="133">
        <v>1829.0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3">
        <v>-2.0</v>
      </c>
      <c r="H76" s="92"/>
      <c r="I76" s="92"/>
      <c r="J76" s="133">
        <v>1830.0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33">
        <v>1831.0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33">
        <v>1832.0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33">
        <v>1833.0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3">
        <v>1834.0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33">
        <v>1835.0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33">
        <v>1836.0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3">
        <v>1837.0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3">
        <v>1838.0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3">
        <v>1839.0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3">
        <v>1840.0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3">
        <v>1841.0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3">
        <v>1842.0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3">
        <v>1843.0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3">
        <v>1844.0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3">
        <v>1845.0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3">
        <v>1846.0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3">
        <v>1847.0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33">
        <v>1848.0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25291</v>
      </c>
      <c r="G97" s="123">
        <f t="shared" si="4"/>
        <v>13177</v>
      </c>
      <c r="H97" s="123">
        <f t="shared" si="4"/>
        <v>6018</v>
      </c>
      <c r="I97" s="123">
        <f t="shared" si="4"/>
        <v>6094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45972.0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87209.0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7198.0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22908.0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14307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8631</v>
      </c>
      <c r="D10" s="24"/>
      <c r="E10" s="43">
        <v>1.0</v>
      </c>
      <c r="F10" s="44">
        <v>89.0</v>
      </c>
      <c r="G10" s="45"/>
      <c r="H10" s="45">
        <v>89.0</v>
      </c>
      <c r="I10" s="45"/>
      <c r="J10" s="133">
        <v>1830.0</v>
      </c>
      <c r="K10" s="24"/>
      <c r="L10" s="47"/>
      <c r="M10" s="47">
        <v>6094.0</v>
      </c>
      <c r="N10" s="47">
        <v>1825.0</v>
      </c>
      <c r="O10" s="49"/>
      <c r="P10" s="85" t="s">
        <v>109</v>
      </c>
      <c r="Q10" s="51"/>
      <c r="R10" s="52">
        <v>120.0</v>
      </c>
      <c r="S10" s="53"/>
      <c r="T10" s="54"/>
      <c r="U10" s="55"/>
      <c r="V10" s="24"/>
      <c r="W10" s="47">
        <v>219.0</v>
      </c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5318</v>
      </c>
      <c r="D11" s="24"/>
      <c r="E11" s="43">
        <v>2.0</v>
      </c>
      <c r="F11" s="56">
        <v>687.0</v>
      </c>
      <c r="G11" s="57">
        <v>687.0</v>
      </c>
      <c r="H11" s="58"/>
      <c r="I11" s="59"/>
      <c r="J11" s="133">
        <v>1831.0</v>
      </c>
      <c r="K11" s="24"/>
      <c r="L11" s="48"/>
      <c r="M11" s="48"/>
      <c r="N11" s="48"/>
      <c r="O11" s="49"/>
      <c r="P11" s="72" t="s">
        <v>110</v>
      </c>
      <c r="Q11" s="51"/>
      <c r="R11" s="52">
        <v>100.0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358</v>
      </c>
      <c r="D12" s="24"/>
      <c r="E12" s="43">
        <v>3.0</v>
      </c>
      <c r="F12" s="63">
        <v>100.0</v>
      </c>
      <c r="G12" s="64">
        <v>100.0</v>
      </c>
      <c r="H12" s="64"/>
      <c r="I12" s="65"/>
      <c r="J12" s="133">
        <v>1832.0</v>
      </c>
      <c r="K12" s="24"/>
      <c r="L12" s="48"/>
      <c r="M12" s="48"/>
      <c r="N12" s="48"/>
      <c r="O12" s="49"/>
      <c r="P12" s="72" t="s">
        <v>74</v>
      </c>
      <c r="Q12" s="51"/>
      <c r="R12" s="52">
        <v>10.0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187.0</v>
      </c>
      <c r="G13" s="64">
        <v>187.0</v>
      </c>
      <c r="H13" s="65"/>
      <c r="I13" s="65"/>
      <c r="J13" s="133">
        <v>1833.0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6094</v>
      </c>
      <c r="D14" s="24"/>
      <c r="E14" s="43">
        <v>5.0</v>
      </c>
      <c r="F14" s="56">
        <v>179.0</v>
      </c>
      <c r="G14" s="64"/>
      <c r="H14" s="64">
        <v>179.0</v>
      </c>
      <c r="I14" s="65"/>
      <c r="J14" s="133">
        <v>1834.0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219</v>
      </c>
      <c r="D15" s="24"/>
      <c r="E15" s="43">
        <v>6.0</v>
      </c>
      <c r="F15" s="56">
        <v>69.0</v>
      </c>
      <c r="G15" s="64">
        <v>69.0</v>
      </c>
      <c r="H15" s="64"/>
      <c r="I15" s="65"/>
      <c r="J15" s="133">
        <v>1835.0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230</v>
      </c>
      <c r="D16" s="24"/>
      <c r="E16" s="43">
        <v>7.0</v>
      </c>
      <c r="F16" s="56">
        <v>52.0</v>
      </c>
      <c r="G16" s="64">
        <v>52.0</v>
      </c>
      <c r="H16" s="64"/>
      <c r="I16" s="65"/>
      <c r="J16" s="133">
        <v>1836.0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230</v>
      </c>
      <c r="D17" s="24"/>
      <c r="E17" s="43">
        <v>8.0</v>
      </c>
      <c r="F17" s="56">
        <v>261.0</v>
      </c>
      <c r="G17" s="64">
        <v>261.0</v>
      </c>
      <c r="H17" s="64"/>
      <c r="I17" s="65"/>
      <c r="J17" s="133">
        <v>1837.0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195.0</v>
      </c>
      <c r="G18" s="64"/>
      <c r="H18" s="64">
        <v>195.0</v>
      </c>
      <c r="I18" s="65"/>
      <c r="J18" s="133">
        <v>1838.0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63.0</v>
      </c>
      <c r="G19" s="64"/>
      <c r="H19" s="64">
        <v>63.0</v>
      </c>
      <c r="I19" s="65"/>
      <c r="J19" s="133">
        <v>1839.0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17172</v>
      </c>
      <c r="D20" s="24"/>
      <c r="E20" s="43">
        <v>11.0</v>
      </c>
      <c r="F20" s="56">
        <v>563.0</v>
      </c>
      <c r="G20" s="64">
        <v>563.0</v>
      </c>
      <c r="H20" s="64"/>
      <c r="I20" s="65"/>
      <c r="J20" s="133">
        <v>1840.0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11412</v>
      </c>
      <c r="D21" s="24"/>
      <c r="E21" s="43">
        <v>12.0</v>
      </c>
      <c r="F21" s="56">
        <v>197.0</v>
      </c>
      <c r="G21" s="65"/>
      <c r="H21" s="64">
        <v>197.0</v>
      </c>
      <c r="I21" s="65"/>
      <c r="J21" s="133">
        <v>1841.0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95610</v>
      </c>
      <c r="D22" s="24"/>
      <c r="E22" s="43">
        <v>13.0</v>
      </c>
      <c r="F22" s="56">
        <v>13.0</v>
      </c>
      <c r="G22" s="64">
        <v>13.0</v>
      </c>
      <c r="H22" s="64"/>
      <c r="I22" s="65"/>
      <c r="J22" s="133">
        <v>1842.0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94954.0</v>
      </c>
      <c r="D23" s="24"/>
      <c r="E23" s="43">
        <v>14.0</v>
      </c>
      <c r="F23" s="56">
        <v>179.0</v>
      </c>
      <c r="G23" s="64">
        <v>179.0</v>
      </c>
      <c r="H23" s="65"/>
      <c r="I23" s="65"/>
      <c r="J23" s="133">
        <v>1843.0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656</v>
      </c>
      <c r="D24" s="24"/>
      <c r="E24" s="43">
        <v>15.0</v>
      </c>
      <c r="F24" s="56">
        <v>345.0</v>
      </c>
      <c r="G24" s="64"/>
      <c r="H24" s="64">
        <v>345.0</v>
      </c>
      <c r="I24" s="65"/>
      <c r="J24" s="133">
        <v>1844.0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192.0</v>
      </c>
      <c r="G25" s="64"/>
      <c r="H25" s="64">
        <v>192.0</v>
      </c>
      <c r="I25" s="65"/>
      <c r="J25" s="133">
        <v>1845.0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14526</v>
      </c>
      <c r="D26" s="24"/>
      <c r="E26" s="43">
        <v>17.0</v>
      </c>
      <c r="F26" s="56">
        <v>134.0</v>
      </c>
      <c r="G26" s="64">
        <v>134.0</v>
      </c>
      <c r="H26" s="65"/>
      <c r="I26" s="65"/>
      <c r="J26" s="133">
        <v>1846.0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58.0</v>
      </c>
      <c r="D27" s="24"/>
      <c r="E27" s="43">
        <v>18.0</v>
      </c>
      <c r="F27" s="56">
        <v>31.0</v>
      </c>
      <c r="G27" s="64"/>
      <c r="H27" s="64">
        <v>31.0</v>
      </c>
      <c r="I27" s="65"/>
      <c r="J27" s="133">
        <v>1847.0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250.4482759</v>
      </c>
      <c r="D28" s="24"/>
      <c r="E28" s="43">
        <v>19.0</v>
      </c>
      <c r="F28" s="56">
        <v>1046.0</v>
      </c>
      <c r="G28" s="64">
        <v>1046.0</v>
      </c>
      <c r="H28" s="65"/>
      <c r="I28" s="65"/>
      <c r="J28" s="133">
        <v>1848.0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50.0</v>
      </c>
      <c r="G29" s="64">
        <v>50.0</v>
      </c>
      <c r="H29" s="65"/>
      <c r="I29" s="65"/>
      <c r="J29" s="133">
        <v>1849.0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50.0</v>
      </c>
      <c r="G30" s="93"/>
      <c r="H30" s="93">
        <v>50.0</v>
      </c>
      <c r="I30" s="93"/>
      <c r="J30" s="133">
        <v>1850.0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7198</v>
      </c>
      <c r="D31" s="24"/>
      <c r="E31" s="43">
        <v>22.0</v>
      </c>
      <c r="F31" s="56">
        <v>466.0</v>
      </c>
      <c r="G31" s="93"/>
      <c r="H31" s="93">
        <v>466.0</v>
      </c>
      <c r="I31" s="92"/>
      <c r="J31" s="133">
        <v>1851.0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230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338.0</v>
      </c>
      <c r="G32" s="93">
        <v>338.0</v>
      </c>
      <c r="H32" s="92"/>
      <c r="I32" s="92"/>
      <c r="J32" s="133">
        <v>1852.0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219.0</v>
      </c>
      <c r="G33" s="93"/>
      <c r="H33" s="93">
        <v>219.0</v>
      </c>
      <c r="I33" s="92"/>
      <c r="J33" s="133">
        <v>1853.0</v>
      </c>
      <c r="K33" s="24"/>
      <c r="L33" s="104">
        <f t="shared" ref="L33:M33" si="2">sum(L10:L32)</f>
        <v>0</v>
      </c>
      <c r="M33" s="104">
        <f t="shared" si="2"/>
        <v>6094</v>
      </c>
      <c r="N33" s="104"/>
      <c r="O33" s="105"/>
      <c r="P33" s="85" t="s">
        <v>38</v>
      </c>
      <c r="Q33" s="51"/>
      <c r="R33" s="100"/>
      <c r="S33" s="52">
        <v>7198.0</v>
      </c>
      <c r="T33" s="101"/>
      <c r="U33" s="55"/>
      <c r="V33" s="24"/>
      <c r="W33" s="104">
        <f t="shared" ref="W33:X33" si="3">sum(W10:W32)</f>
        <v>219</v>
      </c>
      <c r="X33" s="104">
        <f t="shared" si="3"/>
        <v>0</v>
      </c>
      <c r="Y33" s="104">
        <f>W33+X33</f>
        <v>219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1071.0</v>
      </c>
      <c r="G34" s="93">
        <v>1071.0</v>
      </c>
      <c r="H34" s="92"/>
      <c r="I34" s="92"/>
      <c r="J34" s="133">
        <v>1854.0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69.0</v>
      </c>
      <c r="G35" s="93">
        <v>69.0</v>
      </c>
      <c r="H35" s="93"/>
      <c r="I35" s="92"/>
      <c r="J35" s="133">
        <v>1855.0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488.0</v>
      </c>
      <c r="G36" s="93"/>
      <c r="H36" s="93">
        <v>488.0</v>
      </c>
      <c r="I36" s="92"/>
      <c r="J36" s="133">
        <v>1856.0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40.0</v>
      </c>
      <c r="G37" s="93">
        <v>40.0</v>
      </c>
      <c r="H37" s="92"/>
      <c r="I37" s="92"/>
      <c r="J37" s="133">
        <v>1857.0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522.0</v>
      </c>
      <c r="G38" s="93">
        <v>522.0</v>
      </c>
      <c r="H38" s="92"/>
      <c r="I38" s="92"/>
      <c r="J38" s="133">
        <v>1858.0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116.0</v>
      </c>
      <c r="G39" s="93">
        <v>116.0</v>
      </c>
      <c r="H39" s="93"/>
      <c r="I39" s="92"/>
      <c r="J39" s="133">
        <v>1859.0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250.0</v>
      </c>
      <c r="G40" s="93">
        <v>250.0</v>
      </c>
      <c r="H40" s="93"/>
      <c r="I40" s="92"/>
      <c r="J40" s="133">
        <v>1860.0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216.0</v>
      </c>
      <c r="G41" s="93">
        <v>216.0</v>
      </c>
      <c r="H41" s="93"/>
      <c r="I41" s="92"/>
      <c r="J41" s="133">
        <v>1861.0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199.0</v>
      </c>
      <c r="G42" s="93">
        <v>199.0</v>
      </c>
      <c r="H42" s="93"/>
      <c r="I42" s="92"/>
      <c r="J42" s="133">
        <v>1862.0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78.0</v>
      </c>
      <c r="G43" s="93">
        <v>78.0</v>
      </c>
      <c r="H43" s="92"/>
      <c r="I43" s="92"/>
      <c r="J43" s="133">
        <v>1863.0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83.0</v>
      </c>
      <c r="G44" s="93">
        <v>83.0</v>
      </c>
      <c r="H44" s="93"/>
      <c r="I44" s="92"/>
      <c r="J44" s="133">
        <v>1864.0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70.0</v>
      </c>
      <c r="G45" s="93"/>
      <c r="H45" s="92"/>
      <c r="I45" s="93">
        <v>70.0</v>
      </c>
      <c r="J45" s="133">
        <v>1865.0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525.0</v>
      </c>
      <c r="G46" s="93" t="s">
        <v>69</v>
      </c>
      <c r="H46" s="93">
        <v>525.0</v>
      </c>
      <c r="I46" s="92"/>
      <c r="J46" s="133">
        <v>1866.0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269.0</v>
      </c>
      <c r="G47" s="93">
        <v>269.0</v>
      </c>
      <c r="H47" s="93"/>
      <c r="I47" s="92"/>
      <c r="J47" s="133">
        <v>1867.0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529.0</v>
      </c>
      <c r="G48" s="93">
        <v>529.0</v>
      </c>
      <c r="H48" s="92"/>
      <c r="I48" s="92"/>
      <c r="J48" s="133">
        <v>1868.0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153.0</v>
      </c>
      <c r="G49" s="93">
        <v>153.0</v>
      </c>
      <c r="H49" s="92"/>
      <c r="I49" s="92"/>
      <c r="J49" s="133">
        <v>1869.0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750.0</v>
      </c>
      <c r="G50" s="93">
        <v>750.0</v>
      </c>
      <c r="H50" s="93"/>
      <c r="I50" s="92"/>
      <c r="J50" s="133">
        <v>1870.0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7.0</v>
      </c>
      <c r="G51" s="92"/>
      <c r="H51" s="93">
        <v>7.0</v>
      </c>
      <c r="I51" s="92"/>
      <c r="J51" s="133">
        <v>1871.0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803.0</v>
      </c>
      <c r="G52" s="92"/>
      <c r="H52" s="93">
        <v>803.0</v>
      </c>
      <c r="I52" s="92"/>
      <c r="J52" s="133">
        <v>1872.0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43.0</v>
      </c>
      <c r="G53" s="92"/>
      <c r="H53" s="93">
        <v>43.0</v>
      </c>
      <c r="I53" s="92"/>
      <c r="J53" s="133">
        <v>1873.0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30.0</v>
      </c>
      <c r="G54" s="92"/>
      <c r="H54" s="93">
        <v>30.0</v>
      </c>
      <c r="I54" s="92"/>
      <c r="J54" s="133">
        <v>1874.0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125.0</v>
      </c>
      <c r="G55" s="92"/>
      <c r="H55" s="93">
        <v>125.0</v>
      </c>
      <c r="I55" s="92"/>
      <c r="J55" s="133">
        <v>1875.0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195.0</v>
      </c>
      <c r="G56" s="92"/>
      <c r="H56" s="93">
        <v>195.0</v>
      </c>
      <c r="I56" s="92"/>
      <c r="J56" s="133">
        <v>1876.0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26.0</v>
      </c>
      <c r="G57" s="92"/>
      <c r="H57" s="93">
        <v>26.0</v>
      </c>
      <c r="I57" s="92"/>
      <c r="J57" s="133">
        <v>1877.0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136.0</v>
      </c>
      <c r="G58" s="93">
        <v>136.0</v>
      </c>
      <c r="H58" s="92"/>
      <c r="I58" s="92"/>
      <c r="J58" s="133">
        <v>1878.0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68.0</v>
      </c>
      <c r="G59" s="92"/>
      <c r="H59" s="93">
        <v>68.0</v>
      </c>
      <c r="I59" s="92"/>
      <c r="J59" s="133">
        <v>1879.0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265.0</v>
      </c>
      <c r="G60" s="92"/>
      <c r="H60" s="93">
        <v>265.0</v>
      </c>
      <c r="I60" s="92"/>
      <c r="J60" s="133">
        <v>1880.0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514.0</v>
      </c>
      <c r="G61" s="92"/>
      <c r="H61" s="93">
        <v>514.0</v>
      </c>
      <c r="I61" s="92"/>
      <c r="J61" s="133">
        <v>1881.0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13.0</v>
      </c>
      <c r="G62" s="93">
        <v>13.0</v>
      </c>
      <c r="H62" s="92"/>
      <c r="I62" s="92"/>
      <c r="J62" s="133">
        <v>1882.0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317.0</v>
      </c>
      <c r="G63" s="93">
        <v>317.0</v>
      </c>
      <c r="H63" s="92"/>
      <c r="I63" s="92"/>
      <c r="J63" s="133">
        <v>1883.0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350.0</v>
      </c>
      <c r="G64" s="93">
        <v>350.0</v>
      </c>
      <c r="H64" s="92"/>
      <c r="I64" s="92"/>
      <c r="J64" s="133">
        <v>1884.0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57.0</v>
      </c>
      <c r="G65" s="93">
        <v>10.0</v>
      </c>
      <c r="H65" s="93">
        <v>47.0</v>
      </c>
      <c r="I65" s="92"/>
      <c r="J65" s="133">
        <v>1885.0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288.0</v>
      </c>
      <c r="G66" s="92"/>
      <c r="H66" s="92"/>
      <c r="I66" s="93">
        <v>288.0</v>
      </c>
      <c r="J66" s="133">
        <v>1886.0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156.0</v>
      </c>
      <c r="G67" s="92"/>
      <c r="H67" s="93">
        <v>156.0</v>
      </c>
      <c r="I67" s="92"/>
      <c r="J67" s="133">
        <v>1887.0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3" t="s">
        <v>69</v>
      </c>
      <c r="I68" s="92"/>
      <c r="J68" s="133">
        <v>1888.0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133">
        <v>1889.0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133">
        <v>1890.0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133">
        <v>1891.0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133">
        <v>1892.0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133">
        <v>1893.0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133">
        <v>1894.0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133">
        <v>1895.0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133">
        <v>1896.0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33">
        <v>1897.0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33">
        <v>1898.0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33">
        <v>1899.0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3">
        <v>1900.0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33">
        <v>1901.0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33">
        <v>1902.0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3">
        <v>1903.0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3">
        <v>1904.0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3">
        <v>1905.0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3">
        <v>1906.0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3">
        <v>1907.0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3">
        <v>1908.0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54"/>
      <c r="I89" s="61"/>
      <c r="J89" s="133">
        <v>1909.0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3">
        <v>1910.0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3">
        <v>1911.0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3">
        <v>1912.0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3">
        <v>1913.0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33">
        <v>1914.0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14526</v>
      </c>
      <c r="G97" s="123">
        <f t="shared" si="4"/>
        <v>8850</v>
      </c>
      <c r="H97" s="123">
        <f t="shared" si="4"/>
        <v>5318</v>
      </c>
      <c r="I97" s="123">
        <f t="shared" si="4"/>
        <v>358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18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18" t="s">
        <v>112</v>
      </c>
      <c r="B2" s="2" t="s">
        <v>0</v>
      </c>
      <c r="C2" s="132">
        <v>45973.0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95610.0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11412.0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17172.0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159" t="s">
        <v>113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9009</v>
      </c>
      <c r="D10" s="24"/>
      <c r="E10" s="43">
        <v>1.0</v>
      </c>
      <c r="F10" s="44">
        <v>10.0</v>
      </c>
      <c r="G10" s="45"/>
      <c r="H10" s="45">
        <v>10.0</v>
      </c>
      <c r="I10" s="45"/>
      <c r="J10" s="133">
        <v>1888.0</v>
      </c>
      <c r="K10" s="24"/>
      <c r="L10" s="47" t="s">
        <v>69</v>
      </c>
      <c r="M10" s="47"/>
      <c r="N10" s="48"/>
      <c r="O10" s="49"/>
      <c r="P10" s="85" t="s">
        <v>69</v>
      </c>
      <c r="Q10" s="51"/>
      <c r="R10" s="160" t="s">
        <v>69</v>
      </c>
      <c r="S10" s="52"/>
      <c r="T10" s="54"/>
      <c r="U10" s="55"/>
      <c r="V10" s="24"/>
      <c r="W10" s="47">
        <v>1452.0</v>
      </c>
      <c r="X10" s="47"/>
      <c r="Y10" s="47" t="s">
        <v>114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8436</v>
      </c>
      <c r="D11" s="24"/>
      <c r="E11" s="43">
        <v>2.0</v>
      </c>
      <c r="F11" s="56">
        <v>20.0</v>
      </c>
      <c r="G11" s="57"/>
      <c r="H11" s="58">
        <v>20.0</v>
      </c>
      <c r="I11" s="59"/>
      <c r="J11" s="133">
        <v>1889.0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7">
        <v>336.0</v>
      </c>
      <c r="X11" s="47"/>
      <c r="Y11" s="47" t="s">
        <v>115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9300</v>
      </c>
      <c r="D12" s="24"/>
      <c r="E12" s="43">
        <v>3.0</v>
      </c>
      <c r="F12" s="63">
        <v>234.0</v>
      </c>
      <c r="G12" s="64">
        <v>234.0</v>
      </c>
      <c r="H12" s="64"/>
      <c r="I12" s="65"/>
      <c r="J12" s="133">
        <v>1890.0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94.0</v>
      </c>
      <c r="G13" s="64">
        <v>94.0</v>
      </c>
      <c r="H13" s="65"/>
      <c r="I13" s="65"/>
      <c r="J13" s="133">
        <v>1891.0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795.0</v>
      </c>
      <c r="G14" s="64"/>
      <c r="H14" s="64">
        <v>795.0</v>
      </c>
      <c r="I14" s="65"/>
      <c r="J14" s="133">
        <v>1892.0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1788</v>
      </c>
      <c r="D15" s="24"/>
      <c r="E15" s="43">
        <v>6.0</v>
      </c>
      <c r="F15" s="56">
        <v>1000.0</v>
      </c>
      <c r="G15" s="64">
        <v>1000.0</v>
      </c>
      <c r="H15" s="64"/>
      <c r="I15" s="65"/>
      <c r="J15" s="133">
        <v>1893.0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>
        <v>150.0</v>
      </c>
      <c r="G16" s="64">
        <v>150.0</v>
      </c>
      <c r="H16" s="64"/>
      <c r="I16" s="65"/>
      <c r="J16" s="133">
        <v>1894.0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>
        <v>336.0</v>
      </c>
      <c r="G17" s="65"/>
      <c r="H17" s="141">
        <v>336.0</v>
      </c>
      <c r="I17" s="65"/>
      <c r="J17" s="133" t="s">
        <v>91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145.0</v>
      </c>
      <c r="G18" s="64">
        <v>120.0</v>
      </c>
      <c r="H18" s="128">
        <v>25.0</v>
      </c>
      <c r="I18" s="65"/>
      <c r="J18" s="133">
        <v>1896.0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53.0</v>
      </c>
      <c r="G19" s="64"/>
      <c r="H19" s="64">
        <v>53.0</v>
      </c>
      <c r="I19" s="65"/>
      <c r="J19" s="133">
        <v>1897.0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26472</v>
      </c>
      <c r="D20" s="24"/>
      <c r="E20" s="43">
        <v>11.0</v>
      </c>
      <c r="F20" s="56">
        <v>59.0</v>
      </c>
      <c r="G20" s="64">
        <v>59.0</v>
      </c>
      <c r="H20" s="64"/>
      <c r="I20" s="65"/>
      <c r="J20" s="133">
        <v>1898.0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8436</v>
      </c>
      <c r="D21" s="24"/>
      <c r="E21" s="43">
        <v>12.0</v>
      </c>
      <c r="F21" s="56">
        <v>119.0</v>
      </c>
      <c r="G21" s="64">
        <v>119.0</v>
      </c>
      <c r="H21" s="64"/>
      <c r="I21" s="65"/>
      <c r="J21" s="133">
        <v>1899.0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104619</v>
      </c>
      <c r="D22" s="24"/>
      <c r="E22" s="43">
        <v>13.0</v>
      </c>
      <c r="F22" s="56">
        <v>68.0</v>
      </c>
      <c r="G22" s="64">
        <v>68.0</v>
      </c>
      <c r="H22" s="64"/>
      <c r="I22" s="65"/>
      <c r="J22" s="133">
        <v>1900.0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103963.0</v>
      </c>
      <c r="D23" s="24"/>
      <c r="E23" s="43">
        <v>14.0</v>
      </c>
      <c r="F23" s="56">
        <v>105.0</v>
      </c>
      <c r="G23" s="65"/>
      <c r="H23" s="64">
        <v>105.0</v>
      </c>
      <c r="I23" s="65"/>
      <c r="J23" s="133">
        <v>1901.0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656</v>
      </c>
      <c r="D24" s="24"/>
      <c r="E24" s="43">
        <v>15.0</v>
      </c>
      <c r="F24" s="56">
        <v>88.0</v>
      </c>
      <c r="G24" s="64">
        <v>88.0</v>
      </c>
      <c r="H24" s="65"/>
      <c r="I24" s="65"/>
      <c r="J24" s="133">
        <v>1902.0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156.0</v>
      </c>
      <c r="G25" s="64">
        <v>92.0</v>
      </c>
      <c r="H25" s="64">
        <v>64.0</v>
      </c>
      <c r="I25" s="65"/>
      <c r="J25" s="133" t="s">
        <v>116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27809</v>
      </c>
      <c r="D26" s="24"/>
      <c r="E26" s="43">
        <v>17.0</v>
      </c>
      <c r="F26" s="56">
        <v>237.0</v>
      </c>
      <c r="G26" s="64">
        <v>237.0</v>
      </c>
      <c r="H26" s="65"/>
      <c r="I26" s="64" t="s">
        <v>69</v>
      </c>
      <c r="J26" s="133" t="s">
        <v>117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71.0</v>
      </c>
      <c r="D27" s="24"/>
      <c r="E27" s="43">
        <v>18.0</v>
      </c>
      <c r="F27" s="56">
        <v>472.0</v>
      </c>
      <c r="G27" s="64">
        <v>472.0</v>
      </c>
      <c r="H27" s="65"/>
      <c r="I27" s="64" t="s">
        <v>69</v>
      </c>
      <c r="J27" s="133" t="s">
        <v>117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391.6760563</v>
      </c>
      <c r="D28" s="24"/>
      <c r="E28" s="43">
        <v>19.0</v>
      </c>
      <c r="F28" s="56">
        <v>269.0</v>
      </c>
      <c r="G28" s="64">
        <v>269.0</v>
      </c>
      <c r="H28" s="65"/>
      <c r="I28" s="65"/>
      <c r="J28" s="133">
        <v>1906.0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1399.0</v>
      </c>
      <c r="G29" s="64">
        <v>1399.0</v>
      </c>
      <c r="H29" s="65"/>
      <c r="I29" s="64"/>
      <c r="J29" s="133">
        <v>1907.0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26.0</v>
      </c>
      <c r="G30" s="93">
        <v>26.0</v>
      </c>
      <c r="H30" s="92"/>
      <c r="I30" s="93"/>
      <c r="J30" s="133">
        <v>1908.0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11412</v>
      </c>
      <c r="D31" s="24"/>
      <c r="E31" s="43">
        <v>22.0</v>
      </c>
      <c r="F31" s="56">
        <v>73.0</v>
      </c>
      <c r="G31" s="93">
        <v>73.0</v>
      </c>
      <c r="H31" s="92"/>
      <c r="I31" s="92"/>
      <c r="J31" s="133">
        <v>1909.0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2.0</v>
      </c>
      <c r="G32" s="93">
        <v>2.0</v>
      </c>
      <c r="H32" s="92"/>
      <c r="I32" s="92"/>
      <c r="J32" s="133">
        <v>1910.0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263.0</v>
      </c>
      <c r="G33" s="93">
        <v>263.0</v>
      </c>
      <c r="H33" s="92"/>
      <c r="I33" s="92"/>
      <c r="J33" s="133">
        <v>1911.0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11412.0</v>
      </c>
      <c r="T33" s="101"/>
      <c r="U33" s="55"/>
      <c r="V33" s="24"/>
      <c r="W33" s="104">
        <f t="shared" ref="W33:X33" si="3">sum(W10:W32)</f>
        <v>1788</v>
      </c>
      <c r="X33" s="104">
        <f t="shared" si="3"/>
        <v>0</v>
      </c>
      <c r="Y33" s="104">
        <f>W33+X33</f>
        <v>1788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808.0</v>
      </c>
      <c r="G34" s="93"/>
      <c r="H34" s="93">
        <v>808.0</v>
      </c>
      <c r="I34" s="92"/>
      <c r="J34" s="133">
        <v>1912.0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179.0</v>
      </c>
      <c r="G35" s="93">
        <v>29.0</v>
      </c>
      <c r="H35" s="93">
        <v>150.0</v>
      </c>
      <c r="I35" s="92"/>
      <c r="J35" s="133">
        <v>1913.0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61"/>
      <c r="D36" s="24"/>
      <c r="E36" s="43">
        <v>27.0</v>
      </c>
      <c r="F36" s="56">
        <v>444.0</v>
      </c>
      <c r="G36" s="93">
        <v>444.0</v>
      </c>
      <c r="H36" s="93"/>
      <c r="I36" s="92"/>
      <c r="J36" s="133">
        <v>1914.0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250.0</v>
      </c>
      <c r="G37" s="93"/>
      <c r="H37" s="93">
        <v>250.0</v>
      </c>
      <c r="I37" s="92"/>
      <c r="J37" s="133">
        <v>1915.0</v>
      </c>
      <c r="K37" s="24"/>
      <c r="L37" s="112"/>
      <c r="M37" s="162" t="s">
        <v>118</v>
      </c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210.0</v>
      </c>
      <c r="G38" s="93">
        <v>210.0</v>
      </c>
      <c r="H38" s="92"/>
      <c r="I38" s="92"/>
      <c r="J38" s="133">
        <v>1916.0</v>
      </c>
      <c r="K38" s="24"/>
      <c r="L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349.0</v>
      </c>
      <c r="G39" s="93"/>
      <c r="H39" s="93">
        <v>349.0</v>
      </c>
      <c r="I39" s="92"/>
      <c r="J39" s="133">
        <v>1917.0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69.0</v>
      </c>
      <c r="G40" s="93">
        <v>69.0</v>
      </c>
      <c r="H40" s="93"/>
      <c r="I40" s="92"/>
      <c r="J40" s="133">
        <v>1918.0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228.0</v>
      </c>
      <c r="G41" s="93" t="s">
        <v>69</v>
      </c>
      <c r="H41" s="137">
        <v>228.0</v>
      </c>
      <c r="I41" s="92"/>
      <c r="J41" s="133">
        <v>1919.0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100.0</v>
      </c>
      <c r="G42" s="93">
        <v>100.0</v>
      </c>
      <c r="H42" s="93"/>
      <c r="I42" s="92"/>
      <c r="J42" s="133">
        <v>1920.0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296.0</v>
      </c>
      <c r="G43" s="93"/>
      <c r="H43" s="93">
        <v>296.0</v>
      </c>
      <c r="I43" s="92"/>
      <c r="J43" s="133">
        <v>1921.0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123.0</v>
      </c>
      <c r="G44" s="93">
        <v>123.0</v>
      </c>
      <c r="H44" s="93"/>
      <c r="I44" s="92"/>
      <c r="J44" s="133">
        <v>1922.0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155.0</v>
      </c>
      <c r="G45" s="93">
        <v>155.0</v>
      </c>
      <c r="H45" s="92"/>
      <c r="I45" s="92"/>
      <c r="J45" s="133">
        <v>1923.0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80.0</v>
      </c>
      <c r="G46" s="93">
        <v>80.0</v>
      </c>
      <c r="H46" s="92"/>
      <c r="I46" s="92"/>
      <c r="J46" s="133">
        <v>1924.0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404.0</v>
      </c>
      <c r="G47" s="93" t="s">
        <v>69</v>
      </c>
      <c r="H47" s="93">
        <v>404.0</v>
      </c>
      <c r="I47" s="92"/>
      <c r="J47" s="133">
        <v>1925.0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163">
        <v>39.0</v>
      </c>
      <c r="F48" s="56">
        <v>40.0</v>
      </c>
      <c r="G48" s="92"/>
      <c r="H48" s="93">
        <v>40.0</v>
      </c>
      <c r="I48" s="92"/>
      <c r="J48" s="133">
        <v>1926.0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845.0</v>
      </c>
      <c r="G49" s="93">
        <v>845.0</v>
      </c>
      <c r="H49" s="93" t="s">
        <v>69</v>
      </c>
      <c r="I49" s="92"/>
      <c r="J49" s="133">
        <v>1927.0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138.0</v>
      </c>
      <c r="G50" s="93">
        <v>138.0</v>
      </c>
      <c r="H50" s="93" t="s">
        <v>69</v>
      </c>
      <c r="I50" s="92"/>
      <c r="J50" s="133">
        <v>1928.0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595.0</v>
      </c>
      <c r="G51" s="93">
        <v>595.0</v>
      </c>
      <c r="H51" s="92"/>
      <c r="I51" s="92"/>
      <c r="J51" s="133">
        <v>1929.0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155.0</v>
      </c>
      <c r="G52" s="93">
        <v>150.0</v>
      </c>
      <c r="H52" s="93">
        <v>5.0</v>
      </c>
      <c r="I52" s="92"/>
      <c r="J52" s="133">
        <v>1930.0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148.0</v>
      </c>
      <c r="G53" s="93">
        <v>148.0</v>
      </c>
      <c r="H53" s="140" t="s">
        <v>69</v>
      </c>
      <c r="I53" s="92"/>
      <c r="J53" s="133">
        <v>1931.0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40.0</v>
      </c>
      <c r="G54" s="92"/>
      <c r="H54" s="93">
        <v>40.0</v>
      </c>
      <c r="I54" s="92"/>
      <c r="J54" s="133" t="s">
        <v>69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5.0</v>
      </c>
      <c r="G55" s="93"/>
      <c r="H55" s="93">
        <v>5.0</v>
      </c>
      <c r="I55" s="92"/>
      <c r="J55" s="133">
        <v>1933.0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614.0</v>
      </c>
      <c r="G56" s="93" t="s">
        <v>69</v>
      </c>
      <c r="H56" s="143">
        <v>614.0</v>
      </c>
      <c r="I56" s="92"/>
      <c r="J56" s="133">
        <v>1934.0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145.0</v>
      </c>
      <c r="G57" s="93" t="s">
        <v>119</v>
      </c>
      <c r="H57" s="93">
        <v>145.0</v>
      </c>
      <c r="I57" s="92"/>
      <c r="J57" s="133">
        <v>1935.0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514.0</v>
      </c>
      <c r="G58" s="93">
        <v>37.0</v>
      </c>
      <c r="H58" s="143">
        <v>477.0</v>
      </c>
      <c r="I58" s="92"/>
      <c r="J58" s="133" t="s">
        <v>120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83.0</v>
      </c>
      <c r="G59" s="92"/>
      <c r="H59" s="143">
        <v>83.0</v>
      </c>
      <c r="I59" s="92"/>
      <c r="J59" s="133">
        <v>1937.0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388.0</v>
      </c>
      <c r="G60" s="93">
        <v>388.0</v>
      </c>
      <c r="H60" s="92"/>
      <c r="I60" s="92"/>
      <c r="J60" s="133">
        <v>1938.0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69.0</v>
      </c>
      <c r="G61" s="93">
        <v>69.0</v>
      </c>
      <c r="H61" s="92"/>
      <c r="I61" s="92"/>
      <c r="J61" s="133">
        <v>1939.0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26.0</v>
      </c>
      <c r="G62" s="93">
        <v>26.0</v>
      </c>
      <c r="H62" s="92"/>
      <c r="I62" s="92"/>
      <c r="J62" s="133">
        <v>1940.0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1365.0</v>
      </c>
      <c r="G63" s="93">
        <v>1365.0</v>
      </c>
      <c r="H63" s="92"/>
      <c r="I63" s="92"/>
      <c r="J63" s="133">
        <v>1941.0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346.0</v>
      </c>
      <c r="G64" s="92"/>
      <c r="H64" s="137">
        <v>346.0</v>
      </c>
      <c r="I64" s="92"/>
      <c r="J64" s="133">
        <v>1942.0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767.0</v>
      </c>
      <c r="G65" s="93" t="s">
        <v>69</v>
      </c>
      <c r="H65" s="143">
        <v>767.0</v>
      </c>
      <c r="I65" s="92"/>
      <c r="J65" s="133">
        <v>1943.0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10.0</v>
      </c>
      <c r="G66" s="92"/>
      <c r="H66" s="143">
        <v>10.0</v>
      </c>
      <c r="I66" s="92"/>
      <c r="J66" s="133">
        <v>1944.0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284.0</v>
      </c>
      <c r="G67" s="92"/>
      <c r="H67" s="143">
        <v>284.0</v>
      </c>
      <c r="I67" s="92"/>
      <c r="J67" s="133">
        <v>1945.0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83.0</v>
      </c>
      <c r="G68" s="93">
        <v>83.0</v>
      </c>
      <c r="H68" s="92"/>
      <c r="I68" s="92"/>
      <c r="J68" s="133">
        <v>1946.0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501.0</v>
      </c>
      <c r="G69" s="92"/>
      <c r="H69" s="143">
        <v>501.0</v>
      </c>
      <c r="I69" s="93" t="s">
        <v>69</v>
      </c>
      <c r="J69" s="133" t="s">
        <v>121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638.0</v>
      </c>
      <c r="G70" s="93">
        <v>638.0</v>
      </c>
      <c r="H70" s="92"/>
      <c r="I70" s="92"/>
      <c r="J70" s="133">
        <v>1948.0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9.0</v>
      </c>
      <c r="G71" s="93">
        <v>9.0</v>
      </c>
      <c r="H71" s="92"/>
      <c r="I71" s="92"/>
      <c r="J71" s="133">
        <v>1949.0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119.0</v>
      </c>
      <c r="G72" s="92"/>
      <c r="H72" s="143">
        <v>119.0</v>
      </c>
      <c r="I72" s="92"/>
      <c r="J72" s="133">
        <v>1950.0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61.0</v>
      </c>
      <c r="G73" s="93" t="s">
        <v>69</v>
      </c>
      <c r="H73" s="93">
        <v>61.0</v>
      </c>
      <c r="I73" s="92"/>
      <c r="J73" s="133">
        <v>1951.0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80.0</v>
      </c>
      <c r="G74" s="92"/>
      <c r="H74" s="93">
        <v>80.0</v>
      </c>
      <c r="I74" s="92"/>
      <c r="J74" s="133">
        <v>1952.0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220.0</v>
      </c>
      <c r="G75" s="93">
        <v>220.0</v>
      </c>
      <c r="H75" s="92"/>
      <c r="I75" s="92"/>
      <c r="J75" s="133">
        <v>1953.0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69.0</v>
      </c>
      <c r="G76" s="92"/>
      <c r="H76" s="93">
        <v>69.0</v>
      </c>
      <c r="I76" s="92"/>
      <c r="J76" s="133">
        <v>1954.0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111.0</v>
      </c>
      <c r="G77" s="93">
        <v>111.0</v>
      </c>
      <c r="H77" s="92"/>
      <c r="I77" s="92"/>
      <c r="J77" s="133">
        <v>1955.0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9300.0</v>
      </c>
      <c r="G78" s="92"/>
      <c r="H78" s="92"/>
      <c r="I78" s="93">
        <v>9300.0</v>
      </c>
      <c r="J78" s="133">
        <v>1956.0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142.0</v>
      </c>
      <c r="G79" s="92"/>
      <c r="H79" s="143">
        <v>142.0</v>
      </c>
      <c r="I79" s="92"/>
      <c r="J79" s="133">
        <v>1957.0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31.0</v>
      </c>
      <c r="G80" s="92"/>
      <c r="H80" s="140">
        <v>35.0</v>
      </c>
      <c r="I80" s="92"/>
      <c r="J80" s="133">
        <v>1958.0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33">
        <v>1959.0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33">
        <v>1960.0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3">
        <v>1961.0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3">
        <v>1962.0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3">
        <v>1963.0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3">
        <v>1964.0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3">
        <v>1965.0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3">
        <v>1966.0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3">
        <v>1967.0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3">
        <v>1968.0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54" t="s">
        <v>69</v>
      </c>
      <c r="I91" s="61"/>
      <c r="J91" s="133">
        <v>1969.0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54" t="s">
        <v>69</v>
      </c>
      <c r="I92" s="61"/>
      <c r="J92" s="133">
        <v>1970.0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3">
        <v>1971.0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33">
        <v>1972.0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54">
        <v>720.0</v>
      </c>
      <c r="I95" s="61"/>
      <c r="J95" s="133" t="s">
        <v>122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27809</v>
      </c>
      <c r="G97" s="123">
        <f t="shared" si="4"/>
        <v>10797</v>
      </c>
      <c r="H97" s="123">
        <f t="shared" si="4"/>
        <v>8436</v>
      </c>
      <c r="I97" s="123">
        <f t="shared" si="4"/>
        <v>9300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6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M37:N38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45974.0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104619.0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8436.0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26472.0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25986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11897</v>
      </c>
      <c r="D10" s="24"/>
      <c r="E10" s="43">
        <v>1.0</v>
      </c>
      <c r="F10" s="44">
        <v>1030.0</v>
      </c>
      <c r="G10" s="45"/>
      <c r="H10" s="45"/>
      <c r="I10" s="45">
        <v>1030.0</v>
      </c>
      <c r="J10" s="133" t="s">
        <v>123</v>
      </c>
      <c r="K10" s="24"/>
      <c r="L10" s="47"/>
      <c r="M10" s="47"/>
      <c r="N10" s="48"/>
      <c r="O10" s="49"/>
      <c r="P10" s="85" t="s">
        <v>80</v>
      </c>
      <c r="Q10" s="51"/>
      <c r="R10" s="52">
        <v>100.0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13059</v>
      </c>
      <c r="D11" s="24"/>
      <c r="E11" s="43">
        <v>2.0</v>
      </c>
      <c r="F11" s="56">
        <v>36.0</v>
      </c>
      <c r="G11" s="57"/>
      <c r="H11" s="58">
        <v>36.0</v>
      </c>
      <c r="I11" s="59"/>
      <c r="J11" s="133">
        <v>1960.0</v>
      </c>
      <c r="K11" s="24"/>
      <c r="L11" s="48"/>
      <c r="M11" s="48"/>
      <c r="N11" s="48"/>
      <c r="O11" s="49"/>
      <c r="P11" s="72" t="s">
        <v>124</v>
      </c>
      <c r="Q11" s="51"/>
      <c r="R11" s="52">
        <v>40.0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1030</v>
      </c>
      <c r="D12" s="24"/>
      <c r="E12" s="43">
        <v>3.0</v>
      </c>
      <c r="F12" s="63">
        <v>66.0</v>
      </c>
      <c r="G12" s="64"/>
      <c r="H12" s="64">
        <v>66.0</v>
      </c>
      <c r="I12" s="65"/>
      <c r="J12" s="133">
        <v>1961.0</v>
      </c>
      <c r="K12" s="24"/>
      <c r="L12" s="48"/>
      <c r="M12" s="48"/>
      <c r="N12" s="48"/>
      <c r="O12" s="49"/>
      <c r="P12" s="72" t="s">
        <v>125</v>
      </c>
      <c r="Q12" s="51"/>
      <c r="R12" s="52">
        <v>190.0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115.0</v>
      </c>
      <c r="G13" s="64">
        <v>115.0</v>
      </c>
      <c r="H13" s="65"/>
      <c r="I13" s="65"/>
      <c r="J13" s="133">
        <v>1962.0</v>
      </c>
      <c r="K13" s="24"/>
      <c r="L13" s="48"/>
      <c r="M13" s="48"/>
      <c r="N13" s="48"/>
      <c r="O13" s="49"/>
      <c r="P13" s="72" t="s">
        <v>126</v>
      </c>
      <c r="Q13" s="51"/>
      <c r="R13" s="52">
        <v>92000.0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73.0</v>
      </c>
      <c r="G14" s="64">
        <v>73.0</v>
      </c>
      <c r="H14" s="65"/>
      <c r="I14" s="65"/>
      <c r="J14" s="133">
        <v>1963.0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146.0</v>
      </c>
      <c r="G15" s="64">
        <v>146.0</v>
      </c>
      <c r="H15" s="64"/>
      <c r="I15" s="65"/>
      <c r="J15" s="133">
        <v>1964.0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92330</v>
      </c>
      <c r="D16" s="24"/>
      <c r="E16" s="43">
        <v>7.0</v>
      </c>
      <c r="F16" s="56">
        <v>556.0</v>
      </c>
      <c r="G16" s="64">
        <v>556.0</v>
      </c>
      <c r="H16" s="64"/>
      <c r="I16" s="65"/>
      <c r="J16" s="133">
        <v>1965.0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92330</v>
      </c>
      <c r="D17" s="24"/>
      <c r="E17" s="43">
        <v>8.0</v>
      </c>
      <c r="F17" s="56">
        <v>67.0</v>
      </c>
      <c r="G17" s="64">
        <v>67.0</v>
      </c>
      <c r="H17" s="64"/>
      <c r="I17" s="65"/>
      <c r="J17" s="133">
        <v>1966.0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242.0</v>
      </c>
      <c r="G18" s="64"/>
      <c r="H18" s="64">
        <v>242.0</v>
      </c>
      <c r="I18" s="65"/>
      <c r="J18" s="133">
        <v>1967.0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374.0</v>
      </c>
      <c r="G19" s="64" t="s">
        <v>69</v>
      </c>
      <c r="H19" s="64">
        <v>374.0</v>
      </c>
      <c r="I19" s="65"/>
      <c r="J19" s="133" t="s">
        <v>127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27502</v>
      </c>
      <c r="D20" s="24"/>
      <c r="E20" s="43">
        <v>11.0</v>
      </c>
      <c r="F20" s="56">
        <v>629.0</v>
      </c>
      <c r="G20" s="64">
        <v>629.0</v>
      </c>
      <c r="H20" s="64"/>
      <c r="I20" s="65"/>
      <c r="J20" s="133">
        <v>1969.0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13059</v>
      </c>
      <c r="D21" s="24"/>
      <c r="E21" s="43">
        <v>12.0</v>
      </c>
      <c r="F21" s="56">
        <v>339.0</v>
      </c>
      <c r="G21" s="64">
        <v>339.0</v>
      </c>
      <c r="H21" s="64"/>
      <c r="I21" s="65"/>
      <c r="J21" s="133">
        <v>1970.0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24186</v>
      </c>
      <c r="D22" s="24"/>
      <c r="E22" s="43">
        <v>13.0</v>
      </c>
      <c r="F22" s="56">
        <v>99.0</v>
      </c>
      <c r="G22" s="64">
        <v>99.0</v>
      </c>
      <c r="H22" s="64"/>
      <c r="I22" s="65"/>
      <c r="J22" s="133">
        <v>1971.0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23904.0</v>
      </c>
      <c r="D23" s="24"/>
      <c r="E23" s="43">
        <v>14.0</v>
      </c>
      <c r="F23" s="56">
        <v>1112.0</v>
      </c>
      <c r="G23" s="64">
        <v>1112.0</v>
      </c>
      <c r="H23" s="65"/>
      <c r="I23" s="65"/>
      <c r="J23" s="133">
        <v>1972.0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282</v>
      </c>
      <c r="D24" s="24"/>
      <c r="E24" s="43">
        <v>15.0</v>
      </c>
      <c r="F24" s="56">
        <v>354.0</v>
      </c>
      <c r="G24" s="64">
        <v>354.0</v>
      </c>
      <c r="H24" s="65"/>
      <c r="I24" s="65"/>
      <c r="J24" s="133">
        <v>1973.0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2808.0</v>
      </c>
      <c r="G25" s="64"/>
      <c r="H25" s="64">
        <v>2808.0</v>
      </c>
      <c r="I25" s="64"/>
      <c r="J25" s="133">
        <v>1974.0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25986</v>
      </c>
      <c r="D26" s="24"/>
      <c r="E26" s="43">
        <v>17.0</v>
      </c>
      <c r="F26" s="56">
        <v>75.0</v>
      </c>
      <c r="G26" s="64">
        <v>75.0</v>
      </c>
      <c r="H26" s="65"/>
      <c r="I26" s="65"/>
      <c r="J26" s="133">
        <v>1975.0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61.0</v>
      </c>
      <c r="D27" s="24"/>
      <c r="E27" s="43">
        <v>18.0</v>
      </c>
      <c r="F27" s="56">
        <v>110.0</v>
      </c>
      <c r="G27" s="64">
        <v>110.0</v>
      </c>
      <c r="H27" s="65"/>
      <c r="I27" s="65"/>
      <c r="J27" s="133">
        <v>1976.0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426</v>
      </c>
      <c r="D28" s="24"/>
      <c r="E28" s="43">
        <v>19.0</v>
      </c>
      <c r="F28" s="56">
        <v>552.0</v>
      </c>
      <c r="G28" s="64">
        <v>552.0</v>
      </c>
      <c r="H28" s="65"/>
      <c r="I28" s="65"/>
      <c r="J28" s="133">
        <v>1977.0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458.0</v>
      </c>
      <c r="G29" s="64">
        <v>458.0</v>
      </c>
      <c r="H29" s="65"/>
      <c r="I29" s="65"/>
      <c r="J29" s="133">
        <v>1978.0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120.0</v>
      </c>
      <c r="G30" s="93">
        <v>120.0</v>
      </c>
      <c r="H30" s="92"/>
      <c r="I30" s="93"/>
      <c r="J30" s="133">
        <v>1979.0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8436</v>
      </c>
      <c r="D31" s="24"/>
      <c r="E31" s="43">
        <v>22.0</v>
      </c>
      <c r="F31" s="56">
        <v>2717.0</v>
      </c>
      <c r="G31" s="93"/>
      <c r="H31" s="93">
        <v>2717.0</v>
      </c>
      <c r="I31" s="93" t="s">
        <v>69</v>
      </c>
      <c r="J31" s="133">
        <v>1980.0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92330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315.0</v>
      </c>
      <c r="G32" s="93">
        <v>315.0</v>
      </c>
      <c r="H32" s="92"/>
      <c r="I32" s="92"/>
      <c r="J32" s="133">
        <v>1981.0</v>
      </c>
      <c r="K32" s="24"/>
      <c r="L32" s="48"/>
      <c r="M32" s="48"/>
      <c r="N32" s="48"/>
      <c r="O32" s="98"/>
      <c r="P32" s="90" t="s">
        <v>37</v>
      </c>
      <c r="Q32" s="164" t="s">
        <v>69</v>
      </c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232.0</v>
      </c>
      <c r="G33" s="93">
        <v>232.0</v>
      </c>
      <c r="H33" s="92"/>
      <c r="I33" s="92"/>
      <c r="J33" s="133">
        <v>1982.0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8436.0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70.0</v>
      </c>
      <c r="G34" s="93">
        <v>70.0</v>
      </c>
      <c r="H34" s="92"/>
      <c r="I34" s="92"/>
      <c r="J34" s="133">
        <v>1983.0</v>
      </c>
      <c r="K34" s="24"/>
      <c r="L34" s="106"/>
      <c r="M34" s="106"/>
      <c r="N34" s="106"/>
      <c r="O34" s="106"/>
      <c r="P34" s="85" t="s">
        <v>40</v>
      </c>
      <c r="Q34" s="165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159.0</v>
      </c>
      <c r="G35" s="92"/>
      <c r="H35" s="93">
        <v>159.0</v>
      </c>
      <c r="I35" s="92"/>
      <c r="J35" s="133">
        <v>1984.0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229.0</v>
      </c>
      <c r="G36" s="92"/>
      <c r="H36" s="93">
        <v>229.0</v>
      </c>
      <c r="I36" s="92"/>
      <c r="J36" s="133">
        <v>1985.0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298.0</v>
      </c>
      <c r="G37" s="93">
        <v>298.0</v>
      </c>
      <c r="H37" s="92"/>
      <c r="I37" s="92"/>
      <c r="J37" s="133">
        <v>1986.0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930.0</v>
      </c>
      <c r="G38" s="93">
        <v>930.0</v>
      </c>
      <c r="H38" s="92"/>
      <c r="I38" s="92"/>
      <c r="J38" s="133">
        <v>1987.0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813.0</v>
      </c>
      <c r="G39" s="93" t="s">
        <v>69</v>
      </c>
      <c r="H39" s="93">
        <v>813.0</v>
      </c>
      <c r="I39" s="92"/>
      <c r="J39" s="133">
        <v>1988.0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479.0</v>
      </c>
      <c r="G40" s="93">
        <v>479.0</v>
      </c>
      <c r="H40" s="93"/>
      <c r="I40" s="92"/>
      <c r="J40" s="133">
        <v>1989.0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532.0</v>
      </c>
      <c r="G41" s="93">
        <v>532.0</v>
      </c>
      <c r="H41" s="93"/>
      <c r="I41" s="92"/>
      <c r="J41" s="133">
        <v>1990.0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115.0</v>
      </c>
      <c r="G42" s="93">
        <v>115.0</v>
      </c>
      <c r="H42" s="93"/>
      <c r="I42" s="92"/>
      <c r="J42" s="133">
        <v>1991.0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203.0</v>
      </c>
      <c r="G43" s="93">
        <v>203.0</v>
      </c>
      <c r="H43" s="92"/>
      <c r="I43" s="92"/>
      <c r="J43" s="133">
        <v>1992.0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250.0</v>
      </c>
      <c r="G44" s="92"/>
      <c r="H44" s="93">
        <v>250.0</v>
      </c>
      <c r="I44" s="92"/>
      <c r="J44" s="133">
        <v>1993.0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36.0</v>
      </c>
      <c r="G45" s="93" t="s">
        <v>69</v>
      </c>
      <c r="H45" s="93">
        <v>36.0</v>
      </c>
      <c r="I45" s="92"/>
      <c r="J45" s="133">
        <v>1994.0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1712.0</v>
      </c>
      <c r="G46" s="93"/>
      <c r="H46" s="93">
        <v>1712.0</v>
      </c>
      <c r="I46" s="92"/>
      <c r="J46" s="133" t="s">
        <v>83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292.0</v>
      </c>
      <c r="G47" s="93">
        <v>292.0</v>
      </c>
      <c r="H47" s="93"/>
      <c r="I47" s="92"/>
      <c r="J47" s="133">
        <v>1996.0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172.0</v>
      </c>
      <c r="G48" s="93" t="s">
        <v>69</v>
      </c>
      <c r="H48" s="93">
        <v>172.0</v>
      </c>
      <c r="I48" s="92"/>
      <c r="J48" s="133">
        <v>1997.0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87.0</v>
      </c>
      <c r="G49" s="92"/>
      <c r="H49" s="93">
        <v>87.0</v>
      </c>
      <c r="I49" s="92"/>
      <c r="J49" s="133">
        <v>1998.0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4.0</v>
      </c>
      <c r="G50" s="93">
        <v>4.0</v>
      </c>
      <c r="H50" s="93"/>
      <c r="I50" s="92"/>
      <c r="J50" s="133">
        <v>1999.0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50.0</v>
      </c>
      <c r="G51" s="92"/>
      <c r="H51" s="93">
        <v>50.0</v>
      </c>
      <c r="I51" s="92"/>
      <c r="J51" s="133">
        <v>2000.0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2566.0</v>
      </c>
      <c r="G52" s="93">
        <v>2566.0</v>
      </c>
      <c r="H52" s="92"/>
      <c r="I52" s="92"/>
      <c r="J52" s="133">
        <v>2001.0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50.0</v>
      </c>
      <c r="G53" s="93">
        <v>50.0</v>
      </c>
      <c r="H53" s="92"/>
      <c r="I53" s="92"/>
      <c r="J53" s="133">
        <v>2002.0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50.0</v>
      </c>
      <c r="G54" s="93" t="s">
        <v>69</v>
      </c>
      <c r="H54" s="93">
        <v>50.0</v>
      </c>
      <c r="I54" s="92"/>
      <c r="J54" s="133">
        <v>2003.0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564.0</v>
      </c>
      <c r="G55" s="93">
        <v>564.0</v>
      </c>
      <c r="H55" s="92"/>
      <c r="I55" s="92"/>
      <c r="J55" s="133">
        <v>2004.0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179.0</v>
      </c>
      <c r="G56" s="93" t="s">
        <v>69</v>
      </c>
      <c r="H56" s="93">
        <v>179.0</v>
      </c>
      <c r="I56" s="92"/>
      <c r="J56" s="133">
        <v>2005.0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35.0</v>
      </c>
      <c r="G57" s="92"/>
      <c r="H57" s="93">
        <v>35.0</v>
      </c>
      <c r="I57" s="92"/>
      <c r="J57" s="133">
        <v>2006.0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48.0</v>
      </c>
      <c r="G58" s="93">
        <v>48.0</v>
      </c>
      <c r="H58" s="92"/>
      <c r="I58" s="92"/>
      <c r="J58" s="133">
        <v>2007.0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28.0</v>
      </c>
      <c r="G59" s="93">
        <v>28.0</v>
      </c>
      <c r="H59" s="92"/>
      <c r="I59" s="92"/>
      <c r="J59" s="133">
        <v>2008.0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40.0</v>
      </c>
      <c r="G60" s="93" t="s">
        <v>69</v>
      </c>
      <c r="H60" s="93">
        <v>40.0</v>
      </c>
      <c r="I60" s="92"/>
      <c r="J60" s="133">
        <v>2009.0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71.0</v>
      </c>
      <c r="G61" s="93" t="s">
        <v>69</v>
      </c>
      <c r="H61" s="93">
        <v>71.0</v>
      </c>
      <c r="I61" s="92"/>
      <c r="J61" s="133">
        <v>2010.0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51.0</v>
      </c>
      <c r="G62" s="93" t="s">
        <v>69</v>
      </c>
      <c r="H62" s="93">
        <v>51.0</v>
      </c>
      <c r="I62" s="92"/>
      <c r="J62" s="133">
        <v>2011.0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75.0</v>
      </c>
      <c r="G63" s="93">
        <v>75.0</v>
      </c>
      <c r="H63" s="92"/>
      <c r="I63" s="92"/>
      <c r="J63" s="133">
        <v>2012.0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21.0</v>
      </c>
      <c r="G64" s="93">
        <v>21.0</v>
      </c>
      <c r="H64" s="92"/>
      <c r="I64" s="92"/>
      <c r="J64" s="133">
        <v>2013.0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1355.0</v>
      </c>
      <c r="G65" s="92"/>
      <c r="H65" s="93">
        <v>1355.0</v>
      </c>
      <c r="I65" s="92"/>
      <c r="J65" s="133" t="s">
        <v>128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50.0</v>
      </c>
      <c r="G66" s="92"/>
      <c r="H66" s="93">
        <v>50.0</v>
      </c>
      <c r="I66" s="92"/>
      <c r="J66" s="133">
        <v>2015.0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4.0</v>
      </c>
      <c r="G67" s="93">
        <v>4.0</v>
      </c>
      <c r="H67" s="92"/>
      <c r="I67" s="92"/>
      <c r="J67" s="133">
        <v>2016.0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250.0</v>
      </c>
      <c r="G68" s="93">
        <v>250.0</v>
      </c>
      <c r="H68" s="92"/>
      <c r="I68" s="92"/>
      <c r="J68" s="133">
        <v>2017.0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16.0</v>
      </c>
      <c r="G69" s="93">
        <v>16.0</v>
      </c>
      <c r="H69" s="92"/>
      <c r="I69" s="92"/>
      <c r="J69" s="133">
        <v>2018.0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1477.0</v>
      </c>
      <c r="G70" s="92"/>
      <c r="H70" s="93">
        <v>1477.0</v>
      </c>
      <c r="I70" s="92"/>
      <c r="J70" s="133">
        <v>2019.0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133">
        <v>2020.0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133">
        <v>2021.0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133">
        <v>2022.0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133">
        <v>2023.0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133">
        <v>2024.0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133">
        <v>2025.0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33">
        <v>2026.0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33">
        <v>2027.0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33">
        <v>2028.0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3">
        <v>2029.0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33">
        <v>2030.0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33">
        <v>2031.0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3">
        <v>2032.0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3">
        <v>2033.0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3">
        <v>2034.0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3">
        <v>2035.0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3">
        <v>2036.0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3">
        <v>2037.0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3">
        <v>2038.0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3">
        <v>2039.0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3">
        <v>2040.0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3">
        <v>2041.0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3">
        <v>2042.0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25986</v>
      </c>
      <c r="G97" s="123">
        <f t="shared" si="4"/>
        <v>11897</v>
      </c>
      <c r="H97" s="123">
        <f t="shared" si="4"/>
        <v>13059</v>
      </c>
      <c r="I97" s="123">
        <f t="shared" si="4"/>
        <v>1030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3.29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45975.0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24186.0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13059.0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27502.0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19067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9146</v>
      </c>
      <c r="D10" s="24"/>
      <c r="E10" s="43">
        <v>1.0</v>
      </c>
      <c r="F10" s="44">
        <v>266.0</v>
      </c>
      <c r="G10" s="45">
        <v>266.0</v>
      </c>
      <c r="H10" s="45"/>
      <c r="I10" s="45"/>
      <c r="J10" s="133">
        <v>2020.0</v>
      </c>
      <c r="K10" s="24"/>
      <c r="L10" s="47"/>
      <c r="M10" s="47">
        <v>1030.0</v>
      </c>
      <c r="N10" s="47" t="s">
        <v>129</v>
      </c>
      <c r="O10" s="49"/>
      <c r="P10" s="85" t="s">
        <v>130</v>
      </c>
      <c r="Q10" s="51"/>
      <c r="R10" s="52">
        <v>1000.0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9522</v>
      </c>
      <c r="D11" s="24"/>
      <c r="E11" s="43">
        <v>2.0</v>
      </c>
      <c r="F11" s="56">
        <v>285.0</v>
      </c>
      <c r="G11" s="57">
        <v>285.0</v>
      </c>
      <c r="H11" s="58"/>
      <c r="I11" s="59"/>
      <c r="J11" s="133">
        <v>2021.0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399</v>
      </c>
      <c r="D12" s="24"/>
      <c r="E12" s="43">
        <v>3.0</v>
      </c>
      <c r="F12" s="63">
        <v>228.0</v>
      </c>
      <c r="G12" s="64">
        <v>228.0</v>
      </c>
      <c r="H12" s="64"/>
      <c r="I12" s="65"/>
      <c r="J12" s="133">
        <v>2022.0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224.0</v>
      </c>
      <c r="G13" s="64">
        <v>224.0</v>
      </c>
      <c r="H13" s="65"/>
      <c r="I13" s="65"/>
      <c r="J13" s="133">
        <v>2023.0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1030</v>
      </c>
      <c r="D14" s="24"/>
      <c r="E14" s="43">
        <v>5.0</v>
      </c>
      <c r="F14" s="56">
        <v>80.0</v>
      </c>
      <c r="G14" s="64" t="s">
        <v>69</v>
      </c>
      <c r="H14" s="141">
        <v>80.0</v>
      </c>
      <c r="I14" s="65"/>
      <c r="J14" s="133">
        <v>2024.0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484.0</v>
      </c>
      <c r="G15" s="64">
        <v>484.0</v>
      </c>
      <c r="H15" s="64"/>
      <c r="I15" s="65"/>
      <c r="J15" s="133">
        <v>2025.0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1000</v>
      </c>
      <c r="D16" s="24"/>
      <c r="E16" s="43">
        <v>7.0</v>
      </c>
      <c r="F16" s="56">
        <v>53.0</v>
      </c>
      <c r="G16" s="64"/>
      <c r="H16" s="141">
        <v>53.0</v>
      </c>
      <c r="I16" s="65"/>
      <c r="J16" s="133">
        <v>2026.0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1000</v>
      </c>
      <c r="D17" s="24"/>
      <c r="E17" s="43">
        <v>8.0</v>
      </c>
      <c r="F17" s="56">
        <v>399.0</v>
      </c>
      <c r="G17" s="64"/>
      <c r="H17" s="141">
        <v>399.0</v>
      </c>
      <c r="I17" s="65"/>
      <c r="J17" s="133">
        <v>2027.0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618.0</v>
      </c>
      <c r="G18" s="64">
        <v>618.0</v>
      </c>
      <c r="H18" s="64"/>
      <c r="I18" s="65"/>
      <c r="J18" s="133">
        <v>2028.0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212.0</v>
      </c>
      <c r="G19" s="64" t="s">
        <v>69</v>
      </c>
      <c r="H19" s="141">
        <v>212.0</v>
      </c>
      <c r="I19" s="65"/>
      <c r="J19" s="133">
        <v>2029.0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26871</v>
      </c>
      <c r="D20" s="24"/>
      <c r="E20" s="43">
        <v>11.0</v>
      </c>
      <c r="F20" s="56">
        <v>213.0</v>
      </c>
      <c r="G20" s="64">
        <v>213.0</v>
      </c>
      <c r="H20" s="64"/>
      <c r="I20" s="65"/>
      <c r="J20" s="133">
        <v>2030.0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10552</v>
      </c>
      <c r="D21" s="24"/>
      <c r="E21" s="43">
        <v>12.0</v>
      </c>
      <c r="F21" s="56">
        <v>71.0</v>
      </c>
      <c r="G21" s="64">
        <v>71.0</v>
      </c>
      <c r="H21" s="64"/>
      <c r="I21" s="65"/>
      <c r="J21" s="133">
        <v>2031.0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28832</v>
      </c>
      <c r="D22" s="24"/>
      <c r="E22" s="43">
        <v>13.0</v>
      </c>
      <c r="F22" s="56">
        <v>399.0</v>
      </c>
      <c r="G22" s="64">
        <v>399.0</v>
      </c>
      <c r="H22" s="64"/>
      <c r="I22" s="64" t="s">
        <v>69</v>
      </c>
      <c r="J22" s="133">
        <v>2032.0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28698.0</v>
      </c>
      <c r="D23" s="24"/>
      <c r="E23" s="43">
        <v>14.0</v>
      </c>
      <c r="F23" s="56">
        <v>91.0</v>
      </c>
      <c r="G23" s="64">
        <v>91.0</v>
      </c>
      <c r="H23" s="65"/>
      <c r="I23" s="65"/>
      <c r="J23" s="133">
        <v>2033.0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134</v>
      </c>
      <c r="D24" s="24"/>
      <c r="E24" s="43">
        <v>15.0</v>
      </c>
      <c r="F24" s="56">
        <v>45.0</v>
      </c>
      <c r="G24" s="64">
        <v>45.0</v>
      </c>
      <c r="H24" s="65"/>
      <c r="I24" s="65"/>
      <c r="J24" s="133">
        <v>2034.0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40.0</v>
      </c>
      <c r="G25" s="64">
        <v>40.0</v>
      </c>
      <c r="H25" s="65"/>
      <c r="I25" s="65"/>
      <c r="J25" s="133">
        <v>2035.0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19067</v>
      </c>
      <c r="D26" s="24"/>
      <c r="E26" s="43">
        <v>17.0</v>
      </c>
      <c r="F26" s="56">
        <v>18.0</v>
      </c>
      <c r="G26" s="64">
        <v>18.0</v>
      </c>
      <c r="H26" s="65"/>
      <c r="I26" s="65"/>
      <c r="J26" s="133">
        <v>2036.0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69.0</v>
      </c>
      <c r="D27" s="24"/>
      <c r="E27" s="43">
        <v>18.0</v>
      </c>
      <c r="F27" s="56">
        <v>1.0</v>
      </c>
      <c r="G27" s="64">
        <v>1.0</v>
      </c>
      <c r="H27" s="65"/>
      <c r="I27" s="65"/>
      <c r="J27" s="133">
        <v>2037.0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276.3333333</v>
      </c>
      <c r="D28" s="24"/>
      <c r="E28" s="43">
        <v>19.0</v>
      </c>
      <c r="F28" s="56">
        <v>1138.0</v>
      </c>
      <c r="G28" s="64">
        <v>1138.0</v>
      </c>
      <c r="H28" s="65"/>
      <c r="I28" s="65"/>
      <c r="J28" s="133">
        <v>2038.0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62.0</v>
      </c>
      <c r="G29" s="64">
        <v>62.0</v>
      </c>
      <c r="H29" s="65"/>
      <c r="I29" s="65"/>
      <c r="J29" s="133">
        <v>2039.0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20.0</v>
      </c>
      <c r="G30" s="93" t="s">
        <v>69</v>
      </c>
      <c r="H30" s="137">
        <v>20.0</v>
      </c>
      <c r="I30" s="93"/>
      <c r="J30" s="133">
        <v>2040.0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13059</v>
      </c>
      <c r="D31" s="24"/>
      <c r="E31" s="43">
        <v>22.0</v>
      </c>
      <c r="F31" s="56">
        <v>399.0</v>
      </c>
      <c r="G31" s="93" t="s">
        <v>69</v>
      </c>
      <c r="H31" s="137">
        <v>399.0</v>
      </c>
      <c r="I31" s="92"/>
      <c r="J31" s="133">
        <v>2041.0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1000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38.0</v>
      </c>
      <c r="G32" s="93">
        <v>38.0</v>
      </c>
      <c r="H32" s="92"/>
      <c r="I32" s="92"/>
      <c r="J32" s="133">
        <v>2042.0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147.0</v>
      </c>
      <c r="G33" s="93"/>
      <c r="H33" s="137">
        <v>147.0</v>
      </c>
      <c r="I33" s="92"/>
      <c r="J33" s="133">
        <v>2043.0</v>
      </c>
      <c r="K33" s="24"/>
      <c r="L33" s="104">
        <f t="shared" ref="L33:M33" si="2">sum(L10:L32)</f>
        <v>0</v>
      </c>
      <c r="M33" s="104">
        <f t="shared" si="2"/>
        <v>1030</v>
      </c>
      <c r="N33" s="104"/>
      <c r="O33" s="105"/>
      <c r="P33" s="85" t="s">
        <v>38</v>
      </c>
      <c r="Q33" s="51"/>
      <c r="R33" s="100"/>
      <c r="S33" s="52">
        <v>13059.0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775.0</v>
      </c>
      <c r="G34" s="93">
        <v>775.0</v>
      </c>
      <c r="H34" s="92"/>
      <c r="I34" s="92"/>
      <c r="J34" s="133">
        <v>2044.0</v>
      </c>
      <c r="K34" s="24"/>
      <c r="L34" s="106"/>
      <c r="M34" s="106"/>
      <c r="N34" s="106"/>
      <c r="O34" s="106"/>
      <c r="P34" s="85" t="s">
        <v>40</v>
      </c>
      <c r="Q34" s="165" t="s">
        <v>69</v>
      </c>
      <c r="R34" s="138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418.0</v>
      </c>
      <c r="G35" s="93">
        <v>418.0</v>
      </c>
      <c r="H35" s="93"/>
      <c r="I35" s="92"/>
      <c r="J35" s="133">
        <v>2045.0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21.0</v>
      </c>
      <c r="G36" s="93">
        <v>21.0</v>
      </c>
      <c r="H36" s="93"/>
      <c r="I36" s="92"/>
      <c r="J36" s="133">
        <v>2046.0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337.0</v>
      </c>
      <c r="G37" s="93">
        <v>337.0</v>
      </c>
      <c r="H37" s="92"/>
      <c r="I37" s="92"/>
      <c r="J37" s="133">
        <v>2047.0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826.0</v>
      </c>
      <c r="G38" s="93">
        <v>826.0</v>
      </c>
      <c r="H38" s="92"/>
      <c r="I38" s="92"/>
      <c r="J38" s="133">
        <v>2048.0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77.0</v>
      </c>
      <c r="G39" s="93" t="s">
        <v>69</v>
      </c>
      <c r="H39" s="137">
        <v>77.0</v>
      </c>
      <c r="I39" s="92"/>
      <c r="J39" s="133">
        <v>2049.0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585.0</v>
      </c>
      <c r="G40" s="92"/>
      <c r="H40" s="137">
        <v>585.0</v>
      </c>
      <c r="I40" s="92"/>
      <c r="J40" s="133">
        <v>2050.0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160.0</v>
      </c>
      <c r="G41" s="92"/>
      <c r="H41" s="137">
        <v>160.0</v>
      </c>
      <c r="I41" s="92"/>
      <c r="J41" s="133">
        <v>2051.0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399.0</v>
      </c>
      <c r="G42" s="93"/>
      <c r="H42" s="93"/>
      <c r="I42" s="93">
        <v>399.0</v>
      </c>
      <c r="J42" s="133" t="s">
        <v>131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113.0</v>
      </c>
      <c r="G43" s="93">
        <v>113.0</v>
      </c>
      <c r="H43" s="92"/>
      <c r="I43" s="92"/>
      <c r="J43" s="133">
        <v>2053.0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21.0</v>
      </c>
      <c r="G44" s="93">
        <v>21.0</v>
      </c>
      <c r="H44" s="93"/>
      <c r="I44" s="92"/>
      <c r="J44" s="133">
        <v>2054.0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129.0</v>
      </c>
      <c r="G45" s="93">
        <v>129.0</v>
      </c>
      <c r="H45" s="92"/>
      <c r="I45" s="92"/>
      <c r="J45" s="133">
        <v>2055.0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193.0</v>
      </c>
      <c r="G46" s="93">
        <v>193.0</v>
      </c>
      <c r="H46" s="92"/>
      <c r="I46" s="92"/>
      <c r="J46" s="133">
        <v>2056.0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387.0</v>
      </c>
      <c r="G47" s="93">
        <v>387.0</v>
      </c>
      <c r="H47" s="93"/>
      <c r="I47" s="92"/>
      <c r="J47" s="133">
        <v>2057.0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147.0</v>
      </c>
      <c r="G48" s="93">
        <v>147.0</v>
      </c>
      <c r="H48" s="92"/>
      <c r="I48" s="92"/>
      <c r="J48" s="133">
        <v>2058.0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40.0</v>
      </c>
      <c r="G49" s="93">
        <v>40.0</v>
      </c>
      <c r="H49" s="92"/>
      <c r="I49" s="92"/>
      <c r="J49" s="133">
        <v>2059.0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212.0</v>
      </c>
      <c r="G50" s="93">
        <v>212.0</v>
      </c>
      <c r="H50" s="93"/>
      <c r="I50" s="92"/>
      <c r="J50" s="133">
        <v>2060.0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88.0</v>
      </c>
      <c r="G51" s="93">
        <v>88.0</v>
      </c>
      <c r="H51" s="92"/>
      <c r="I51" s="92"/>
      <c r="J51" s="133">
        <v>2061.0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100.0</v>
      </c>
      <c r="G52" s="93">
        <v>100.0</v>
      </c>
      <c r="H52" s="93" t="s">
        <v>69</v>
      </c>
      <c r="I52" s="92"/>
      <c r="J52" s="133">
        <v>2062.0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125.0</v>
      </c>
      <c r="G53" s="92"/>
      <c r="H53" s="137">
        <v>125.0</v>
      </c>
      <c r="I53" s="92"/>
      <c r="J53" s="133" t="s">
        <v>132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118.0</v>
      </c>
      <c r="G54" s="93">
        <v>118.0</v>
      </c>
      <c r="H54" s="92"/>
      <c r="I54" s="92"/>
      <c r="J54" s="133">
        <v>2064.0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36.0</v>
      </c>
      <c r="G55" s="93">
        <v>36.0</v>
      </c>
      <c r="H55" s="92"/>
      <c r="I55" s="92"/>
      <c r="J55" s="133">
        <v>2065.0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77.0</v>
      </c>
      <c r="G56" s="93">
        <v>77.0</v>
      </c>
      <c r="H56" s="93"/>
      <c r="I56" s="92"/>
      <c r="J56" s="133">
        <v>2066.0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49.0</v>
      </c>
      <c r="G57" s="93">
        <v>49.0</v>
      </c>
      <c r="H57" s="92"/>
      <c r="I57" s="92"/>
      <c r="J57" s="133">
        <v>2067.0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399.0</v>
      </c>
      <c r="G58" s="93">
        <v>399.0</v>
      </c>
      <c r="H58" s="92"/>
      <c r="I58" s="92"/>
      <c r="J58" s="133">
        <v>2068.0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186.0</v>
      </c>
      <c r="G59" s="93">
        <v>186.0</v>
      </c>
      <c r="H59" s="92"/>
      <c r="I59" s="92"/>
      <c r="J59" s="133">
        <v>2069.0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59.0</v>
      </c>
      <c r="G60" s="92"/>
      <c r="H60" s="147">
        <v>59.0</v>
      </c>
      <c r="I60" s="92"/>
      <c r="J60" s="133">
        <v>2070.0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495.0</v>
      </c>
      <c r="G61" s="92"/>
      <c r="H61" s="137">
        <v>495.0</v>
      </c>
      <c r="I61" s="92"/>
      <c r="J61" s="133">
        <v>2071.0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233.0</v>
      </c>
      <c r="G62" s="92"/>
      <c r="H62" s="137">
        <v>233.0</v>
      </c>
      <c r="I62" s="92"/>
      <c r="J62" s="133">
        <v>2072.0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1209.0</v>
      </c>
      <c r="G63" s="92"/>
      <c r="H63" s="137">
        <v>1209.0</v>
      </c>
      <c r="I63" s="92"/>
      <c r="J63" s="133" t="s">
        <v>133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121.0</v>
      </c>
      <c r="G64" s="92"/>
      <c r="H64" s="137">
        <v>121.0</v>
      </c>
      <c r="I64" s="92"/>
      <c r="J64" s="133">
        <v>2074.0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399.0</v>
      </c>
      <c r="G65" s="92"/>
      <c r="H65" s="137">
        <v>399.0</v>
      </c>
      <c r="I65" s="92"/>
      <c r="J65" s="133" t="s">
        <v>134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399.0</v>
      </c>
      <c r="G66" s="92"/>
      <c r="H66" s="137">
        <v>399.0</v>
      </c>
      <c r="I66" s="92"/>
      <c r="J66" s="133" t="s">
        <v>135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1843.0</v>
      </c>
      <c r="G67" s="92"/>
      <c r="H67" s="137">
        <v>1843.0</v>
      </c>
      <c r="I67" s="92"/>
      <c r="J67" s="133">
        <v>2077.0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100.0</v>
      </c>
      <c r="G68" s="92"/>
      <c r="H68" s="137">
        <v>100.0</v>
      </c>
      <c r="I68" s="92"/>
      <c r="J68" s="133">
        <v>2078.0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129.0</v>
      </c>
      <c r="G69" s="92"/>
      <c r="H69" s="137">
        <v>129.0</v>
      </c>
      <c r="I69" s="92"/>
      <c r="J69" s="133">
        <v>2079.0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150.0</v>
      </c>
      <c r="G70" s="92"/>
      <c r="H70" s="137">
        <v>150.0</v>
      </c>
      <c r="I70" s="92"/>
      <c r="J70" s="133">
        <v>2080.0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128.0</v>
      </c>
      <c r="G71" s="92"/>
      <c r="H71" s="137">
        <v>128.0</v>
      </c>
      <c r="I71" s="92"/>
      <c r="J71" s="133">
        <v>2081.0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134.0</v>
      </c>
      <c r="G72" s="93">
        <v>134.0</v>
      </c>
      <c r="H72" s="92"/>
      <c r="I72" s="92"/>
      <c r="J72" s="133">
        <v>2082.0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225.0</v>
      </c>
      <c r="G73" s="93" t="s">
        <v>69</v>
      </c>
      <c r="H73" s="137">
        <v>225.0</v>
      </c>
      <c r="I73" s="92"/>
      <c r="J73" s="133">
        <v>2083.0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17.0</v>
      </c>
      <c r="G74" s="93">
        <v>17.0</v>
      </c>
      <c r="H74" s="166"/>
      <c r="I74" s="92"/>
      <c r="J74" s="133">
        <v>2084.0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774.0</v>
      </c>
      <c r="G75" s="92"/>
      <c r="H75" s="137">
        <v>774.0</v>
      </c>
      <c r="I75" s="92"/>
      <c r="J75" s="133">
        <v>2085.0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102.0</v>
      </c>
      <c r="G76" s="93">
        <v>102.0</v>
      </c>
      <c r="H76" s="92"/>
      <c r="I76" s="92"/>
      <c r="J76" s="133">
        <v>2086.0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947.0</v>
      </c>
      <c r="G77" s="92"/>
      <c r="H77" s="93">
        <v>947.0</v>
      </c>
      <c r="I77" s="92"/>
      <c r="J77" s="133">
        <v>2087.0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54.0</v>
      </c>
      <c r="G78" s="92"/>
      <c r="H78" s="167">
        <v>54.0</v>
      </c>
      <c r="I78" s="92"/>
      <c r="J78" s="133">
        <v>2088.0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33">
        <v>2089.0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3">
        <v>2090.0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33">
        <v>2091.0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92"/>
      <c r="I82" s="61"/>
      <c r="J82" s="133">
        <v>2092.0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92"/>
      <c r="I83" s="61"/>
      <c r="J83" s="133">
        <v>2093.0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92"/>
      <c r="I84" s="61"/>
      <c r="J84" s="133">
        <v>2094.0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92"/>
      <c r="I85" s="61"/>
      <c r="J85" s="133">
        <v>2095.0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92"/>
      <c r="I86" s="61"/>
      <c r="J86" s="133">
        <v>2096.0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93"/>
      <c r="I87" s="61"/>
      <c r="J87" s="133">
        <v>2097.0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92"/>
      <c r="I88" s="61"/>
      <c r="J88" s="133">
        <v>2098.0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92"/>
      <c r="I89" s="61"/>
      <c r="J89" s="133">
        <v>2099.0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3">
        <v>2100.0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19067</v>
      </c>
      <c r="G97" s="123">
        <f t="shared" si="4"/>
        <v>9146</v>
      </c>
      <c r="H97" s="123">
        <f t="shared" si="4"/>
        <v>9522</v>
      </c>
      <c r="I97" s="123">
        <f t="shared" si="4"/>
        <v>399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45976.0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28832.0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10552.0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26871.0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26595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14557</v>
      </c>
      <c r="D10" s="24"/>
      <c r="E10" s="43">
        <v>1.0</v>
      </c>
      <c r="F10" s="44">
        <v>56.0</v>
      </c>
      <c r="G10" s="45"/>
      <c r="H10" s="145">
        <v>56.0</v>
      </c>
      <c r="I10" s="45"/>
      <c r="J10" s="133">
        <v>2089.0</v>
      </c>
      <c r="K10" s="24"/>
      <c r="L10" s="47"/>
      <c r="M10" s="47"/>
      <c r="N10" s="48"/>
      <c r="O10" s="49"/>
      <c r="P10" s="85" t="s">
        <v>136</v>
      </c>
      <c r="Q10" s="51"/>
      <c r="R10" s="52">
        <v>1000.0</v>
      </c>
      <c r="S10" s="53"/>
      <c r="T10" s="54"/>
      <c r="U10" s="55"/>
      <c r="V10" s="24"/>
      <c r="W10" s="47">
        <v>128.0</v>
      </c>
      <c r="X10" s="47"/>
      <c r="Y10" s="47" t="s">
        <v>137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11643</v>
      </c>
      <c r="D11" s="24"/>
      <c r="E11" s="43">
        <v>2.0</v>
      </c>
      <c r="F11" s="56">
        <v>123.0</v>
      </c>
      <c r="G11" s="57">
        <v>123.0</v>
      </c>
      <c r="H11" s="58"/>
      <c r="I11" s="59"/>
      <c r="J11" s="133">
        <v>2090.0</v>
      </c>
      <c r="K11" s="24"/>
      <c r="L11" s="48"/>
      <c r="M11" s="48"/>
      <c r="N11" s="48"/>
      <c r="O11" s="49"/>
      <c r="P11" s="72" t="s">
        <v>80</v>
      </c>
      <c r="Q11" s="51"/>
      <c r="R11" s="52">
        <v>100.0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399</v>
      </c>
      <c r="D12" s="24"/>
      <c r="E12" s="43">
        <v>3.0</v>
      </c>
      <c r="F12" s="63">
        <v>62.0</v>
      </c>
      <c r="G12" s="64">
        <v>62.0</v>
      </c>
      <c r="H12" s="64"/>
      <c r="I12" s="65"/>
      <c r="J12" s="133">
        <v>2091.0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177.0</v>
      </c>
      <c r="G13" s="64">
        <v>177.0</v>
      </c>
      <c r="H13" s="65"/>
      <c r="I13" s="65"/>
      <c r="J13" s="133">
        <v>2092.0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27.0</v>
      </c>
      <c r="G14" s="64">
        <v>27.0</v>
      </c>
      <c r="H14" s="65"/>
      <c r="I14" s="65"/>
      <c r="J14" s="133">
        <v>2093.0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128</v>
      </c>
      <c r="D15" s="24"/>
      <c r="E15" s="43">
        <v>6.0</v>
      </c>
      <c r="F15" s="56">
        <v>187.0</v>
      </c>
      <c r="G15" s="64">
        <v>187.0</v>
      </c>
      <c r="H15" s="64"/>
      <c r="I15" s="65"/>
      <c r="J15" s="133">
        <v>2094.0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1100</v>
      </c>
      <c r="D16" s="24"/>
      <c r="E16" s="43">
        <v>7.0</v>
      </c>
      <c r="F16" s="56">
        <v>798.0</v>
      </c>
      <c r="G16" s="64">
        <v>798.0</v>
      </c>
      <c r="H16" s="64"/>
      <c r="I16" s="65"/>
      <c r="J16" s="133">
        <v>2095.0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1100</v>
      </c>
      <c r="D17" s="24"/>
      <c r="E17" s="43">
        <v>8.0</v>
      </c>
      <c r="F17" s="56">
        <v>125.0</v>
      </c>
      <c r="G17" s="64">
        <v>125.0</v>
      </c>
      <c r="H17" s="64"/>
      <c r="I17" s="65"/>
      <c r="J17" s="133">
        <v>2096.0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44.0</v>
      </c>
      <c r="G18" s="64">
        <v>44.0</v>
      </c>
      <c r="H18" s="64"/>
      <c r="I18" s="65"/>
      <c r="J18" s="133">
        <v>2097.0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128.0</v>
      </c>
      <c r="G19" s="64">
        <v>128.0</v>
      </c>
      <c r="H19" s="65"/>
      <c r="I19" s="65"/>
      <c r="J19" s="133">
        <v>2098.0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27270</v>
      </c>
      <c r="D20" s="24"/>
      <c r="E20" s="43">
        <v>11.0</v>
      </c>
      <c r="F20" s="56">
        <v>141.0</v>
      </c>
      <c r="G20" s="64">
        <v>141.0</v>
      </c>
      <c r="H20" s="64"/>
      <c r="I20" s="65"/>
      <c r="J20" s="133">
        <v>2099.0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11643</v>
      </c>
      <c r="D21" s="24"/>
      <c r="E21" s="43">
        <v>12.0</v>
      </c>
      <c r="F21" s="56">
        <v>399.0</v>
      </c>
      <c r="G21" s="64"/>
      <c r="H21" s="141">
        <v>399.0</v>
      </c>
      <c r="I21" s="65"/>
      <c r="J21" s="133" t="s">
        <v>138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38789</v>
      </c>
      <c r="D22" s="24"/>
      <c r="E22" s="43">
        <v>13.0</v>
      </c>
      <c r="F22" s="56">
        <v>708.0</v>
      </c>
      <c r="G22" s="64">
        <v>708.0</v>
      </c>
      <c r="H22" s="64"/>
      <c r="I22" s="65"/>
      <c r="J22" s="133">
        <v>2101.0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38491.0</v>
      </c>
      <c r="D23" s="24"/>
      <c r="E23" s="43">
        <v>14.0</v>
      </c>
      <c r="F23" s="56">
        <v>765.0</v>
      </c>
      <c r="G23" s="65"/>
      <c r="H23" s="141">
        <v>765.0</v>
      </c>
      <c r="I23" s="65"/>
      <c r="J23" s="133">
        <v>2102.0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298</v>
      </c>
      <c r="D24" s="24"/>
      <c r="E24" s="43">
        <v>15.0</v>
      </c>
      <c r="F24" s="56">
        <v>71.0</v>
      </c>
      <c r="G24" s="64">
        <v>71.0</v>
      </c>
      <c r="H24" s="65"/>
      <c r="I24" s="65"/>
      <c r="J24" s="133">
        <v>2103.0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377.0</v>
      </c>
      <c r="G25" s="64">
        <v>377.0</v>
      </c>
      <c r="H25" s="65"/>
      <c r="I25" s="65"/>
      <c r="J25" s="133">
        <v>2104.0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26723</v>
      </c>
      <c r="D26" s="24"/>
      <c r="E26" s="43">
        <v>17.0</v>
      </c>
      <c r="F26" s="56">
        <v>720.0</v>
      </c>
      <c r="G26" s="64">
        <v>720.0</v>
      </c>
      <c r="H26" s="65"/>
      <c r="I26" s="65"/>
      <c r="J26" s="133">
        <v>2105.0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87.0</v>
      </c>
      <c r="D27" s="24"/>
      <c r="E27" s="43">
        <v>18.0</v>
      </c>
      <c r="F27" s="56">
        <v>1197.0</v>
      </c>
      <c r="G27" s="64">
        <v>800.0</v>
      </c>
      <c r="H27" s="141">
        <v>397.0</v>
      </c>
      <c r="I27" s="65"/>
      <c r="J27" s="133">
        <v>2106.0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307.1609195</v>
      </c>
      <c r="D28" s="24"/>
      <c r="E28" s="43">
        <v>19.0</v>
      </c>
      <c r="F28" s="56">
        <v>352.0</v>
      </c>
      <c r="G28" s="64"/>
      <c r="H28" s="141">
        <v>352.0</v>
      </c>
      <c r="I28" s="65"/>
      <c r="J28" s="133">
        <v>2107.0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45.0</v>
      </c>
      <c r="G29" s="64">
        <v>45.0</v>
      </c>
      <c r="H29" s="65"/>
      <c r="I29" s="65"/>
      <c r="J29" s="133">
        <v>2108.0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90.0</v>
      </c>
      <c r="G30" s="93">
        <v>90.0</v>
      </c>
      <c r="H30" s="92"/>
      <c r="I30" s="93"/>
      <c r="J30" s="133">
        <v>2109.0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10552</v>
      </c>
      <c r="D31" s="24"/>
      <c r="E31" s="43">
        <v>22.0</v>
      </c>
      <c r="F31" s="56">
        <v>104.0</v>
      </c>
      <c r="G31" s="93"/>
      <c r="H31" s="137">
        <v>104.0</v>
      </c>
      <c r="I31" s="92"/>
      <c r="J31" s="133">
        <v>2110.0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1100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417.0</v>
      </c>
      <c r="G32" s="93">
        <v>218.0</v>
      </c>
      <c r="H32" s="137">
        <v>199.0</v>
      </c>
      <c r="I32" s="92"/>
      <c r="J32" s="133">
        <v>2111.0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363.0</v>
      </c>
      <c r="G33" s="93"/>
      <c r="H33" s="137">
        <v>363.0</v>
      </c>
      <c r="I33" s="92"/>
      <c r="J33" s="133">
        <v>2112.0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10552.0</v>
      </c>
      <c r="T33" s="101"/>
      <c r="U33" s="55"/>
      <c r="V33" s="24"/>
      <c r="W33" s="104">
        <f t="shared" ref="W33:X33" si="3">sum(W10:W32)</f>
        <v>128</v>
      </c>
      <c r="X33" s="104">
        <f t="shared" si="3"/>
        <v>0</v>
      </c>
      <c r="Y33" s="104">
        <f>W33+X33</f>
        <v>128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648.0</v>
      </c>
      <c r="G34" s="93">
        <v>648.0</v>
      </c>
      <c r="H34" s="92"/>
      <c r="I34" s="92"/>
      <c r="J34" s="133">
        <v>2113.0</v>
      </c>
      <c r="K34" s="24"/>
      <c r="L34" s="106"/>
      <c r="M34" s="106"/>
      <c r="N34" s="106"/>
      <c r="O34" s="106"/>
      <c r="P34" s="85" t="s">
        <v>40</v>
      </c>
      <c r="Q34" s="165"/>
      <c r="R34" s="138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146.0</v>
      </c>
      <c r="G35" s="93">
        <v>146.0</v>
      </c>
      <c r="H35" s="93"/>
      <c r="I35" s="92"/>
      <c r="J35" s="133">
        <v>2114.0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982.0</v>
      </c>
      <c r="G36" s="93"/>
      <c r="H36" s="137">
        <v>982.0</v>
      </c>
      <c r="I36" s="92"/>
      <c r="J36" s="133">
        <v>2115.0</v>
      </c>
      <c r="K36" s="24"/>
      <c r="L36" s="112"/>
      <c r="M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399.0</v>
      </c>
      <c r="G37" s="93">
        <v>399.0</v>
      </c>
      <c r="H37" s="92"/>
      <c r="I37" s="92"/>
      <c r="J37" s="133">
        <v>2116.0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437.0</v>
      </c>
      <c r="G38" s="93">
        <v>437.0</v>
      </c>
      <c r="H38" s="92"/>
      <c r="I38" s="92"/>
      <c r="J38" s="133">
        <v>2117.0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591.0</v>
      </c>
      <c r="G39" s="93">
        <v>500.0</v>
      </c>
      <c r="H39" s="93">
        <v>91.0</v>
      </c>
      <c r="I39" s="92"/>
      <c r="J39" s="133">
        <v>2118.0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512.0</v>
      </c>
      <c r="G40" s="93">
        <v>512.0</v>
      </c>
      <c r="H40" s="166"/>
      <c r="I40" s="92"/>
      <c r="J40" s="133">
        <v>2119.0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388.0</v>
      </c>
      <c r="G41" s="93"/>
      <c r="H41" s="137">
        <v>388.0</v>
      </c>
      <c r="I41" s="92"/>
      <c r="J41" s="133">
        <v>2120.0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299.0</v>
      </c>
      <c r="G42" s="93">
        <v>299.0</v>
      </c>
      <c r="H42" s="93"/>
      <c r="I42" s="92"/>
      <c r="J42" s="133">
        <v>2121.0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255.0</v>
      </c>
      <c r="G43" s="93">
        <v>255.0</v>
      </c>
      <c r="H43" s="92"/>
      <c r="I43" s="92"/>
      <c r="J43" s="133">
        <v>2122.0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554.0</v>
      </c>
      <c r="G44" s="92"/>
      <c r="H44" s="137">
        <v>554.0</v>
      </c>
      <c r="I44" s="92"/>
      <c r="J44" s="133">
        <v>2123.0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501.0</v>
      </c>
      <c r="G45" s="93">
        <v>501.0</v>
      </c>
      <c r="H45" s="93"/>
      <c r="I45" s="92"/>
      <c r="J45" s="133">
        <v>2124.0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668.0</v>
      </c>
      <c r="G46" s="93"/>
      <c r="H46" s="137">
        <v>668.0</v>
      </c>
      <c r="I46" s="92"/>
      <c r="J46" s="133">
        <v>2125.0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365.0</v>
      </c>
      <c r="G47" s="92"/>
      <c r="H47" s="137">
        <v>365.0</v>
      </c>
      <c r="I47" s="92"/>
      <c r="J47" s="133">
        <v>2126.0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399.0</v>
      </c>
      <c r="G48" s="93">
        <v>399.0</v>
      </c>
      <c r="H48" s="92"/>
      <c r="I48" s="92"/>
      <c r="J48" s="133">
        <v>2127.0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77.0</v>
      </c>
      <c r="G49" s="92"/>
      <c r="H49" s="137">
        <v>77.0</v>
      </c>
      <c r="I49" s="92"/>
      <c r="J49" s="133">
        <v>2128.0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299.0</v>
      </c>
      <c r="G50" s="93">
        <v>299.0</v>
      </c>
      <c r="H50" s="93"/>
      <c r="I50" s="92"/>
      <c r="J50" s="133">
        <v>2129.0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275.0</v>
      </c>
      <c r="G51" s="93">
        <v>275.0</v>
      </c>
      <c r="H51" s="92"/>
      <c r="I51" s="92"/>
      <c r="J51" s="133">
        <v>2130.0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80.0</v>
      </c>
      <c r="G52" s="93">
        <v>80.0</v>
      </c>
      <c r="H52" s="92"/>
      <c r="I52" s="92"/>
      <c r="J52" s="133">
        <v>2131.0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30.0</v>
      </c>
      <c r="G53" s="93">
        <v>30.0</v>
      </c>
      <c r="H53" s="92"/>
      <c r="I53" s="92"/>
      <c r="J53" s="133">
        <v>2132.0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69.0</v>
      </c>
      <c r="G54" s="93">
        <v>69.0</v>
      </c>
      <c r="H54" s="92"/>
      <c r="I54" s="92"/>
      <c r="J54" s="133">
        <v>2133.0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266.0</v>
      </c>
      <c r="G55" s="93">
        <v>266.0</v>
      </c>
      <c r="H55" s="92"/>
      <c r="I55" s="92"/>
      <c r="J55" s="133">
        <v>2134.0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4.0</v>
      </c>
      <c r="G56" s="93">
        <v>4.0</v>
      </c>
      <c r="H56" s="92"/>
      <c r="I56" s="92"/>
      <c r="J56" s="133">
        <v>2135.0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504.0</v>
      </c>
      <c r="G57" s="92"/>
      <c r="H57" s="137">
        <v>504.0</v>
      </c>
      <c r="I57" s="92"/>
      <c r="J57" s="133" t="s">
        <v>139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318.0</v>
      </c>
      <c r="G58" s="92"/>
      <c r="H58" s="137">
        <v>318.0</v>
      </c>
      <c r="I58" s="92"/>
      <c r="J58" s="133">
        <v>2137.0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50.0</v>
      </c>
      <c r="G59" s="93">
        <v>50.0</v>
      </c>
      <c r="H59" s="92"/>
      <c r="I59" s="92"/>
      <c r="J59" s="133">
        <v>2138.0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399.0</v>
      </c>
      <c r="G60" s="93">
        <v>399.0</v>
      </c>
      <c r="H60" s="92"/>
      <c r="I60" s="92"/>
      <c r="J60" s="133">
        <v>2139.0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90.0</v>
      </c>
      <c r="G61" s="93">
        <v>90.0</v>
      </c>
      <c r="H61" s="92"/>
      <c r="I61" s="92"/>
      <c r="J61" s="133">
        <v>2140.0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102.0</v>
      </c>
      <c r="G62" s="93">
        <v>102.0</v>
      </c>
      <c r="H62" s="92"/>
      <c r="I62" s="92"/>
      <c r="J62" s="133">
        <v>2141.0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91.0</v>
      </c>
      <c r="G63" s="93">
        <v>91.0</v>
      </c>
      <c r="H63" s="92"/>
      <c r="I63" s="92"/>
      <c r="J63" s="133">
        <v>2142.0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330.0</v>
      </c>
      <c r="G64" s="93" t="s">
        <v>69</v>
      </c>
      <c r="H64" s="137">
        <v>330.0</v>
      </c>
      <c r="I64" s="92"/>
      <c r="J64" s="133">
        <v>2143.0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10.0</v>
      </c>
      <c r="G65" s="93">
        <v>10.0</v>
      </c>
      <c r="H65" s="92"/>
      <c r="I65" s="92"/>
      <c r="J65" s="133">
        <v>2144.0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70.0</v>
      </c>
      <c r="G66" s="93">
        <v>70.0</v>
      </c>
      <c r="H66" s="92"/>
      <c r="I66" s="92"/>
      <c r="J66" s="133">
        <v>2145.0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112.0</v>
      </c>
      <c r="G67" s="93" t="s">
        <v>69</v>
      </c>
      <c r="H67" s="137">
        <v>112.0</v>
      </c>
      <c r="I67" s="92"/>
      <c r="J67" s="133">
        <v>2146.0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15.0</v>
      </c>
      <c r="G68" s="93">
        <v>15.0</v>
      </c>
      <c r="H68" s="92"/>
      <c r="I68" s="92"/>
      <c r="J68" s="133">
        <v>2147.0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95.0</v>
      </c>
      <c r="G69" s="93">
        <v>95.0</v>
      </c>
      <c r="H69" s="92"/>
      <c r="I69" s="92"/>
      <c r="J69" s="133">
        <v>2148.0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87.0</v>
      </c>
      <c r="G70" s="93">
        <v>87.0</v>
      </c>
      <c r="H70" s="92"/>
      <c r="I70" s="92"/>
      <c r="J70" s="133">
        <v>2149.0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76.0</v>
      </c>
      <c r="G71" s="93">
        <v>76.0</v>
      </c>
      <c r="H71" s="92"/>
      <c r="I71" s="92"/>
      <c r="J71" s="133">
        <v>2150.0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68.0</v>
      </c>
      <c r="G72" s="92"/>
      <c r="H72" s="137">
        <v>72.0</v>
      </c>
      <c r="I72" s="92"/>
      <c r="J72" s="133">
        <v>2151.0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189.0</v>
      </c>
      <c r="G73" s="92"/>
      <c r="H73" s="137">
        <v>189.0</v>
      </c>
      <c r="I73" s="92"/>
      <c r="J73" s="133">
        <v>2152.0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20.0</v>
      </c>
      <c r="G74" s="93">
        <v>20.0</v>
      </c>
      <c r="H74" s="92"/>
      <c r="I74" s="92"/>
      <c r="J74" s="133">
        <v>2153.0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230.0</v>
      </c>
      <c r="G75" s="92"/>
      <c r="H75" s="137">
        <v>230.0</v>
      </c>
      <c r="I75" s="92"/>
      <c r="J75" s="133">
        <v>2154.0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223.0</v>
      </c>
      <c r="G76" s="93">
        <v>223.0</v>
      </c>
      <c r="H76" s="92"/>
      <c r="I76" s="92"/>
      <c r="J76" s="133">
        <v>2155.0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164.0</v>
      </c>
      <c r="G77" s="93">
        <v>164.0</v>
      </c>
      <c r="H77" s="93" t="s">
        <v>69</v>
      </c>
      <c r="I77" s="93"/>
      <c r="J77" s="133">
        <v>2156.0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117.0</v>
      </c>
      <c r="G78" s="93">
        <v>117.0</v>
      </c>
      <c r="H78" s="92"/>
      <c r="I78" s="92"/>
      <c r="J78" s="133">
        <v>2157.0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131.0</v>
      </c>
      <c r="G79" s="92"/>
      <c r="H79" s="137">
        <v>131.0</v>
      </c>
      <c r="I79" s="92"/>
      <c r="J79" s="133">
        <v>2158.0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256.0</v>
      </c>
      <c r="G80" s="92"/>
      <c r="H80" s="137">
        <v>256.0</v>
      </c>
      <c r="I80" s="92"/>
      <c r="J80" s="133">
        <v>2159.0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11.0</v>
      </c>
      <c r="G81" s="93">
        <v>11.0</v>
      </c>
      <c r="H81" s="92"/>
      <c r="I81" s="92"/>
      <c r="J81" s="133">
        <v>2160.0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68">
        <v>146.0</v>
      </c>
      <c r="G82" s="61"/>
      <c r="H82" s="137">
        <v>146.0</v>
      </c>
      <c r="I82" s="61"/>
      <c r="J82" s="133">
        <v>2161.0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68">
        <v>97.0</v>
      </c>
      <c r="G83" s="54">
        <v>97.0</v>
      </c>
      <c r="H83" s="92"/>
      <c r="I83" s="61"/>
      <c r="J83" s="133">
        <v>2162.0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68">
        <v>399.0</v>
      </c>
      <c r="G84" s="54">
        <v>399.0</v>
      </c>
      <c r="H84" s="92"/>
      <c r="I84" s="61"/>
      <c r="J84" s="133">
        <v>2163.0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68">
        <v>399.0</v>
      </c>
      <c r="G85" s="54">
        <v>399.0</v>
      </c>
      <c r="H85" s="92"/>
      <c r="I85" s="61"/>
      <c r="J85" s="133">
        <v>2164.0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68">
        <v>399.0</v>
      </c>
      <c r="G86" s="54">
        <v>399.0</v>
      </c>
      <c r="H86" s="92"/>
      <c r="I86" s="61"/>
      <c r="J86" s="133">
        <v>2165.0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68">
        <v>1550.0</v>
      </c>
      <c r="G87" s="54">
        <v>1000.0</v>
      </c>
      <c r="H87" s="137">
        <v>550.0</v>
      </c>
      <c r="I87" s="61"/>
      <c r="J87" s="133">
        <v>2166.0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68">
        <v>155.0</v>
      </c>
      <c r="G88" s="61"/>
      <c r="H88" s="137">
        <v>155.0</v>
      </c>
      <c r="I88" s="61"/>
      <c r="J88" s="133">
        <v>2167.0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68">
        <v>40.0</v>
      </c>
      <c r="G89" s="61"/>
      <c r="H89" s="137">
        <v>40.0</v>
      </c>
      <c r="I89" s="61"/>
      <c r="J89" s="133">
        <v>2168.0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68">
        <v>1670.0</v>
      </c>
      <c r="G90" s="61"/>
      <c r="H90" s="137">
        <v>1670.0</v>
      </c>
      <c r="I90" s="61"/>
      <c r="J90" s="133">
        <v>2169.0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68">
        <v>437.0</v>
      </c>
      <c r="G91" s="54">
        <v>437.0</v>
      </c>
      <c r="H91" s="92"/>
      <c r="I91" s="61"/>
      <c r="J91" s="133">
        <v>2170.0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68">
        <v>551.0</v>
      </c>
      <c r="G92" s="61"/>
      <c r="H92" s="137">
        <v>551.0</v>
      </c>
      <c r="I92" s="61"/>
      <c r="J92" s="133" t="s">
        <v>140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68">
        <v>87.0</v>
      </c>
      <c r="G93" s="61"/>
      <c r="H93" s="137">
        <v>87.0</v>
      </c>
      <c r="I93" s="61"/>
      <c r="J93" s="133">
        <v>2172.0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68">
        <v>374.0</v>
      </c>
      <c r="G94" s="54">
        <v>374.0</v>
      </c>
      <c r="H94" s="61"/>
      <c r="I94" s="61"/>
      <c r="J94" s="133">
        <v>2173.0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68">
        <v>399.0</v>
      </c>
      <c r="G95" s="61"/>
      <c r="H95" s="61"/>
      <c r="I95" s="54">
        <v>399.0</v>
      </c>
      <c r="J95" s="133" t="s">
        <v>141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68">
        <v>542.0</v>
      </c>
      <c r="G96" s="61"/>
      <c r="H96" s="54">
        <v>542.0</v>
      </c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26723</v>
      </c>
      <c r="G97" s="123">
        <f t="shared" si="4"/>
        <v>14685</v>
      </c>
      <c r="H97" s="123">
        <f t="shared" si="4"/>
        <v>11643</v>
      </c>
      <c r="I97" s="123">
        <f t="shared" si="4"/>
        <v>399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45977.0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38789.0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11643.0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27270.0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26585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11528</v>
      </c>
      <c r="D10" s="24"/>
      <c r="E10" s="43">
        <v>1.0</v>
      </c>
      <c r="F10" s="44">
        <v>1539.0</v>
      </c>
      <c r="G10" s="45"/>
      <c r="H10" s="45">
        <v>1539.0</v>
      </c>
      <c r="I10" s="45"/>
      <c r="J10" s="133">
        <v>2176.0</v>
      </c>
      <c r="K10" s="24"/>
      <c r="L10" s="47"/>
      <c r="M10" s="47"/>
      <c r="N10" s="47"/>
      <c r="O10" s="49"/>
      <c r="P10" s="85" t="s">
        <v>67</v>
      </c>
      <c r="Q10" s="51"/>
      <c r="R10" s="52">
        <v>150.0</v>
      </c>
      <c r="S10" s="53"/>
      <c r="T10" s="54"/>
      <c r="U10" s="55"/>
      <c r="V10" s="24"/>
      <c r="W10" s="47">
        <v>591.0</v>
      </c>
      <c r="X10" s="47"/>
      <c r="Y10" s="47">
        <v>2118.0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15058</v>
      </c>
      <c r="D11" s="24"/>
      <c r="E11" s="43">
        <v>2.0</v>
      </c>
      <c r="F11" s="56">
        <v>20.0</v>
      </c>
      <c r="G11" s="57">
        <v>20.0</v>
      </c>
      <c r="H11" s="58"/>
      <c r="I11" s="59"/>
      <c r="J11" s="133">
        <v>2177.0</v>
      </c>
      <c r="K11" s="24"/>
      <c r="L11" s="48"/>
      <c r="M11" s="48"/>
      <c r="N11" s="48"/>
      <c r="O11" s="49"/>
      <c r="P11" s="72" t="s">
        <v>142</v>
      </c>
      <c r="Q11" s="51"/>
      <c r="R11" s="52">
        <v>130.0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>
        <v>270.0</v>
      </c>
      <c r="G12" s="64"/>
      <c r="H12" s="64">
        <v>270.0</v>
      </c>
      <c r="I12" s="65"/>
      <c r="J12" s="133">
        <v>2178.0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149.0</v>
      </c>
      <c r="G13" s="64">
        <v>19.0</v>
      </c>
      <c r="H13" s="64">
        <v>130.0</v>
      </c>
      <c r="I13" s="65"/>
      <c r="J13" s="133">
        <v>2179.0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586.0</v>
      </c>
      <c r="G14" s="64">
        <v>586.0</v>
      </c>
      <c r="H14" s="65"/>
      <c r="I14" s="65"/>
      <c r="J14" s="133">
        <v>2180.0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591</v>
      </c>
      <c r="D15" s="24"/>
      <c r="E15" s="43">
        <v>6.0</v>
      </c>
      <c r="F15" s="56">
        <v>213.0</v>
      </c>
      <c r="G15" s="64"/>
      <c r="H15" s="64">
        <v>213.0</v>
      </c>
      <c r="I15" s="65"/>
      <c r="J15" s="133">
        <v>2181.0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280</v>
      </c>
      <c r="D16" s="24"/>
      <c r="E16" s="43">
        <v>7.0</v>
      </c>
      <c r="F16" s="56">
        <v>799.0</v>
      </c>
      <c r="G16" s="64">
        <v>799.0</v>
      </c>
      <c r="H16" s="64"/>
      <c r="I16" s="65"/>
      <c r="J16" s="133">
        <v>2182.0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280</v>
      </c>
      <c r="D17" s="24"/>
      <c r="E17" s="43">
        <v>8.0</v>
      </c>
      <c r="F17" s="56">
        <v>305.0</v>
      </c>
      <c r="G17" s="64">
        <v>305.0</v>
      </c>
      <c r="H17" s="64"/>
      <c r="I17" s="65"/>
      <c r="J17" s="133">
        <v>2183.0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679.0</v>
      </c>
      <c r="G18" s="64"/>
      <c r="H18" s="64">
        <v>679.0</v>
      </c>
      <c r="I18" s="65"/>
      <c r="J18" s="133">
        <v>2184.0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798.0</v>
      </c>
      <c r="G19" s="64"/>
      <c r="H19" s="64">
        <v>798.0</v>
      </c>
      <c r="I19" s="65"/>
      <c r="J19" s="133">
        <v>2185.0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27270</v>
      </c>
      <c r="D20" s="24"/>
      <c r="E20" s="43">
        <v>11.0</v>
      </c>
      <c r="F20" s="56">
        <v>531.0</v>
      </c>
      <c r="G20" s="65"/>
      <c r="H20" s="64">
        <v>531.0</v>
      </c>
      <c r="I20" s="65"/>
      <c r="J20" s="133">
        <v>2186.0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15058</v>
      </c>
      <c r="D21" s="24"/>
      <c r="E21" s="43">
        <v>12.0</v>
      </c>
      <c r="F21" s="56">
        <v>816.0</v>
      </c>
      <c r="G21" s="64">
        <v>816.0</v>
      </c>
      <c r="H21" s="64"/>
      <c r="I21" s="65"/>
      <c r="J21" s="133">
        <v>2187.0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50037</v>
      </c>
      <c r="D22" s="24"/>
      <c r="E22" s="43">
        <v>13.0</v>
      </c>
      <c r="F22" s="56">
        <v>10.0</v>
      </c>
      <c r="G22" s="64">
        <v>10.0</v>
      </c>
      <c r="H22" s="64"/>
      <c r="I22" s="65"/>
      <c r="J22" s="133">
        <v>2188.0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50103.0</v>
      </c>
      <c r="D23" s="24"/>
      <c r="E23" s="43">
        <v>14.0</v>
      </c>
      <c r="F23" s="56">
        <v>21.0</v>
      </c>
      <c r="G23" s="64">
        <v>21.0</v>
      </c>
      <c r="H23" s="65"/>
      <c r="I23" s="65"/>
      <c r="J23" s="133">
        <v>2189.0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-66</v>
      </c>
      <c r="D24" s="24"/>
      <c r="E24" s="43">
        <v>15.0</v>
      </c>
      <c r="F24" s="56">
        <v>310.0</v>
      </c>
      <c r="G24" s="64"/>
      <c r="H24" s="64">
        <v>310.0</v>
      </c>
      <c r="I24" s="65"/>
      <c r="J24" s="133">
        <v>2190.0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226.0</v>
      </c>
      <c r="G25" s="64">
        <v>226.0</v>
      </c>
      <c r="H25" s="65"/>
      <c r="I25" s="65"/>
      <c r="J25" s="133">
        <v>2191.0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27176</v>
      </c>
      <c r="D26" s="24"/>
      <c r="E26" s="43">
        <v>17.0</v>
      </c>
      <c r="F26" s="56">
        <v>497.0</v>
      </c>
      <c r="G26" s="64">
        <v>490.0</v>
      </c>
      <c r="H26" s="64">
        <v>7.0</v>
      </c>
      <c r="I26" s="65"/>
      <c r="J26" s="133">
        <v>2192.0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60.0</v>
      </c>
      <c r="D27" s="24"/>
      <c r="E27" s="43">
        <v>18.0</v>
      </c>
      <c r="F27" s="56">
        <v>120.0</v>
      </c>
      <c r="G27" s="64">
        <v>120.0</v>
      </c>
      <c r="H27" s="65"/>
      <c r="I27" s="65"/>
      <c r="J27" s="133">
        <v>2193.0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452.9333333</v>
      </c>
      <c r="D28" s="24"/>
      <c r="E28" s="43">
        <v>19.0</v>
      </c>
      <c r="F28" s="56">
        <v>961.0</v>
      </c>
      <c r="G28" s="64">
        <v>961.0</v>
      </c>
      <c r="H28" s="65"/>
      <c r="I28" s="65"/>
      <c r="J28" s="133">
        <v>2194.0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1537.0</v>
      </c>
      <c r="G29" s="64">
        <v>1537.0</v>
      </c>
      <c r="H29" s="65"/>
      <c r="I29" s="65"/>
      <c r="J29" s="133">
        <v>2195.0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178.0</v>
      </c>
      <c r="G30" s="93">
        <v>178.0</v>
      </c>
      <c r="H30" s="92"/>
      <c r="I30" s="93"/>
      <c r="J30" s="133">
        <v>2196.0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11643</v>
      </c>
      <c r="D31" s="24"/>
      <c r="E31" s="43">
        <v>22.0</v>
      </c>
      <c r="F31" s="56">
        <v>399.0</v>
      </c>
      <c r="G31" s="93">
        <v>399.0</v>
      </c>
      <c r="H31" s="92"/>
      <c r="I31" s="92"/>
      <c r="J31" s="133">
        <v>2197.0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280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10.0</v>
      </c>
      <c r="G32" s="93"/>
      <c r="H32" s="93">
        <v>10.0</v>
      </c>
      <c r="I32" s="92"/>
      <c r="J32" s="133">
        <v>2198.0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50.0</v>
      </c>
      <c r="G33" s="93"/>
      <c r="H33" s="93">
        <v>50.0</v>
      </c>
      <c r="I33" s="92"/>
      <c r="J33" s="133">
        <v>2199.0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11643.0</v>
      </c>
      <c r="T33" s="101"/>
      <c r="U33" s="55"/>
      <c r="V33" s="24"/>
      <c r="W33" s="104">
        <f t="shared" ref="W33:X33" si="3">sum(W10:W32)</f>
        <v>591</v>
      </c>
      <c r="X33" s="104">
        <f t="shared" si="3"/>
        <v>0</v>
      </c>
      <c r="Y33" s="104">
        <f>W33+X33</f>
        <v>591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599.0</v>
      </c>
      <c r="G34" s="93"/>
      <c r="H34" s="93">
        <v>599.0</v>
      </c>
      <c r="I34" s="92"/>
      <c r="J34" s="133">
        <v>2200.0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7678.0</v>
      </c>
      <c r="G35" s="93">
        <v>130.0</v>
      </c>
      <c r="H35" s="93">
        <v>7548.0</v>
      </c>
      <c r="I35" s="92"/>
      <c r="J35" s="133">
        <v>2201.0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60.0</v>
      </c>
      <c r="G36" s="93">
        <v>60.0</v>
      </c>
      <c r="H36" s="93"/>
      <c r="I36" s="92"/>
      <c r="J36" s="133">
        <v>2202.0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322.0</v>
      </c>
      <c r="G37" s="93">
        <v>322.0</v>
      </c>
      <c r="H37" s="92"/>
      <c r="I37" s="92"/>
      <c r="J37" s="133">
        <v>2203.0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4.0</v>
      </c>
      <c r="G38" s="93">
        <v>4.0</v>
      </c>
      <c r="H38" s="92"/>
      <c r="I38" s="92"/>
      <c r="J38" s="133">
        <v>2204.0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99.0</v>
      </c>
      <c r="G39" s="93">
        <v>99.0</v>
      </c>
      <c r="H39" s="93"/>
      <c r="I39" s="92"/>
      <c r="J39" s="133">
        <v>2205.0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143.0</v>
      </c>
      <c r="G40" s="93">
        <v>143.0</v>
      </c>
      <c r="H40" s="93"/>
      <c r="I40" s="92"/>
      <c r="J40" s="133">
        <v>2206.0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238.0</v>
      </c>
      <c r="G41" s="92"/>
      <c r="H41" s="93">
        <v>238.0</v>
      </c>
      <c r="I41" s="92"/>
      <c r="J41" s="133">
        <v>2207.0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287.0</v>
      </c>
      <c r="G42" s="93">
        <v>287.0</v>
      </c>
      <c r="H42" s="93"/>
      <c r="I42" s="92"/>
      <c r="J42" s="133">
        <v>2208.0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367.0</v>
      </c>
      <c r="G43" s="93">
        <v>367.0</v>
      </c>
      <c r="H43" s="92"/>
      <c r="I43" s="92"/>
      <c r="J43" s="133">
        <v>2209.0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49.0</v>
      </c>
      <c r="G44" s="92"/>
      <c r="H44" s="93">
        <v>49.0</v>
      </c>
      <c r="I44" s="92"/>
      <c r="J44" s="133">
        <v>2210.0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235.0</v>
      </c>
      <c r="G45" s="93"/>
      <c r="H45" s="93">
        <v>235.0</v>
      </c>
      <c r="I45" s="92"/>
      <c r="J45" s="133">
        <v>2211.0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10.0</v>
      </c>
      <c r="G46" s="93"/>
      <c r="H46" s="93">
        <v>10.0</v>
      </c>
      <c r="I46" s="92"/>
      <c r="J46" s="133">
        <v>2212.0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702.0</v>
      </c>
      <c r="G47" s="93">
        <v>702.0</v>
      </c>
      <c r="H47" s="93"/>
      <c r="I47" s="92"/>
      <c r="J47" s="133">
        <v>2213.0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80.0</v>
      </c>
      <c r="G48" s="93">
        <v>80.0</v>
      </c>
      <c r="H48" s="92"/>
      <c r="I48" s="92"/>
      <c r="J48" s="133">
        <v>2214.0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4.0</v>
      </c>
      <c r="G49" s="93">
        <v>4.0</v>
      </c>
      <c r="H49" s="92"/>
      <c r="I49" s="92"/>
      <c r="J49" s="133">
        <v>2215.0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125.0</v>
      </c>
      <c r="G50" s="93" t="s">
        <v>69</v>
      </c>
      <c r="H50" s="93">
        <v>125.0</v>
      </c>
      <c r="I50" s="92"/>
      <c r="J50" s="133">
        <v>2216.0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109.0</v>
      </c>
      <c r="G51" s="92"/>
      <c r="H51" s="93">
        <v>110.0</v>
      </c>
      <c r="I51" s="92"/>
      <c r="J51" s="133">
        <v>2217.0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29.0</v>
      </c>
      <c r="G52" s="93">
        <v>29.0</v>
      </c>
      <c r="H52" s="92"/>
      <c r="I52" s="92"/>
      <c r="J52" s="133">
        <v>2218.0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399.0</v>
      </c>
      <c r="G53" s="93">
        <v>399.0</v>
      </c>
      <c r="H53" s="92"/>
      <c r="I53" s="92"/>
      <c r="J53" s="133">
        <v>2219.0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399.0</v>
      </c>
      <c r="G54" s="93">
        <v>399.0</v>
      </c>
      <c r="H54" s="92"/>
      <c r="I54" s="92"/>
      <c r="J54" s="133">
        <v>2220.0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50.0</v>
      </c>
      <c r="G55" s="92"/>
      <c r="H55" s="93">
        <v>50.0</v>
      </c>
      <c r="I55" s="92"/>
      <c r="J55" s="133">
        <v>2221.0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127.0</v>
      </c>
      <c r="G56" s="93">
        <v>127.0</v>
      </c>
      <c r="H56" s="92"/>
      <c r="I56" s="92"/>
      <c r="J56" s="133">
        <v>2222.0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110.0</v>
      </c>
      <c r="G57" s="93">
        <v>56.0</v>
      </c>
      <c r="H57" s="93">
        <v>54.0</v>
      </c>
      <c r="I57" s="92"/>
      <c r="J57" s="133">
        <v>2223.0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241.0</v>
      </c>
      <c r="G58" s="92"/>
      <c r="H58" s="93">
        <v>241.0</v>
      </c>
      <c r="I58" s="92"/>
      <c r="J58" s="133">
        <v>2224.0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49.0</v>
      </c>
      <c r="G59" s="93">
        <v>49.0</v>
      </c>
      <c r="H59" s="92"/>
      <c r="I59" s="92"/>
      <c r="J59" s="133">
        <v>2225.0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1596.0</v>
      </c>
      <c r="G60" s="93">
        <v>1596.0</v>
      </c>
      <c r="H60" s="92"/>
      <c r="I60" s="93" t="s">
        <v>69</v>
      </c>
      <c r="J60" s="133">
        <v>2226.0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399.0</v>
      </c>
      <c r="G61" s="93" t="s">
        <v>69</v>
      </c>
      <c r="H61" s="93">
        <v>399.0</v>
      </c>
      <c r="I61" s="92"/>
      <c r="J61" s="133">
        <v>2227.0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399.0</v>
      </c>
      <c r="G62" s="93">
        <v>399.0</v>
      </c>
      <c r="H62" s="92"/>
      <c r="I62" s="93" t="s">
        <v>69</v>
      </c>
      <c r="J62" s="133">
        <v>2228.0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10.0</v>
      </c>
      <c r="G63" s="93">
        <v>10.0</v>
      </c>
      <c r="H63" s="92"/>
      <c r="I63" s="92"/>
      <c r="J63" s="133">
        <v>2229.0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147.0</v>
      </c>
      <c r="G64" s="93">
        <v>147.0</v>
      </c>
      <c r="H64" s="92"/>
      <c r="I64" s="92"/>
      <c r="J64" s="133">
        <v>2230.0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203.0</v>
      </c>
      <c r="G65" s="93">
        <v>203.0</v>
      </c>
      <c r="H65" s="92"/>
      <c r="I65" s="92"/>
      <c r="J65" s="133">
        <v>2231.0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20.0</v>
      </c>
      <c r="G66" s="93">
        <v>20.0</v>
      </c>
      <c r="H66" s="92"/>
      <c r="I66" s="92"/>
      <c r="J66" s="133">
        <v>2232.0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200.0</v>
      </c>
      <c r="G67" s="93"/>
      <c r="H67" s="93">
        <v>200.0</v>
      </c>
      <c r="I67" s="92"/>
      <c r="J67" s="133">
        <v>2233.0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70.0</v>
      </c>
      <c r="G68" s="92"/>
      <c r="H68" s="93">
        <v>70.0</v>
      </c>
      <c r="I68" s="92"/>
      <c r="J68" s="133">
        <v>2234.0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593.0</v>
      </c>
      <c r="G69" s="92"/>
      <c r="H69" s="93">
        <v>593.0</v>
      </c>
      <c r="I69" s="92"/>
      <c r="J69" s="133">
        <v>2235.0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133">
        <v>2236.0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133">
        <v>2237.0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133">
        <v>2238.0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133">
        <v>2239.0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133">
        <v>2240.0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133">
        <v>2241.0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133">
        <v>2242.0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33">
        <v>2243.0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33">
        <v>2244.0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33">
        <v>2245.0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3">
        <v>2246.0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33">
        <v>2247.0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33">
        <v>2248.0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3">
        <v>2249.0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3">
        <v>2250.0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54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27176</v>
      </c>
      <c r="G97" s="123">
        <f t="shared" si="4"/>
        <v>12119</v>
      </c>
      <c r="H97" s="123">
        <f t="shared" si="4"/>
        <v>15058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45978.0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50037.0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15058.0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27270.0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F101-C15</f>
        <v>28385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G101-W33</f>
        <v>17281</v>
      </c>
      <c r="D10" s="24"/>
      <c r="E10" s="43">
        <v>1.0</v>
      </c>
      <c r="F10" s="44">
        <v>79.0</v>
      </c>
      <c r="G10" s="45">
        <v>79.0</v>
      </c>
      <c r="H10" s="45"/>
      <c r="I10" s="45"/>
      <c r="J10" s="133">
        <v>2236.0</v>
      </c>
      <c r="K10" s="24"/>
      <c r="L10" s="47"/>
      <c r="M10" s="47"/>
      <c r="N10" s="48"/>
      <c r="O10" s="49"/>
      <c r="P10" s="85" t="s">
        <v>136</v>
      </c>
      <c r="Q10" s="51"/>
      <c r="R10" s="52">
        <v>2000.0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H101-X33</f>
        <v>9396</v>
      </c>
      <c r="D11" s="24"/>
      <c r="E11" s="43">
        <v>2.0</v>
      </c>
      <c r="F11" s="56">
        <v>399.0</v>
      </c>
      <c r="G11" s="57">
        <v>399.0</v>
      </c>
      <c r="H11" s="58"/>
      <c r="I11" s="59"/>
      <c r="J11" s="133">
        <v>2237.0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I101</f>
        <v>2589</v>
      </c>
      <c r="D12" s="24"/>
      <c r="E12" s="43">
        <v>3.0</v>
      </c>
      <c r="F12" s="63">
        <v>114.0</v>
      </c>
      <c r="G12" s="64"/>
      <c r="H12" s="64">
        <v>114.0</v>
      </c>
      <c r="I12" s="65"/>
      <c r="J12" s="133">
        <v>2238.0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171.0</v>
      </c>
      <c r="G13" s="64">
        <v>171.0</v>
      </c>
      <c r="H13" s="65"/>
      <c r="I13" s="65"/>
      <c r="J13" s="133">
        <v>2239.0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20.0</v>
      </c>
      <c r="G14" s="64">
        <v>20.0</v>
      </c>
      <c r="H14" s="65"/>
      <c r="I14" s="65"/>
      <c r="J14" s="133">
        <v>2240.0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99.0</v>
      </c>
      <c r="G15" s="64">
        <v>99.0</v>
      </c>
      <c r="H15" s="64"/>
      <c r="I15" s="65"/>
      <c r="J15" s="133">
        <v>2241.0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2000</v>
      </c>
      <c r="D16" s="24"/>
      <c r="E16" s="43">
        <v>7.0</v>
      </c>
      <c r="F16" s="56">
        <v>269.0</v>
      </c>
      <c r="G16" s="64">
        <v>269.0</v>
      </c>
      <c r="H16" s="64"/>
      <c r="I16" s="65"/>
      <c r="J16" s="133">
        <v>2242.0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2000</v>
      </c>
      <c r="D17" s="24"/>
      <c r="E17" s="43">
        <v>8.0</v>
      </c>
      <c r="F17" s="56">
        <v>399.0</v>
      </c>
      <c r="G17" s="64">
        <v>399.0</v>
      </c>
      <c r="H17" s="64"/>
      <c r="I17" s="65"/>
      <c r="J17" s="133">
        <v>2243.0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399.0</v>
      </c>
      <c r="G18" s="64"/>
      <c r="H18" s="64">
        <v>399.0</v>
      </c>
      <c r="I18" s="65"/>
      <c r="J18" s="133">
        <v>2244.0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160.0</v>
      </c>
      <c r="G19" s="64">
        <v>160.0</v>
      </c>
      <c r="H19" s="65"/>
      <c r="I19" s="65"/>
      <c r="J19" s="133">
        <v>2245.0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29859</v>
      </c>
      <c r="D20" s="24"/>
      <c r="E20" s="43">
        <v>11.0</v>
      </c>
      <c r="F20" s="56">
        <v>150.0</v>
      </c>
      <c r="G20" s="64">
        <v>150.0</v>
      </c>
      <c r="H20" s="64"/>
      <c r="I20" s="65"/>
      <c r="J20" s="133">
        <v>2246.0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9396</v>
      </c>
      <c r="D21" s="24"/>
      <c r="E21" s="43">
        <v>12.0</v>
      </c>
      <c r="F21" s="56">
        <v>101.0</v>
      </c>
      <c r="G21" s="64">
        <v>101.0</v>
      </c>
      <c r="H21" s="64"/>
      <c r="I21" s="65"/>
      <c r="J21" s="133">
        <v>2247.0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61818</v>
      </c>
      <c r="D22" s="24"/>
      <c r="E22" s="43">
        <v>13.0</v>
      </c>
      <c r="F22" s="56">
        <v>97.0</v>
      </c>
      <c r="G22" s="64">
        <v>97.0</v>
      </c>
      <c r="H22" s="64"/>
      <c r="I22" s="65"/>
      <c r="J22" s="133">
        <v>2248.0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>
        <v>89.0</v>
      </c>
      <c r="G23" s="64">
        <v>89.0</v>
      </c>
      <c r="H23" s="65"/>
      <c r="I23" s="65"/>
      <c r="J23" s="133">
        <v>2249.0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61818</v>
      </c>
      <c r="D24" s="24"/>
      <c r="E24" s="43">
        <v>15.0</v>
      </c>
      <c r="F24" s="56">
        <v>485.0</v>
      </c>
      <c r="G24" s="64">
        <v>485.0</v>
      </c>
      <c r="H24" s="65"/>
      <c r="I24" s="65"/>
      <c r="J24" s="133">
        <v>2250.0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3293.0</v>
      </c>
      <c r="G25" s="64">
        <v>3293.0</v>
      </c>
      <c r="H25" s="65"/>
      <c r="I25" s="65"/>
      <c r="J25" s="133">
        <v>2251.0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F101</f>
        <v>28385</v>
      </c>
      <c r="D26" s="24"/>
      <c r="E26" s="43">
        <v>17.0</v>
      </c>
      <c r="F26" s="56">
        <v>204.0</v>
      </c>
      <c r="G26" s="141">
        <v>204.0</v>
      </c>
      <c r="H26" s="65"/>
      <c r="I26" s="65"/>
      <c r="J26" s="133">
        <v>2252.0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90.0</v>
      </c>
      <c r="D27" s="24"/>
      <c r="E27" s="43">
        <v>18.0</v>
      </c>
      <c r="F27" s="56">
        <v>91.0</v>
      </c>
      <c r="G27" s="64">
        <v>91.0</v>
      </c>
      <c r="H27" s="65"/>
      <c r="I27" s="65"/>
      <c r="J27" s="133">
        <v>2253.0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315.3888889</v>
      </c>
      <c r="D28" s="24"/>
      <c r="E28" s="43">
        <v>19.0</v>
      </c>
      <c r="F28" s="56">
        <v>127.0</v>
      </c>
      <c r="G28" s="64">
        <v>127.0</v>
      </c>
      <c r="H28" s="65"/>
      <c r="I28" s="65"/>
      <c r="J28" s="133">
        <v>2254.0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19.0</v>
      </c>
      <c r="G29" s="64">
        <v>19.0</v>
      </c>
      <c r="H29" s="65"/>
      <c r="I29" s="65"/>
      <c r="J29" s="133">
        <v>2255.0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399.0</v>
      </c>
      <c r="G30" s="92"/>
      <c r="H30" s="92"/>
      <c r="I30" s="93">
        <v>399.0</v>
      </c>
      <c r="J30" s="133" t="s">
        <v>143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15058</v>
      </c>
      <c r="D31" s="24"/>
      <c r="E31" s="43">
        <v>22.0</v>
      </c>
      <c r="F31" s="56">
        <v>399.0</v>
      </c>
      <c r="G31" s="93"/>
      <c r="H31" s="92"/>
      <c r="I31" s="93">
        <v>399.0</v>
      </c>
      <c r="J31" s="133" t="s">
        <v>144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2000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1479.0</v>
      </c>
      <c r="G32" s="93"/>
      <c r="H32" s="93">
        <v>1479.0</v>
      </c>
      <c r="I32" s="93" t="s">
        <v>69</v>
      </c>
      <c r="J32" s="133">
        <v>2258.0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15.0</v>
      </c>
      <c r="G33" s="93"/>
      <c r="H33" s="93">
        <v>15.0</v>
      </c>
      <c r="I33" s="92"/>
      <c r="J33" s="133">
        <v>2259.0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15058.0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399.0</v>
      </c>
      <c r="G34" s="93"/>
      <c r="H34" s="93" t="s">
        <v>69</v>
      </c>
      <c r="I34" s="93">
        <v>399.0</v>
      </c>
      <c r="J34" s="133" t="s">
        <v>145</v>
      </c>
      <c r="K34" s="24"/>
      <c r="L34" s="106"/>
      <c r="M34" s="106"/>
      <c r="N34" s="106"/>
      <c r="O34" s="106"/>
      <c r="P34" s="85" t="s">
        <v>40</v>
      </c>
      <c r="Q34" s="107"/>
      <c r="R34" s="138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443.0</v>
      </c>
      <c r="G35" s="92"/>
      <c r="H35" s="93">
        <v>443.0</v>
      </c>
      <c r="I35" s="92"/>
      <c r="J35" s="133">
        <v>2261.0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247.0</v>
      </c>
      <c r="G36" s="93">
        <v>247.0</v>
      </c>
      <c r="H36" s="93"/>
      <c r="I36" s="92"/>
      <c r="J36" s="133">
        <v>2262.0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87.0</v>
      </c>
      <c r="G37" s="93">
        <v>87.0</v>
      </c>
      <c r="H37" s="92"/>
      <c r="I37" s="92"/>
      <c r="J37" s="133">
        <v>2263.0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100.0</v>
      </c>
      <c r="G38" s="93">
        <v>100.0</v>
      </c>
      <c r="H38" s="92"/>
      <c r="I38" s="92"/>
      <c r="J38" s="133">
        <v>2264.0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98.0</v>
      </c>
      <c r="G39" s="93">
        <v>98.0</v>
      </c>
      <c r="H39" s="93"/>
      <c r="I39" s="92"/>
      <c r="J39" s="133">
        <v>2265.0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368.0</v>
      </c>
      <c r="G40" s="93">
        <v>368.0</v>
      </c>
      <c r="H40" s="93"/>
      <c r="I40" s="92"/>
      <c r="J40" s="133">
        <v>2266.0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69" t="s">
        <v>146</v>
      </c>
      <c r="C41" s="1"/>
      <c r="D41" s="24"/>
      <c r="E41" s="43">
        <v>32.0</v>
      </c>
      <c r="F41" s="56">
        <v>399.0</v>
      </c>
      <c r="G41" s="92"/>
      <c r="H41" s="93"/>
      <c r="I41" s="93">
        <v>399.0</v>
      </c>
      <c r="J41" s="133" t="s">
        <v>147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302.0</v>
      </c>
      <c r="G42" s="93"/>
      <c r="H42" s="93">
        <v>302.0</v>
      </c>
      <c r="I42" s="92"/>
      <c r="J42" s="133">
        <v>2268.0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4.0</v>
      </c>
      <c r="G43" s="93"/>
      <c r="H43" s="93">
        <v>5.0</v>
      </c>
      <c r="I43" s="92"/>
      <c r="J43" s="133">
        <v>2269.0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100.0</v>
      </c>
      <c r="G44" s="93">
        <v>100.0</v>
      </c>
      <c r="H44" s="93"/>
      <c r="I44" s="92"/>
      <c r="J44" s="133">
        <v>2270.0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60.0</v>
      </c>
      <c r="G45" s="93">
        <v>60.0</v>
      </c>
      <c r="H45" s="92"/>
      <c r="I45" s="92"/>
      <c r="J45" s="133">
        <v>2271.0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120.0</v>
      </c>
      <c r="G46" s="93">
        <v>120.0</v>
      </c>
      <c r="H46" s="92"/>
      <c r="I46" s="92"/>
      <c r="J46" s="133">
        <v>2272.0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260.0</v>
      </c>
      <c r="G47" s="93" t="s">
        <v>69</v>
      </c>
      <c r="H47" s="93">
        <v>260.0</v>
      </c>
      <c r="I47" s="92"/>
      <c r="J47" s="133">
        <v>2273.0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594.0</v>
      </c>
      <c r="G48" s="92"/>
      <c r="H48" s="92"/>
      <c r="I48" s="93">
        <v>594.0</v>
      </c>
      <c r="J48" s="133">
        <v>2274.0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313.0</v>
      </c>
      <c r="G49" s="93">
        <v>313.0</v>
      </c>
      <c r="H49" s="92"/>
      <c r="I49" s="92"/>
      <c r="J49" s="133">
        <v>2275.0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710.0</v>
      </c>
      <c r="G50" s="93">
        <v>710.0</v>
      </c>
      <c r="H50" s="93"/>
      <c r="I50" s="92"/>
      <c r="J50" s="133">
        <v>2276.0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50.0</v>
      </c>
      <c r="G51" s="92"/>
      <c r="H51" s="93">
        <v>50.0</v>
      </c>
      <c r="I51" s="92"/>
      <c r="J51" s="133">
        <v>2277.0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116.0</v>
      </c>
      <c r="G52" s="93">
        <v>116.0</v>
      </c>
      <c r="H52" s="92"/>
      <c r="I52" s="92"/>
      <c r="J52" s="133">
        <v>2278.0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102.0</v>
      </c>
      <c r="G53" s="93">
        <v>102.0</v>
      </c>
      <c r="H53" s="92"/>
      <c r="I53" s="92"/>
      <c r="J53" s="133">
        <v>2279.0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22.0</v>
      </c>
      <c r="G54" s="92"/>
      <c r="H54" s="93">
        <v>22.0</v>
      </c>
      <c r="I54" s="92"/>
      <c r="J54" s="133">
        <v>2280.0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40.0</v>
      </c>
      <c r="G55" s="93">
        <v>40.0</v>
      </c>
      <c r="H55" s="92"/>
      <c r="I55" s="92"/>
      <c r="J55" s="133">
        <v>2281.0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399.0</v>
      </c>
      <c r="G56" s="93">
        <v>399.0</v>
      </c>
      <c r="H56" s="92"/>
      <c r="I56" s="92"/>
      <c r="J56" s="133">
        <v>2282.0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575.0</v>
      </c>
      <c r="G57" s="137">
        <v>575.0</v>
      </c>
      <c r="H57" s="92"/>
      <c r="I57" s="92"/>
      <c r="J57" s="133">
        <v>2283.0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100.0</v>
      </c>
      <c r="G58" s="93">
        <v>100.0</v>
      </c>
      <c r="H58" s="92"/>
      <c r="I58" s="92"/>
      <c r="J58" s="133">
        <v>2284.0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637.0</v>
      </c>
      <c r="G59" s="93">
        <v>637.0</v>
      </c>
      <c r="H59" s="92"/>
      <c r="I59" s="92"/>
      <c r="J59" s="133">
        <v>2285.0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222.0</v>
      </c>
      <c r="G60" s="93" t="s">
        <v>69</v>
      </c>
      <c r="H60" s="93">
        <v>222.0</v>
      </c>
      <c r="I60" s="92"/>
      <c r="J60" s="133">
        <v>2286.0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95.0</v>
      </c>
      <c r="G61" s="93">
        <v>95.0</v>
      </c>
      <c r="H61" s="92"/>
      <c r="I61" s="92"/>
      <c r="J61" s="133">
        <v>2287.0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798.0</v>
      </c>
      <c r="G62" s="93">
        <v>798.0</v>
      </c>
      <c r="H62" s="92"/>
      <c r="I62" s="92"/>
      <c r="J62" s="133">
        <v>2288.0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248.0</v>
      </c>
      <c r="G63" s="93">
        <v>248.0</v>
      </c>
      <c r="H63" s="92"/>
      <c r="I63" s="92"/>
      <c r="J63" s="133">
        <v>2289.0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178.0</v>
      </c>
      <c r="G64" s="93">
        <v>178.0</v>
      </c>
      <c r="H64" s="92"/>
      <c r="I64" s="92"/>
      <c r="J64" s="133">
        <v>2290.0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179.0</v>
      </c>
      <c r="G65" s="92"/>
      <c r="H65" s="93">
        <v>179.0</v>
      </c>
      <c r="I65" s="92"/>
      <c r="J65" s="133">
        <v>2291.0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266.0</v>
      </c>
      <c r="G66" s="92"/>
      <c r="H66" s="93">
        <v>266.0</v>
      </c>
      <c r="I66" s="92"/>
      <c r="J66" s="133">
        <v>2292.0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14.0</v>
      </c>
      <c r="G67" s="93" t="s">
        <v>69</v>
      </c>
      <c r="H67" s="93">
        <v>15.0</v>
      </c>
      <c r="I67" s="92"/>
      <c r="J67" s="133">
        <v>2293.0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399.0</v>
      </c>
      <c r="G68" s="92"/>
      <c r="H68" s="93">
        <v>399.0</v>
      </c>
      <c r="I68" s="92"/>
      <c r="J68" s="133">
        <v>2294.0</v>
      </c>
      <c r="K68" s="24"/>
      <c r="L68" s="117">
        <v>399.0</v>
      </c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159.0</v>
      </c>
      <c r="G69" s="93">
        <v>159.0</v>
      </c>
      <c r="H69" s="92"/>
      <c r="I69" s="92"/>
      <c r="J69" s="133">
        <v>2295.0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399.0</v>
      </c>
      <c r="G70" s="93" t="s">
        <v>69</v>
      </c>
      <c r="H70" s="93">
        <v>399.0</v>
      </c>
      <c r="I70" s="93"/>
      <c r="J70" s="133">
        <v>2296.0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282.0</v>
      </c>
      <c r="G71" s="93">
        <v>282.0</v>
      </c>
      <c r="H71" s="92"/>
      <c r="I71" s="92"/>
      <c r="J71" s="133">
        <v>2297.0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409.0</v>
      </c>
      <c r="G72" s="93">
        <v>409.0</v>
      </c>
      <c r="H72" s="92"/>
      <c r="I72" s="92"/>
      <c r="J72" s="133">
        <v>2298.0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21.0</v>
      </c>
      <c r="G73" s="93">
        <v>21.0</v>
      </c>
      <c r="H73" s="92"/>
      <c r="I73" s="92"/>
      <c r="J73" s="133">
        <v>2299.0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296.0</v>
      </c>
      <c r="G74" s="92"/>
      <c r="H74" s="93">
        <v>296.0</v>
      </c>
      <c r="I74" s="92"/>
      <c r="J74" s="133">
        <v>2300.0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98.0</v>
      </c>
      <c r="G75" s="93">
        <v>98.0</v>
      </c>
      <c r="H75" s="92"/>
      <c r="I75" s="92"/>
      <c r="J75" s="133">
        <v>2301.0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1011.0</v>
      </c>
      <c r="G76" s="93">
        <v>1011.0</v>
      </c>
      <c r="H76" s="92"/>
      <c r="I76" s="93" t="s">
        <v>69</v>
      </c>
      <c r="J76" s="133">
        <v>2302.0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143.0</v>
      </c>
      <c r="G77" s="92"/>
      <c r="H77" s="93">
        <v>143.0</v>
      </c>
      <c r="I77" s="92"/>
      <c r="J77" s="133">
        <v>2303.0</v>
      </c>
      <c r="K77" s="24"/>
      <c r="L77" s="112"/>
      <c r="M77" s="117">
        <v>399.0</v>
      </c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706.0</v>
      </c>
      <c r="G78" s="93">
        <v>706.0</v>
      </c>
      <c r="H78" s="92"/>
      <c r="I78" s="92"/>
      <c r="J78" s="133">
        <v>2304.0</v>
      </c>
      <c r="K78" s="24"/>
      <c r="L78" s="112"/>
      <c r="M78" s="117">
        <v>399.0</v>
      </c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415.0</v>
      </c>
      <c r="G79" s="92"/>
      <c r="H79" s="93">
        <v>415.0</v>
      </c>
      <c r="I79" s="92"/>
      <c r="J79" s="133">
        <v>2305.0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399.0</v>
      </c>
      <c r="G80" s="92"/>
      <c r="H80" s="93">
        <v>399.0</v>
      </c>
      <c r="I80" s="92"/>
      <c r="J80" s="133">
        <v>2306.0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970.0</v>
      </c>
      <c r="G81" s="93">
        <v>970.0</v>
      </c>
      <c r="H81" s="92"/>
      <c r="I81" s="92"/>
      <c r="J81" s="133">
        <v>2307.0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68">
        <v>291.0</v>
      </c>
      <c r="G82" s="54">
        <v>291.0</v>
      </c>
      <c r="H82" s="92"/>
      <c r="I82" s="61"/>
      <c r="J82" s="133">
        <v>2308.0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68">
        <v>315.0</v>
      </c>
      <c r="G83" s="54">
        <v>315.0</v>
      </c>
      <c r="H83" s="92"/>
      <c r="I83" s="61"/>
      <c r="J83" s="133">
        <v>2309.0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68">
        <v>589.0</v>
      </c>
      <c r="G84" s="61"/>
      <c r="H84" s="93">
        <v>589.0</v>
      </c>
      <c r="I84" s="61"/>
      <c r="J84" s="133">
        <v>2310.0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68">
        <v>190.0</v>
      </c>
      <c r="G85" s="54">
        <v>190.0</v>
      </c>
      <c r="H85" s="92"/>
      <c r="I85" s="61"/>
      <c r="J85" s="133">
        <v>2311.0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68">
        <v>512.0</v>
      </c>
      <c r="G86" s="54">
        <v>512.0</v>
      </c>
      <c r="H86" s="92"/>
      <c r="I86" s="61"/>
      <c r="J86" s="133">
        <v>2312.0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68">
        <v>242.0</v>
      </c>
      <c r="G87" s="61"/>
      <c r="H87" s="93">
        <v>242.0</v>
      </c>
      <c r="I87" s="61"/>
      <c r="J87" s="133">
        <v>2313.0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68">
        <v>399.0</v>
      </c>
      <c r="G88" s="54" t="s">
        <v>69</v>
      </c>
      <c r="H88" s="92"/>
      <c r="I88" s="54">
        <v>399.0</v>
      </c>
      <c r="J88" s="133" t="s">
        <v>148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68">
        <v>104.0</v>
      </c>
      <c r="G89" s="54">
        <v>104.0</v>
      </c>
      <c r="H89" s="92"/>
      <c r="I89" s="61"/>
      <c r="J89" s="133">
        <v>2315.0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68">
        <v>22.0</v>
      </c>
      <c r="G90" s="61"/>
      <c r="H90" s="93">
        <v>22.0</v>
      </c>
      <c r="I90" s="61"/>
      <c r="J90" s="133">
        <v>2316.0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68">
        <v>410.0</v>
      </c>
      <c r="G91" s="61"/>
      <c r="H91" s="93">
        <v>410.0</v>
      </c>
      <c r="I91" s="61"/>
      <c r="J91" s="133">
        <v>2317.0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68">
        <v>399.0</v>
      </c>
      <c r="G92" s="54">
        <v>399.0</v>
      </c>
      <c r="H92" s="93" t="s">
        <v>69</v>
      </c>
      <c r="I92" s="54" t="s">
        <v>69</v>
      </c>
      <c r="J92" s="133" t="s">
        <v>149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68">
        <v>167.0</v>
      </c>
      <c r="G93" s="61"/>
      <c r="H93" s="93">
        <v>167.0</v>
      </c>
      <c r="I93" s="61"/>
      <c r="J93" s="133">
        <v>2319.0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68">
        <v>72.0</v>
      </c>
      <c r="G94" s="54">
        <v>72.0</v>
      </c>
      <c r="H94" s="93" t="s">
        <v>69</v>
      </c>
      <c r="I94" s="61"/>
      <c r="J94" s="133">
        <v>2320.0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68">
        <v>293.0</v>
      </c>
      <c r="G95" s="54"/>
      <c r="H95" s="93">
        <v>293.0</v>
      </c>
      <c r="I95" s="61"/>
      <c r="J95" s="133">
        <v>2321.0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68">
        <v>132.0</v>
      </c>
      <c r="G96" s="54"/>
      <c r="H96" s="93">
        <v>132.0</v>
      </c>
      <c r="I96" s="61"/>
      <c r="J96" s="133">
        <v>2322.0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68">
        <v>312.0</v>
      </c>
      <c r="G97" s="54"/>
      <c r="H97" s="93">
        <v>312.0</v>
      </c>
      <c r="I97" s="54" t="s">
        <v>119</v>
      </c>
      <c r="J97" s="133">
        <v>2323.0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68">
        <v>89.0</v>
      </c>
      <c r="G98" s="61"/>
      <c r="H98" s="93">
        <v>89.0</v>
      </c>
      <c r="I98" s="61"/>
      <c r="J98" s="133">
        <v>2324.0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68">
        <v>438.0</v>
      </c>
      <c r="G99" s="61"/>
      <c r="H99" s="93">
        <v>438.0</v>
      </c>
      <c r="I99" s="61"/>
      <c r="J99" s="133">
        <v>2325.0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21"/>
      <c r="G100" s="54">
        <v>-1.0</v>
      </c>
      <c r="H100" s="93">
        <v>880.0</v>
      </c>
      <c r="I100" s="61"/>
      <c r="J100" s="133" t="s">
        <v>122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1"/>
      <c r="E101" s="122"/>
      <c r="F101" s="123">
        <f t="shared" ref="F101:I101" si="4">SUM(F10:F100)</f>
        <v>28385</v>
      </c>
      <c r="G101" s="123">
        <f t="shared" si="4"/>
        <v>17281</v>
      </c>
      <c r="H101" s="123">
        <f t="shared" si="4"/>
        <v>9396</v>
      </c>
      <c r="I101" s="123">
        <f t="shared" si="4"/>
        <v>2589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18"/>
      <c r="C102" s="118"/>
      <c r="D102" s="1"/>
      <c r="E102" s="124"/>
      <c r="F102" s="124"/>
      <c r="G102" s="124"/>
      <c r="H102" s="124"/>
      <c r="I102" s="125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18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8"/>
      <c r="F104" s="8"/>
      <c r="G104" s="8"/>
      <c r="H104" s="8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8"/>
      <c r="F105" s="8"/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8"/>
      <c r="F106" s="8"/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8"/>
      <c r="F107" s="8"/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26"/>
      <c r="H114" s="12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9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45979.0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61818.0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9396.0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29859.0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17601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7363</v>
      </c>
      <c r="D10" s="24"/>
      <c r="E10" s="43">
        <v>1.0</v>
      </c>
      <c r="F10" s="44">
        <v>275.0</v>
      </c>
      <c r="G10" s="45">
        <v>275.0</v>
      </c>
      <c r="H10" s="45"/>
      <c r="I10" s="45"/>
      <c r="J10" s="133">
        <v>2326.0</v>
      </c>
      <c r="K10" s="24"/>
      <c r="L10" s="47"/>
      <c r="M10" s="170">
        <v>399.0</v>
      </c>
      <c r="N10" s="47" t="s">
        <v>150</v>
      </c>
      <c r="O10" s="49"/>
      <c r="P10" s="85" t="s">
        <v>69</v>
      </c>
      <c r="Q10" s="51"/>
      <c r="R10" s="52"/>
      <c r="S10" s="171"/>
      <c r="T10" s="54"/>
      <c r="U10" s="172" t="s">
        <v>151</v>
      </c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7478</v>
      </c>
      <c r="D11" s="24"/>
      <c r="E11" s="43">
        <v>2.0</v>
      </c>
      <c r="F11" s="56">
        <v>962.0</v>
      </c>
      <c r="G11" s="57"/>
      <c r="H11" s="173">
        <v>962.0</v>
      </c>
      <c r="I11" s="59"/>
      <c r="J11" s="133">
        <v>2327.0</v>
      </c>
      <c r="K11" s="24"/>
      <c r="L11" s="47"/>
      <c r="M11" s="48"/>
      <c r="N11" s="47"/>
      <c r="O11" s="49"/>
      <c r="P11" s="72" t="s">
        <v>109</v>
      </c>
      <c r="Q11" s="51"/>
      <c r="R11" s="52">
        <v>60.0</v>
      </c>
      <c r="S11" s="53"/>
      <c r="T11" s="61"/>
      <c r="U11" s="174">
        <v>2647.0</v>
      </c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2760</v>
      </c>
      <c r="D12" s="24"/>
      <c r="E12" s="43">
        <v>3.0</v>
      </c>
      <c r="F12" s="63">
        <v>340.0</v>
      </c>
      <c r="G12" s="64">
        <v>340.0</v>
      </c>
      <c r="H12" s="64"/>
      <c r="I12" s="65"/>
      <c r="J12" s="133">
        <v>2328.0</v>
      </c>
      <c r="K12" s="24"/>
      <c r="L12" s="47"/>
      <c r="M12" s="47">
        <v>357.0</v>
      </c>
      <c r="N12" s="47"/>
      <c r="O12" s="49"/>
      <c r="P12" s="72" t="s">
        <v>130</v>
      </c>
      <c r="Q12" s="51"/>
      <c r="R12" s="52">
        <v>1000.0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10.0</v>
      </c>
      <c r="G13" s="64"/>
      <c r="H13" s="141">
        <v>10.0</v>
      </c>
      <c r="I13" s="65"/>
      <c r="J13" s="133">
        <v>2329.0</v>
      </c>
      <c r="K13" s="24"/>
      <c r="L13" s="48"/>
      <c r="M13" s="170">
        <v>399.0</v>
      </c>
      <c r="N13" s="47" t="s">
        <v>152</v>
      </c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1155</v>
      </c>
      <c r="D14" s="24"/>
      <c r="E14" s="43">
        <v>5.0</v>
      </c>
      <c r="F14" s="56">
        <v>51.0</v>
      </c>
      <c r="G14" s="64">
        <v>51.0</v>
      </c>
      <c r="H14" s="65"/>
      <c r="I14" s="65"/>
      <c r="J14" s="133">
        <v>2330.0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111.0</v>
      </c>
      <c r="G15" s="64">
        <v>111.0</v>
      </c>
      <c r="H15" s="64"/>
      <c r="I15" s="65"/>
      <c r="J15" s="133">
        <v>2331.0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1060</v>
      </c>
      <c r="D16" s="24"/>
      <c r="E16" s="43">
        <v>7.0</v>
      </c>
      <c r="F16" s="56">
        <v>423.0</v>
      </c>
      <c r="G16" s="64"/>
      <c r="H16" s="141">
        <v>423.0</v>
      </c>
      <c r="I16" s="64"/>
      <c r="J16" s="133">
        <v>2332.0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1060</v>
      </c>
      <c r="D17" s="24"/>
      <c r="E17" s="43">
        <v>8.0</v>
      </c>
      <c r="F17" s="56">
        <v>1172.0</v>
      </c>
      <c r="G17" s="64">
        <v>1172.0</v>
      </c>
      <c r="H17" s="64"/>
      <c r="I17" s="65"/>
      <c r="J17" s="133">
        <v>2333.0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110.0</v>
      </c>
      <c r="G18" s="64">
        <v>110.0</v>
      </c>
      <c r="H18" s="64"/>
      <c r="I18" s="65"/>
      <c r="J18" s="133">
        <v>2334.0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62.0</v>
      </c>
      <c r="G19" s="64">
        <v>62.0</v>
      </c>
      <c r="H19" s="65"/>
      <c r="I19" s="65"/>
      <c r="J19" s="133">
        <v>2335.0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31464</v>
      </c>
      <c r="D20" s="24"/>
      <c r="E20" s="43">
        <v>11.0</v>
      </c>
      <c r="F20" s="56">
        <v>39.0</v>
      </c>
      <c r="G20" s="64">
        <v>39.0</v>
      </c>
      <c r="H20" s="64"/>
      <c r="I20" s="65"/>
      <c r="J20" s="133">
        <v>2336.0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8633</v>
      </c>
      <c r="D21" s="24"/>
      <c r="E21" s="43">
        <v>12.0</v>
      </c>
      <c r="F21" s="56">
        <v>342.0</v>
      </c>
      <c r="G21" s="65"/>
      <c r="H21" s="175">
        <v>342.0</v>
      </c>
      <c r="I21" s="65"/>
      <c r="J21" s="133">
        <v>2337.0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64621</v>
      </c>
      <c r="D22" s="24"/>
      <c r="E22" s="43">
        <v>13.0</v>
      </c>
      <c r="F22" s="56">
        <v>110.0</v>
      </c>
      <c r="G22" s="64"/>
      <c r="H22" s="141">
        <v>110.0</v>
      </c>
      <c r="I22" s="65"/>
      <c r="J22" s="133">
        <v>2338.0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65059.0</v>
      </c>
      <c r="D23" s="24"/>
      <c r="E23" s="43">
        <v>14.0</v>
      </c>
      <c r="F23" s="56">
        <v>319.0</v>
      </c>
      <c r="G23" s="64">
        <v>319.0</v>
      </c>
      <c r="H23" s="176"/>
      <c r="I23" s="65"/>
      <c r="J23" s="133">
        <v>2339.0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-438</v>
      </c>
      <c r="D24" s="24"/>
      <c r="E24" s="43">
        <v>15.0</v>
      </c>
      <c r="F24" s="56">
        <v>27.0</v>
      </c>
      <c r="G24" s="64"/>
      <c r="H24" s="141">
        <v>27.0</v>
      </c>
      <c r="I24" s="65"/>
      <c r="J24" s="133">
        <v>2340.0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63.0</v>
      </c>
      <c r="G25" s="64"/>
      <c r="H25" s="141">
        <v>63.0</v>
      </c>
      <c r="I25" s="65"/>
      <c r="J25" s="133">
        <v>2341.0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17601</v>
      </c>
      <c r="D26" s="24"/>
      <c r="E26" s="43">
        <v>17.0</v>
      </c>
      <c r="F26" s="56">
        <v>4.0</v>
      </c>
      <c r="G26" s="64">
        <v>4.0</v>
      </c>
      <c r="H26" s="176"/>
      <c r="I26" s="65"/>
      <c r="J26" s="133">
        <v>2342.0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48.0</v>
      </c>
      <c r="D27" s="24"/>
      <c r="E27" s="43">
        <v>18.0</v>
      </c>
      <c r="F27" s="56">
        <v>60.0</v>
      </c>
      <c r="G27" s="64">
        <v>60.0</v>
      </c>
      <c r="H27" s="176"/>
      <c r="I27" s="65"/>
      <c r="J27" s="133">
        <v>2343.0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366.6875</v>
      </c>
      <c r="D28" s="24"/>
      <c r="E28" s="43">
        <v>19.0</v>
      </c>
      <c r="F28" s="56">
        <v>495.0</v>
      </c>
      <c r="G28" s="64"/>
      <c r="H28" s="141">
        <v>495.0</v>
      </c>
      <c r="I28" s="65"/>
      <c r="J28" s="133">
        <v>2344.0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65.0</v>
      </c>
      <c r="G29" s="64">
        <v>65.0</v>
      </c>
      <c r="H29" s="176"/>
      <c r="I29" s="65"/>
      <c r="J29" s="133">
        <v>2345.0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1381.0</v>
      </c>
      <c r="G30" s="92"/>
      <c r="H30" s="137">
        <v>1381.0</v>
      </c>
      <c r="I30" s="93"/>
      <c r="J30" s="133">
        <v>2346.0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9396</v>
      </c>
      <c r="D31" s="24"/>
      <c r="E31" s="43">
        <v>22.0</v>
      </c>
      <c r="F31" s="56">
        <v>97.0</v>
      </c>
      <c r="G31" s="93">
        <v>97.0</v>
      </c>
      <c r="H31" s="177"/>
      <c r="I31" s="92"/>
      <c r="J31" s="133">
        <v>2347.0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1060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26.0</v>
      </c>
      <c r="G32" s="93"/>
      <c r="H32" s="137">
        <v>26.0</v>
      </c>
      <c r="I32" s="92"/>
      <c r="J32" s="133">
        <v>2348.0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70.0</v>
      </c>
      <c r="G33" s="93">
        <v>70.0</v>
      </c>
      <c r="H33" s="177"/>
      <c r="I33" s="92"/>
      <c r="J33" s="133">
        <v>2349.0</v>
      </c>
      <c r="K33" s="24"/>
      <c r="L33" s="104">
        <f t="shared" ref="L33:M33" si="2">sum(L10:L32)</f>
        <v>0</v>
      </c>
      <c r="M33" s="104">
        <f t="shared" si="2"/>
        <v>1155</v>
      </c>
      <c r="N33" s="104"/>
      <c r="O33" s="105"/>
      <c r="P33" s="85" t="s">
        <v>38</v>
      </c>
      <c r="Q33" s="51"/>
      <c r="R33" s="100"/>
      <c r="S33" s="52">
        <v>9396.0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1056.0</v>
      </c>
      <c r="G34" s="93">
        <v>1056.0</v>
      </c>
      <c r="H34" s="177"/>
      <c r="I34" s="92"/>
      <c r="J34" s="133">
        <v>2350.0</v>
      </c>
      <c r="K34" s="24"/>
      <c r="L34" s="106"/>
      <c r="M34" s="106"/>
      <c r="N34" s="106"/>
      <c r="O34" s="106"/>
      <c r="P34" s="85" t="s">
        <v>40</v>
      </c>
      <c r="Q34" s="165"/>
      <c r="R34" s="138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176.0</v>
      </c>
      <c r="G35" s="93">
        <v>176.0</v>
      </c>
      <c r="H35" s="137"/>
      <c r="I35" s="92"/>
      <c r="J35" s="133">
        <v>2351.0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208.0</v>
      </c>
      <c r="G36" s="93">
        <v>208.0</v>
      </c>
      <c r="H36" s="137"/>
      <c r="I36" s="92"/>
      <c r="J36" s="133">
        <v>2352.0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69.0</v>
      </c>
      <c r="G37" s="93"/>
      <c r="H37" s="137">
        <v>69.0</v>
      </c>
      <c r="I37" s="92"/>
      <c r="J37" s="133">
        <v>2353.0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2305.0</v>
      </c>
      <c r="G38" s="93"/>
      <c r="H38" s="177"/>
      <c r="I38" s="93">
        <v>2305.0</v>
      </c>
      <c r="J38" s="133">
        <v>2354.0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221.0</v>
      </c>
      <c r="G39" s="93"/>
      <c r="H39" s="137">
        <v>221.0</v>
      </c>
      <c r="I39" s="92"/>
      <c r="J39" s="133">
        <v>2355.0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49.0</v>
      </c>
      <c r="G40" s="93">
        <v>49.0</v>
      </c>
      <c r="H40" s="93"/>
      <c r="I40" s="92"/>
      <c r="J40" s="133">
        <v>2356.0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798.0</v>
      </c>
      <c r="G41" s="92"/>
      <c r="H41" s="137">
        <v>798.0</v>
      </c>
      <c r="I41" s="92"/>
      <c r="J41" s="133">
        <v>2357.0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94.0</v>
      </c>
      <c r="G42" s="93">
        <v>94.0</v>
      </c>
      <c r="H42" s="137"/>
      <c r="I42" s="92"/>
      <c r="J42" s="133">
        <v>2358.0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184.0</v>
      </c>
      <c r="G43" s="93"/>
      <c r="H43" s="137">
        <v>184.0</v>
      </c>
      <c r="I43" s="92"/>
      <c r="J43" s="133">
        <v>2359.0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28.0</v>
      </c>
      <c r="G44" s="93">
        <v>28.0</v>
      </c>
      <c r="H44" s="137"/>
      <c r="I44" s="92"/>
      <c r="J44" s="133">
        <v>2360.0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1779.0</v>
      </c>
      <c r="G45" s="128">
        <v>1773.0</v>
      </c>
      <c r="H45" s="137">
        <v>6.0</v>
      </c>
      <c r="I45" s="92"/>
      <c r="J45" s="133">
        <v>2361.0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605.0</v>
      </c>
      <c r="G46" s="93"/>
      <c r="H46" s="137">
        <v>605.0</v>
      </c>
      <c r="I46" s="92"/>
      <c r="J46" s="133">
        <v>2362.0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232.0</v>
      </c>
      <c r="G47" s="93"/>
      <c r="H47" s="137">
        <v>232.0</v>
      </c>
      <c r="I47" s="92"/>
      <c r="J47" s="133">
        <v>2363.0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193.0</v>
      </c>
      <c r="G48" s="93">
        <v>193.0</v>
      </c>
      <c r="H48" s="92"/>
      <c r="I48" s="92"/>
      <c r="J48" s="133">
        <v>2364.0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10.0</v>
      </c>
      <c r="G49" s="92"/>
      <c r="H49" s="137">
        <v>10.0</v>
      </c>
      <c r="I49" s="92"/>
      <c r="J49" s="133">
        <v>2365.0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384.0</v>
      </c>
      <c r="G50" s="93"/>
      <c r="H50" s="137">
        <v>384.0</v>
      </c>
      <c r="I50" s="92"/>
      <c r="J50" s="133">
        <v>2366.0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33.0</v>
      </c>
      <c r="G51" s="93"/>
      <c r="H51" s="137">
        <v>33.0</v>
      </c>
      <c r="I51" s="92"/>
      <c r="J51" s="133">
        <v>2367.0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961.0</v>
      </c>
      <c r="G52" s="92"/>
      <c r="H52" s="137">
        <v>961.0</v>
      </c>
      <c r="I52" s="92"/>
      <c r="J52" s="133">
        <v>2368.0</v>
      </c>
      <c r="K52" s="24"/>
      <c r="L52" s="117">
        <v>357.0</v>
      </c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455.0</v>
      </c>
      <c r="G53" s="92"/>
      <c r="H53" s="92"/>
      <c r="I53" s="93">
        <v>455.0</v>
      </c>
      <c r="J53" s="133" t="s">
        <v>153</v>
      </c>
      <c r="K53" s="24"/>
      <c r="L53" s="117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901.0</v>
      </c>
      <c r="G54" s="93">
        <v>901.0</v>
      </c>
      <c r="H54" s="92"/>
      <c r="I54" s="92"/>
      <c r="J54" s="133">
        <v>2370.0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50.0</v>
      </c>
      <c r="G55" s="93">
        <v>50.0</v>
      </c>
      <c r="H55" s="92"/>
      <c r="I55" s="92"/>
      <c r="J55" s="133">
        <v>2371.0</v>
      </c>
      <c r="K55" s="24"/>
      <c r="L55" s="117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136.0</v>
      </c>
      <c r="G56" s="93"/>
      <c r="H56" s="137">
        <v>136.0</v>
      </c>
      <c r="I56" s="92"/>
      <c r="J56" s="133">
        <v>2372.0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60.0</v>
      </c>
      <c r="G57" s="93">
        <v>60.0</v>
      </c>
      <c r="H57" s="92"/>
      <c r="I57" s="92"/>
      <c r="J57" s="133">
        <v>2373.0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133">
        <v>2374.0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133">
        <v>2375.0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133">
        <v>2376.0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133">
        <v>2377.0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133">
        <v>2378.0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133">
        <v>2379.0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133">
        <v>2380.0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133">
        <v>2381.0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133">
        <v>2382.0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133">
        <v>2383.0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133">
        <v>2384.0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133">
        <v>2385.0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133">
        <v>2386.0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133">
        <v>2387.0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133">
        <v>2388.0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133">
        <v>2389.0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133">
        <v>2390.0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133">
        <v>2391.0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133">
        <v>2392.0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33">
        <v>2393.0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33">
        <v>2394.0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33">
        <v>2395.0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3">
        <v>2396.0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33">
        <v>2397.0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33">
        <v>2398.0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3">
        <v>2399.0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3">
        <v>2400.0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3">
        <v>2401.0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3">
        <v>2402.0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3">
        <v>2403.0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3">
        <v>2404.0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3">
        <v>2405.0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3">
        <v>2406.0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3">
        <v>2407.0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3">
        <v>2408.0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3">
        <v>2409.0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33">
        <v>2410.0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54">
        <v>0.0</v>
      </c>
      <c r="I95" s="61"/>
      <c r="J95" s="133">
        <v>2411.0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133">
        <v>2412.0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17601</v>
      </c>
      <c r="G97" s="123">
        <f t="shared" si="4"/>
        <v>7363</v>
      </c>
      <c r="H97" s="123">
        <f t="shared" si="4"/>
        <v>7478</v>
      </c>
      <c r="I97" s="123">
        <f t="shared" si="4"/>
        <v>2760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78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45980.0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64621.0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8633.0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31464.0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14194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8129</v>
      </c>
      <c r="D10" s="24"/>
      <c r="E10" s="43">
        <v>1.0</v>
      </c>
      <c r="F10" s="44">
        <v>167.0</v>
      </c>
      <c r="G10" s="45"/>
      <c r="H10" s="149">
        <v>167.0</v>
      </c>
      <c r="I10" s="45"/>
      <c r="J10" s="133">
        <v>2374.0</v>
      </c>
      <c r="K10" s="24"/>
      <c r="L10" s="47"/>
      <c r="M10" s="47"/>
      <c r="N10" s="47"/>
      <c r="O10" s="49"/>
      <c r="P10" s="85" t="s">
        <v>154</v>
      </c>
      <c r="Q10" s="51"/>
      <c r="R10" s="52">
        <v>60.0</v>
      </c>
      <c r="S10" s="53"/>
      <c r="T10" s="54"/>
      <c r="U10" s="55"/>
      <c r="V10" s="24"/>
      <c r="W10" s="47">
        <v>126.0</v>
      </c>
      <c r="X10" s="47"/>
      <c r="Y10" s="47">
        <v>2370.0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5708</v>
      </c>
      <c r="D11" s="24"/>
      <c r="E11" s="43">
        <v>2.0</v>
      </c>
      <c r="F11" s="56">
        <v>269.0</v>
      </c>
      <c r="G11" s="179">
        <v>269.0</v>
      </c>
      <c r="H11" s="58"/>
      <c r="I11" s="59"/>
      <c r="J11" s="133">
        <v>2375.0</v>
      </c>
      <c r="K11" s="24"/>
      <c r="L11" s="48"/>
      <c r="M11" s="48"/>
      <c r="N11" s="48"/>
      <c r="O11" s="49"/>
      <c r="P11" s="72" t="s">
        <v>155</v>
      </c>
      <c r="Q11" s="51"/>
      <c r="R11" s="52">
        <v>1000.0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357</v>
      </c>
      <c r="D12" s="24"/>
      <c r="E12" s="43">
        <v>3.0</v>
      </c>
      <c r="F12" s="63">
        <v>38.0</v>
      </c>
      <c r="G12" s="148">
        <v>38.0</v>
      </c>
      <c r="H12" s="64"/>
      <c r="I12" s="65"/>
      <c r="J12" s="133">
        <v>2376.0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94.0</v>
      </c>
      <c r="G13" s="141">
        <v>94.0</v>
      </c>
      <c r="H13" s="65"/>
      <c r="I13" s="65"/>
      <c r="J13" s="133">
        <v>2377.0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100.0</v>
      </c>
      <c r="G14" s="141">
        <v>100.0</v>
      </c>
      <c r="H14" s="65"/>
      <c r="I14" s="65"/>
      <c r="J14" s="133">
        <v>2378.0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126</v>
      </c>
      <c r="D15" s="24"/>
      <c r="E15" s="43">
        <v>6.0</v>
      </c>
      <c r="F15" s="56">
        <v>399.0</v>
      </c>
      <c r="G15" s="64"/>
      <c r="H15" s="148">
        <v>399.0</v>
      </c>
      <c r="I15" s="65"/>
      <c r="J15" s="133">
        <v>2379.0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1060</v>
      </c>
      <c r="D16" s="24"/>
      <c r="E16" s="43">
        <v>7.0</v>
      </c>
      <c r="F16" s="56">
        <v>454.0</v>
      </c>
      <c r="G16" s="64"/>
      <c r="H16" s="148">
        <v>454.0</v>
      </c>
      <c r="I16" s="65"/>
      <c r="J16" s="133">
        <v>2380.0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1060</v>
      </c>
      <c r="D17" s="24"/>
      <c r="E17" s="43">
        <v>8.0</v>
      </c>
      <c r="F17" s="56">
        <v>409.0</v>
      </c>
      <c r="G17" s="141">
        <v>409.0</v>
      </c>
      <c r="H17" s="64"/>
      <c r="I17" s="65"/>
      <c r="J17" s="133">
        <v>2381.0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165.0</v>
      </c>
      <c r="G18" s="141" t="s">
        <v>69</v>
      </c>
      <c r="H18" s="152">
        <v>165.0</v>
      </c>
      <c r="I18" s="65"/>
      <c r="J18" s="133">
        <v>2382.0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388.0</v>
      </c>
      <c r="G19" s="141">
        <v>388.0</v>
      </c>
      <c r="H19" s="65"/>
      <c r="I19" s="65"/>
      <c r="J19" s="133">
        <v>2383.0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31821</v>
      </c>
      <c r="D20" s="24"/>
      <c r="E20" s="43">
        <v>11.0</v>
      </c>
      <c r="F20" s="56">
        <v>145.0</v>
      </c>
      <c r="G20" s="141">
        <v>145.0</v>
      </c>
      <c r="H20" s="64"/>
      <c r="I20" s="65"/>
      <c r="J20" s="133">
        <v>2384.0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5708</v>
      </c>
      <c r="D21" s="24"/>
      <c r="E21" s="43">
        <v>12.0</v>
      </c>
      <c r="F21" s="56">
        <v>414.0</v>
      </c>
      <c r="G21" s="141">
        <v>414.0</v>
      </c>
      <c r="H21" s="64"/>
      <c r="I21" s="65"/>
      <c r="J21" s="133">
        <v>2385.0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68190</v>
      </c>
      <c r="D22" s="24"/>
      <c r="E22" s="43">
        <v>13.0</v>
      </c>
      <c r="F22" s="56">
        <v>159.0</v>
      </c>
      <c r="G22" s="141">
        <v>159.0</v>
      </c>
      <c r="H22" s="64"/>
      <c r="I22" s="65"/>
      <c r="J22" s="133">
        <v>2386.0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69018.0</v>
      </c>
      <c r="D23" s="24"/>
      <c r="E23" s="43">
        <v>14.0</v>
      </c>
      <c r="F23" s="56">
        <v>430.0</v>
      </c>
      <c r="G23" s="65"/>
      <c r="H23" s="148">
        <v>430.0</v>
      </c>
      <c r="I23" s="65"/>
      <c r="J23" s="133">
        <v>2387.0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-828</v>
      </c>
      <c r="D24" s="24"/>
      <c r="E24" s="43">
        <v>15.0</v>
      </c>
      <c r="F24" s="56">
        <v>357.0</v>
      </c>
      <c r="G24" s="64" t="s">
        <v>69</v>
      </c>
      <c r="H24" s="64" t="s">
        <v>69</v>
      </c>
      <c r="I24" s="64">
        <v>357.0</v>
      </c>
      <c r="J24" s="133">
        <v>2388.0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18.0</v>
      </c>
      <c r="G25" s="64" t="s">
        <v>156</v>
      </c>
      <c r="H25" s="148">
        <v>18.0</v>
      </c>
      <c r="I25" s="65"/>
      <c r="J25" s="133">
        <v>2389.0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14320</v>
      </c>
      <c r="D26" s="24"/>
      <c r="E26" s="43">
        <v>17.0</v>
      </c>
      <c r="F26" s="56">
        <v>73.0</v>
      </c>
      <c r="G26" s="141">
        <v>73.0</v>
      </c>
      <c r="H26" s="65"/>
      <c r="I26" s="65"/>
      <c r="J26" s="133">
        <v>2390.0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50.0</v>
      </c>
      <c r="D27" s="24"/>
      <c r="E27" s="43">
        <v>18.0</v>
      </c>
      <c r="F27" s="56">
        <v>112.0</v>
      </c>
      <c r="G27" s="141">
        <v>112.0</v>
      </c>
      <c r="H27" s="65"/>
      <c r="I27" s="65"/>
      <c r="J27" s="133">
        <v>2391.0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286.4</v>
      </c>
      <c r="D28" s="24"/>
      <c r="E28" s="43">
        <v>19.0</v>
      </c>
      <c r="F28" s="56">
        <v>50.0</v>
      </c>
      <c r="G28" s="64"/>
      <c r="H28" s="148">
        <v>50.0</v>
      </c>
      <c r="I28" s="65"/>
      <c r="J28" s="133">
        <v>2392.0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118.0</v>
      </c>
      <c r="G29" s="180">
        <v>118.0</v>
      </c>
      <c r="H29" s="65"/>
      <c r="I29" s="65"/>
      <c r="J29" s="133">
        <v>2393.0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295.0</v>
      </c>
      <c r="G30" s="181"/>
      <c r="H30" s="140">
        <v>295.0</v>
      </c>
      <c r="I30" s="93"/>
      <c r="J30" s="133">
        <v>2394.0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8633</v>
      </c>
      <c r="D31" s="24"/>
      <c r="E31" s="43">
        <v>22.0</v>
      </c>
      <c r="F31" s="56">
        <v>470.0</v>
      </c>
      <c r="G31" s="181">
        <v>470.0</v>
      </c>
      <c r="H31" s="93" t="s">
        <v>69</v>
      </c>
      <c r="I31" s="92"/>
      <c r="J31" s="133">
        <v>2395.0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1060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182">
        <v>492.0</v>
      </c>
      <c r="G32" s="93"/>
      <c r="H32" s="183">
        <v>492.0</v>
      </c>
      <c r="I32" s="92"/>
      <c r="J32" s="133">
        <v>2396.0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182">
        <v>257.0</v>
      </c>
      <c r="G33" s="93"/>
      <c r="H33" s="183">
        <v>257.0</v>
      </c>
      <c r="I33" s="92"/>
      <c r="J33" s="133">
        <v>2397.0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8633.0</v>
      </c>
      <c r="T33" s="101"/>
      <c r="U33" s="55"/>
      <c r="V33" s="24"/>
      <c r="W33" s="104">
        <f t="shared" ref="W33:X33" si="3">sum(W10:W32)</f>
        <v>126</v>
      </c>
      <c r="X33" s="104">
        <f t="shared" si="3"/>
        <v>0</v>
      </c>
      <c r="Y33" s="104">
        <f>W33+X33</f>
        <v>126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182">
        <v>36.0</v>
      </c>
      <c r="G34" s="137"/>
      <c r="H34" s="183">
        <v>36.0</v>
      </c>
      <c r="I34" s="92"/>
      <c r="J34" s="133">
        <v>2398.0</v>
      </c>
      <c r="K34" s="24"/>
      <c r="L34" s="106"/>
      <c r="M34" s="106"/>
      <c r="N34" s="106"/>
      <c r="O34" s="106"/>
      <c r="P34" s="85" t="s">
        <v>40</v>
      </c>
      <c r="Q34" s="107"/>
      <c r="R34" s="138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110.0</v>
      </c>
      <c r="G35" s="184">
        <v>110.0</v>
      </c>
      <c r="H35" s="93"/>
      <c r="I35" s="92"/>
      <c r="J35" s="133">
        <v>2399.0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160.0</v>
      </c>
      <c r="G36" s="184">
        <v>160.0</v>
      </c>
      <c r="H36" s="93"/>
      <c r="I36" s="92"/>
      <c r="J36" s="133">
        <v>2400.0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69.0</v>
      </c>
      <c r="G37" s="184">
        <v>69.0</v>
      </c>
      <c r="H37" s="92"/>
      <c r="I37" s="92"/>
      <c r="J37" s="133">
        <v>2401.0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1083.0</v>
      </c>
      <c r="G38" s="184">
        <v>1083.0</v>
      </c>
      <c r="H38" s="92"/>
      <c r="I38" s="92"/>
      <c r="J38" s="133">
        <v>2402.0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279.0</v>
      </c>
      <c r="G39" s="185">
        <v>279.0</v>
      </c>
      <c r="H39" s="93"/>
      <c r="I39" s="92"/>
      <c r="J39" s="133">
        <v>2403.0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528.0</v>
      </c>
      <c r="G40" s="185">
        <v>528.0</v>
      </c>
      <c r="H40" s="93"/>
      <c r="I40" s="92"/>
      <c r="J40" s="133">
        <v>2404.0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40.0</v>
      </c>
      <c r="G41" s="185">
        <v>40.0</v>
      </c>
      <c r="H41" s="93"/>
      <c r="I41" s="92"/>
      <c r="J41" s="133">
        <v>2405.0</v>
      </c>
      <c r="K41" s="24"/>
      <c r="L41" s="117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179.0</v>
      </c>
      <c r="G42" s="185">
        <v>179.0</v>
      </c>
      <c r="H42" s="93"/>
      <c r="I42" s="92"/>
      <c r="J42" s="133">
        <v>2406.0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820.0</v>
      </c>
      <c r="G43" s="185">
        <v>820.0</v>
      </c>
      <c r="H43" s="92"/>
      <c r="I43" s="92"/>
      <c r="J43" s="133">
        <v>2407.0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42.0</v>
      </c>
      <c r="G44" s="185">
        <v>42.0</v>
      </c>
      <c r="H44" s="93"/>
      <c r="I44" s="92"/>
      <c r="J44" s="133">
        <v>2408.0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298.0</v>
      </c>
      <c r="G45" s="185">
        <v>298.0</v>
      </c>
      <c r="H45" s="92"/>
      <c r="I45" s="92"/>
      <c r="J45" s="133">
        <v>2409.0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329.0</v>
      </c>
      <c r="G46" s="184">
        <v>329.0</v>
      </c>
      <c r="H46" s="92"/>
      <c r="I46" s="92"/>
      <c r="J46" s="133">
        <v>2410.0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215.0</v>
      </c>
      <c r="G47" s="92"/>
      <c r="H47" s="140">
        <v>215.0</v>
      </c>
      <c r="I47" s="92"/>
      <c r="J47" s="133">
        <v>2411.0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30.0</v>
      </c>
      <c r="G48" s="184">
        <v>30.0</v>
      </c>
      <c r="H48" s="92"/>
      <c r="I48" s="92"/>
      <c r="J48" s="133">
        <v>2412.0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84.0</v>
      </c>
      <c r="G49" s="186"/>
      <c r="H49" s="140">
        <v>84.0</v>
      </c>
      <c r="I49" s="92"/>
      <c r="J49" s="133">
        <v>2413.0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142.0</v>
      </c>
      <c r="G50" s="184">
        <v>142.0</v>
      </c>
      <c r="H50" s="93"/>
      <c r="I50" s="92"/>
      <c r="J50" s="133">
        <v>2414.0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610.0</v>
      </c>
      <c r="G51" s="184">
        <v>610.0</v>
      </c>
      <c r="H51" s="92"/>
      <c r="I51" s="92"/>
      <c r="J51" s="133">
        <v>2415.0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9.0</v>
      </c>
      <c r="G52" s="184">
        <v>9.0</v>
      </c>
      <c r="H52" s="92"/>
      <c r="I52" s="92"/>
      <c r="J52" s="133">
        <v>2416.0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10.0</v>
      </c>
      <c r="G53" s="184">
        <v>10.0</v>
      </c>
      <c r="H53" s="92"/>
      <c r="I53" s="92"/>
      <c r="J53" s="133">
        <v>2417.0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82.0</v>
      </c>
      <c r="G54" s="184">
        <v>82.0</v>
      </c>
      <c r="H54" s="92"/>
      <c r="I54" s="92"/>
      <c r="J54" s="133">
        <v>2418.0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310.0</v>
      </c>
      <c r="G55" s="184">
        <v>310.0</v>
      </c>
      <c r="H55" s="92"/>
      <c r="I55" s="92"/>
      <c r="J55" s="133">
        <v>2419.0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40.0</v>
      </c>
      <c r="G56" s="92"/>
      <c r="H56" s="140">
        <v>40.0</v>
      </c>
      <c r="I56" s="92"/>
      <c r="J56" s="133">
        <v>2420.0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149.0</v>
      </c>
      <c r="G57" s="92"/>
      <c r="H57" s="140">
        <v>149.0</v>
      </c>
      <c r="I57" s="92"/>
      <c r="J57" s="133">
        <v>2421.0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336.0</v>
      </c>
      <c r="G58" s="184">
        <v>336.0</v>
      </c>
      <c r="H58" s="92"/>
      <c r="I58" s="92"/>
      <c r="J58" s="133">
        <v>2422.0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2457.0</v>
      </c>
      <c r="G59" s="92"/>
      <c r="H59" s="140">
        <v>2457.0</v>
      </c>
      <c r="I59" s="92"/>
      <c r="J59" s="133">
        <v>2423.0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133">
        <v>2424.0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133">
        <v>2425.0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133">
        <v>2426.0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133">
        <v>2427.0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133">
        <v>2428.0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133">
        <v>2429.0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133">
        <v>2430.0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133">
        <v>2431.0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133">
        <v>2432.0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133">
        <v>2433.0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133">
        <v>2434.0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133">
        <v>2435.0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133">
        <v>2436.0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133">
        <v>2437.0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133">
        <v>2438.0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133">
        <v>2439.0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133">
        <v>2440.0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33">
        <v>2441.0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33">
        <v>2442.0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33">
        <v>2443.0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3">
        <v>2444.0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33">
        <v>2445.0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33">
        <v>2446.0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3">
        <v>2447.0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3">
        <v>2448.0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3">
        <v>2449.0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3">
        <v>2450.0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3">
        <v>2451.0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3">
        <v>2452.0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3">
        <v>2453.0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3">
        <v>2454.0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3">
        <v>2455.0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3">
        <v>2456.0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14320</v>
      </c>
      <c r="G97" s="123">
        <f t="shared" si="4"/>
        <v>8255</v>
      </c>
      <c r="H97" s="123">
        <f t="shared" si="4"/>
        <v>5708</v>
      </c>
      <c r="I97" s="123">
        <f t="shared" si="4"/>
        <v>357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18">
        <v>3.0</v>
      </c>
      <c r="B2" s="2" t="s">
        <v>0</v>
      </c>
      <c r="C2" s="132">
        <v>45981.0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68190.0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5708.0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31821.0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24023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10477</v>
      </c>
      <c r="D10" s="24"/>
      <c r="E10" s="43">
        <v>1.0</v>
      </c>
      <c r="F10" s="44">
        <v>17.0</v>
      </c>
      <c r="G10" s="145">
        <v>17.0</v>
      </c>
      <c r="H10" s="45"/>
      <c r="I10" s="45"/>
      <c r="J10" s="133">
        <v>2424.0</v>
      </c>
      <c r="K10" s="24"/>
      <c r="L10" s="47">
        <v>2305.0</v>
      </c>
      <c r="M10" s="47"/>
      <c r="N10" s="47" t="s">
        <v>157</v>
      </c>
      <c r="O10" s="49"/>
      <c r="P10" s="85" t="s">
        <v>158</v>
      </c>
      <c r="Q10" s="51"/>
      <c r="R10" s="52">
        <v>1000.0</v>
      </c>
      <c r="S10" s="53"/>
      <c r="T10" s="54"/>
      <c r="U10" s="55"/>
      <c r="V10" s="24"/>
      <c r="W10" s="47">
        <v>370.0</v>
      </c>
      <c r="X10" s="47"/>
      <c r="Y10" s="47">
        <v>2437.0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9633</v>
      </c>
      <c r="D11" s="24"/>
      <c r="E11" s="43">
        <v>2.0</v>
      </c>
      <c r="F11" s="56">
        <v>298.0</v>
      </c>
      <c r="G11" s="179">
        <v>298.0</v>
      </c>
      <c r="H11" s="58"/>
      <c r="I11" s="59"/>
      <c r="J11" s="133">
        <v>2425.0</v>
      </c>
      <c r="K11" s="24"/>
      <c r="L11" s="48"/>
      <c r="M11" s="48"/>
      <c r="N11" s="47">
        <v>2354.0</v>
      </c>
      <c r="O11" s="49"/>
      <c r="P11" s="60"/>
      <c r="Q11" s="51"/>
      <c r="R11" s="52"/>
      <c r="S11" s="53"/>
      <c r="T11" s="61"/>
      <c r="U11" s="62"/>
      <c r="V11" s="24"/>
      <c r="W11" s="47">
        <v>175.0</v>
      </c>
      <c r="X11" s="47"/>
      <c r="Y11" s="47">
        <v>2442.0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3913</v>
      </c>
      <c r="D12" s="24"/>
      <c r="E12" s="43">
        <v>3.0</v>
      </c>
      <c r="F12" s="63">
        <v>104.0</v>
      </c>
      <c r="G12" s="141">
        <v>104.0</v>
      </c>
      <c r="H12" s="64"/>
      <c r="I12" s="65"/>
      <c r="J12" s="133">
        <v>2426.0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7">
        <v>156.0</v>
      </c>
      <c r="X12" s="48"/>
      <c r="Y12" s="47">
        <v>2361.0</v>
      </c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2305</v>
      </c>
      <c r="D13" s="24"/>
      <c r="E13" s="43">
        <v>4.0</v>
      </c>
      <c r="F13" s="56">
        <v>130.0</v>
      </c>
      <c r="G13" s="141">
        <v>130.0</v>
      </c>
      <c r="H13" s="176"/>
      <c r="I13" s="65"/>
      <c r="J13" s="133">
        <v>2427.0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856.0</v>
      </c>
      <c r="G14" s="64" t="s">
        <v>69</v>
      </c>
      <c r="H14" s="141">
        <v>856.0</v>
      </c>
      <c r="I14" s="64"/>
      <c r="J14" s="133">
        <v>2428.0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701</v>
      </c>
      <c r="D15" s="24"/>
      <c r="E15" s="43">
        <v>6.0</v>
      </c>
      <c r="F15" s="56">
        <v>136.0</v>
      </c>
      <c r="G15" s="64"/>
      <c r="H15" s="141">
        <v>136.0</v>
      </c>
      <c r="I15" s="65"/>
      <c r="J15" s="133">
        <v>2429.0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1000</v>
      </c>
      <c r="D16" s="24"/>
      <c r="E16" s="43">
        <v>7.0</v>
      </c>
      <c r="F16" s="56">
        <v>262.0</v>
      </c>
      <c r="G16" s="64"/>
      <c r="H16" s="141">
        <v>262.0</v>
      </c>
      <c r="I16" s="65"/>
      <c r="J16" s="133">
        <v>2430.0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1000</v>
      </c>
      <c r="D17" s="24"/>
      <c r="E17" s="43">
        <v>8.0</v>
      </c>
      <c r="F17" s="56">
        <v>130.0</v>
      </c>
      <c r="G17" s="65"/>
      <c r="H17" s="141">
        <v>130.0</v>
      </c>
      <c r="I17" s="65"/>
      <c r="J17" s="133">
        <v>2431.0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173.0</v>
      </c>
      <c r="G18" s="64"/>
      <c r="H18" s="141">
        <v>173.0</v>
      </c>
      <c r="I18" s="65"/>
      <c r="J18" s="133">
        <v>2432.0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242.0</v>
      </c>
      <c r="G19" s="141">
        <v>242.0</v>
      </c>
      <c r="H19" s="65"/>
      <c r="I19" s="65"/>
      <c r="J19" s="133">
        <v>2433.0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33429</v>
      </c>
      <c r="D20" s="24"/>
      <c r="E20" s="43">
        <v>11.0</v>
      </c>
      <c r="F20" s="56">
        <v>10.0</v>
      </c>
      <c r="G20" s="64"/>
      <c r="H20" s="141">
        <v>10.0</v>
      </c>
      <c r="I20" s="65"/>
      <c r="J20" s="133">
        <v>2434.0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9633</v>
      </c>
      <c r="D21" s="24"/>
      <c r="E21" s="43">
        <v>12.0</v>
      </c>
      <c r="F21" s="56">
        <v>17.0</v>
      </c>
      <c r="G21" s="141">
        <v>17.0</v>
      </c>
      <c r="H21" s="64"/>
      <c r="I21" s="65"/>
      <c r="J21" s="133">
        <v>2435.0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76472</v>
      </c>
      <c r="D22" s="24"/>
      <c r="E22" s="43">
        <v>13.0</v>
      </c>
      <c r="F22" s="56">
        <v>375.0</v>
      </c>
      <c r="G22" s="64"/>
      <c r="H22" s="141">
        <v>375.0</v>
      </c>
      <c r="I22" s="65"/>
      <c r="J22" s="133">
        <v>2436.0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77307.0</v>
      </c>
      <c r="D23" s="24"/>
      <c r="E23" s="43">
        <v>14.0</v>
      </c>
      <c r="F23" s="56">
        <v>1286.0</v>
      </c>
      <c r="G23" s="64"/>
      <c r="H23" s="64">
        <v>1286.0</v>
      </c>
      <c r="I23" s="65"/>
      <c r="J23" s="133">
        <v>2437.0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-835</v>
      </c>
      <c r="D24" s="24"/>
      <c r="E24" s="43">
        <v>15.0</v>
      </c>
      <c r="F24" s="56">
        <v>359.0</v>
      </c>
      <c r="G24" s="64"/>
      <c r="H24" s="65"/>
      <c r="I24" s="64">
        <v>359.0</v>
      </c>
      <c r="J24" s="133">
        <v>2438.0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1200.0</v>
      </c>
      <c r="G25" s="141">
        <v>1200.0</v>
      </c>
      <c r="H25" s="65"/>
      <c r="I25" s="65"/>
      <c r="J25" s="133">
        <v>2439.0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24724</v>
      </c>
      <c r="D26" s="24"/>
      <c r="E26" s="43">
        <v>17.0</v>
      </c>
      <c r="F26" s="56">
        <v>1177.0</v>
      </c>
      <c r="G26" s="64"/>
      <c r="H26" s="141">
        <v>1177.0</v>
      </c>
      <c r="I26" s="65"/>
      <c r="J26" s="133">
        <v>2440.0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76.0</v>
      </c>
      <c r="D27" s="24"/>
      <c r="E27" s="43">
        <v>18.0</v>
      </c>
      <c r="F27" s="56">
        <v>255.0</v>
      </c>
      <c r="G27" s="64"/>
      <c r="H27" s="141">
        <v>255.0</v>
      </c>
      <c r="I27" s="65"/>
      <c r="J27" s="133">
        <v>2441.0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325.3157895</v>
      </c>
      <c r="D28" s="24"/>
      <c r="E28" s="43">
        <v>19.0</v>
      </c>
      <c r="F28" s="56">
        <v>175.0</v>
      </c>
      <c r="G28" s="64"/>
      <c r="H28" s="64">
        <v>175.0</v>
      </c>
      <c r="I28" s="65"/>
      <c r="J28" s="133">
        <v>2442.0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507.0</v>
      </c>
      <c r="G29" s="64"/>
      <c r="H29" s="141">
        <v>507.0</v>
      </c>
      <c r="I29" s="65"/>
      <c r="J29" s="133">
        <v>2443.0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220.0</v>
      </c>
      <c r="G30" s="137">
        <v>220.0</v>
      </c>
      <c r="H30" s="92"/>
      <c r="I30" s="93"/>
      <c r="J30" s="133">
        <v>2444.0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5708</v>
      </c>
      <c r="D31" s="24"/>
      <c r="E31" s="43">
        <v>22.0</v>
      </c>
      <c r="F31" s="56">
        <v>206.0</v>
      </c>
      <c r="G31" s="137">
        <v>206.0</v>
      </c>
      <c r="H31" s="92"/>
      <c r="I31" s="92"/>
      <c r="J31" s="133">
        <v>2445.0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1000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14.0</v>
      </c>
      <c r="G32" s="137">
        <v>14.0</v>
      </c>
      <c r="H32" s="92"/>
      <c r="I32" s="92"/>
      <c r="J32" s="133">
        <v>2446.0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38.0</v>
      </c>
      <c r="G33" s="137">
        <v>38.0</v>
      </c>
      <c r="H33" s="92"/>
      <c r="I33" s="92"/>
      <c r="J33" s="133">
        <v>2447.0</v>
      </c>
      <c r="K33" s="24"/>
      <c r="L33" s="104">
        <f t="shared" ref="L33:M33" si="2">sum(L10:L32)</f>
        <v>2305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5708.0</v>
      </c>
      <c r="T33" s="101"/>
      <c r="U33" s="55"/>
      <c r="V33" s="24"/>
      <c r="W33" s="104">
        <f t="shared" ref="W33:X33" si="3">sum(W10:W32)</f>
        <v>701</v>
      </c>
      <c r="X33" s="104">
        <f t="shared" si="3"/>
        <v>0</v>
      </c>
      <c r="Y33" s="104">
        <f>W33+X33</f>
        <v>701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328.0</v>
      </c>
      <c r="G34" s="137">
        <v>328.0</v>
      </c>
      <c r="H34" s="92"/>
      <c r="I34" s="92"/>
      <c r="J34" s="133">
        <v>2448.0</v>
      </c>
      <c r="K34" s="24"/>
      <c r="L34" s="106"/>
      <c r="M34" s="106"/>
      <c r="N34" s="106"/>
      <c r="O34" s="106"/>
      <c r="P34" s="85" t="s">
        <v>40</v>
      </c>
      <c r="Q34" s="107"/>
      <c r="R34" s="138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411.0</v>
      </c>
      <c r="G35" s="92"/>
      <c r="H35" s="137">
        <v>411.0</v>
      </c>
      <c r="I35" s="92"/>
      <c r="J35" s="133">
        <v>2449.0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439.0</v>
      </c>
      <c r="G36" s="93"/>
      <c r="H36" s="137">
        <v>439.0</v>
      </c>
      <c r="I36" s="92"/>
      <c r="J36" s="133">
        <v>2450.0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149.0</v>
      </c>
      <c r="G37" s="137">
        <v>149.0</v>
      </c>
      <c r="H37" s="92"/>
      <c r="I37" s="92"/>
      <c r="J37" s="133">
        <v>2451.0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4.0</v>
      </c>
      <c r="G38" s="137">
        <v>4.0</v>
      </c>
      <c r="H38" s="92"/>
      <c r="I38" s="92"/>
      <c r="J38" s="133">
        <v>2452.0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455.0</v>
      </c>
      <c r="G39" s="93"/>
      <c r="H39" s="137">
        <v>455.0</v>
      </c>
      <c r="I39" s="92"/>
      <c r="J39" s="133">
        <v>2453.0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148.0</v>
      </c>
      <c r="G40" s="93"/>
      <c r="H40" s="137">
        <v>148.0</v>
      </c>
      <c r="I40" s="92"/>
      <c r="J40" s="133">
        <v>2454.0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226.0</v>
      </c>
      <c r="G41" s="93"/>
      <c r="H41" s="137">
        <v>226.0</v>
      </c>
      <c r="I41" s="92"/>
      <c r="J41" s="133">
        <v>2455.0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449.0</v>
      </c>
      <c r="G42" s="137">
        <v>449.0</v>
      </c>
      <c r="H42" s="93"/>
      <c r="I42" s="92"/>
      <c r="J42" s="133">
        <v>2456.0</v>
      </c>
      <c r="K42" s="24"/>
      <c r="L42" s="112"/>
      <c r="M42" s="18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299.0</v>
      </c>
      <c r="G43" s="137">
        <v>299.0</v>
      </c>
      <c r="H43" s="92"/>
      <c r="I43" s="92"/>
      <c r="J43" s="133">
        <v>2457.0</v>
      </c>
      <c r="K43" s="24"/>
      <c r="L43" s="112"/>
      <c r="M43" s="187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1445.0</v>
      </c>
      <c r="G44" s="137">
        <v>1445.0</v>
      </c>
      <c r="H44" s="93"/>
      <c r="I44" s="92"/>
      <c r="J44" s="133">
        <v>2458.0</v>
      </c>
      <c r="K44" s="24"/>
      <c r="L44" s="112"/>
      <c r="M44" s="187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229.0</v>
      </c>
      <c r="G45" s="137">
        <v>229.0</v>
      </c>
      <c r="H45" s="92"/>
      <c r="I45" s="92"/>
      <c r="J45" s="133">
        <v>2459.0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532.0</v>
      </c>
      <c r="G46" s="137">
        <v>532.0</v>
      </c>
      <c r="H46" s="92"/>
      <c r="I46" s="92"/>
      <c r="J46" s="133">
        <v>2460.0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1587.0</v>
      </c>
      <c r="G47" s="92"/>
      <c r="H47" s="93"/>
      <c r="I47" s="93">
        <v>1587.0</v>
      </c>
      <c r="J47" s="133">
        <v>2461.0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40.0</v>
      </c>
      <c r="G48" s="137">
        <v>40.0</v>
      </c>
      <c r="H48" s="92"/>
      <c r="I48" s="92"/>
      <c r="J48" s="133">
        <v>2462.0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152.0</v>
      </c>
      <c r="G49" s="92"/>
      <c r="H49" s="137">
        <v>152.0</v>
      </c>
      <c r="I49" s="92"/>
      <c r="J49" s="133">
        <v>2463.0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80.0</v>
      </c>
      <c r="G50" s="137">
        <v>80.0</v>
      </c>
      <c r="H50" s="93"/>
      <c r="I50" s="92"/>
      <c r="J50" s="133">
        <v>2464.0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12.0</v>
      </c>
      <c r="G51" s="137">
        <v>12.0</v>
      </c>
      <c r="H51" s="92"/>
      <c r="I51" s="92"/>
      <c r="J51" s="133">
        <v>2465.0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30.0</v>
      </c>
      <c r="G52" s="137">
        <v>30.0</v>
      </c>
      <c r="H52" s="92"/>
      <c r="I52" s="92"/>
      <c r="J52" s="133">
        <v>2466.0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11.0</v>
      </c>
      <c r="G53" s="137">
        <v>11.0</v>
      </c>
      <c r="H53" s="92"/>
      <c r="I53" s="92"/>
      <c r="J53" s="133">
        <v>2467.0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344.0</v>
      </c>
      <c r="G54" s="137">
        <v>344.0</v>
      </c>
      <c r="H54" s="92"/>
      <c r="I54" s="92"/>
      <c r="J54" s="133">
        <v>2468.0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410.0</v>
      </c>
      <c r="G55" s="137">
        <v>410.0</v>
      </c>
      <c r="H55" s="92"/>
      <c r="I55" s="92"/>
      <c r="J55" s="133">
        <v>2469.0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30.0</v>
      </c>
      <c r="G56" s="92"/>
      <c r="H56" s="137">
        <v>30.0</v>
      </c>
      <c r="I56" s="92"/>
      <c r="J56" s="133">
        <v>2470.0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1967.0</v>
      </c>
      <c r="G57" s="92"/>
      <c r="H57" s="92"/>
      <c r="I57" s="93">
        <v>1967.0</v>
      </c>
      <c r="J57" s="133" t="s">
        <v>159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5.0</v>
      </c>
      <c r="G58" s="137">
        <v>5.0</v>
      </c>
      <c r="H58" s="92"/>
      <c r="I58" s="92"/>
      <c r="J58" s="133">
        <v>2472.0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135.0</v>
      </c>
      <c r="G59" s="137">
        <v>135.0</v>
      </c>
      <c r="H59" s="92"/>
      <c r="I59" s="92"/>
      <c r="J59" s="133">
        <v>2473.0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104.0</v>
      </c>
      <c r="G60" s="137">
        <v>104.0</v>
      </c>
      <c r="H60" s="92"/>
      <c r="I60" s="92"/>
      <c r="J60" s="133">
        <v>2474.0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38.0</v>
      </c>
      <c r="G61" s="92"/>
      <c r="H61" s="137">
        <v>38.0</v>
      </c>
      <c r="I61" s="92"/>
      <c r="J61" s="133">
        <v>2475.0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132.0</v>
      </c>
      <c r="G62" s="137">
        <v>132.0</v>
      </c>
      <c r="H62" s="92"/>
      <c r="I62" s="92"/>
      <c r="J62" s="133">
        <v>2476.0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26.0</v>
      </c>
      <c r="G63" s="92"/>
      <c r="H63" s="137">
        <v>26.0</v>
      </c>
      <c r="I63" s="92"/>
      <c r="J63" s="133">
        <v>2477.0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116.0</v>
      </c>
      <c r="G64" s="92"/>
      <c r="H64" s="137">
        <v>116.0</v>
      </c>
      <c r="I64" s="92"/>
      <c r="J64" s="133">
        <v>2478.0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141.0</v>
      </c>
      <c r="G65" s="92"/>
      <c r="H65" s="137">
        <v>141.0</v>
      </c>
      <c r="I65" s="92"/>
      <c r="J65" s="133">
        <v>2479.0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465.0</v>
      </c>
      <c r="G66" s="137">
        <v>465.0</v>
      </c>
      <c r="H66" s="92"/>
      <c r="I66" s="92"/>
      <c r="J66" s="133">
        <v>2480.0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52.0</v>
      </c>
      <c r="G67" s="137">
        <v>52.0</v>
      </c>
      <c r="H67" s="92"/>
      <c r="I67" s="92"/>
      <c r="J67" s="133">
        <v>2481.0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360.0</v>
      </c>
      <c r="G68" s="92"/>
      <c r="H68" s="137">
        <v>360.0</v>
      </c>
      <c r="I68" s="92"/>
      <c r="J68" s="133">
        <v>2482.0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91.0</v>
      </c>
      <c r="G69" s="137">
        <v>91.0</v>
      </c>
      <c r="H69" s="92"/>
      <c r="I69" s="92"/>
      <c r="J69" s="133">
        <v>2483.0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506.0</v>
      </c>
      <c r="G70" s="137">
        <v>506.0</v>
      </c>
      <c r="H70" s="92"/>
      <c r="I70" s="92"/>
      <c r="J70" s="133">
        <v>2484.0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806.0</v>
      </c>
      <c r="G71" s="137">
        <v>806.0</v>
      </c>
      <c r="H71" s="92"/>
      <c r="I71" s="92"/>
      <c r="J71" s="133">
        <v>2485.0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257.0</v>
      </c>
      <c r="G72" s="137">
        <v>257.0</v>
      </c>
      <c r="H72" s="92"/>
      <c r="I72" s="92"/>
      <c r="J72" s="133">
        <v>2486.0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150.0</v>
      </c>
      <c r="G73" s="137">
        <v>150.0</v>
      </c>
      <c r="H73" s="92"/>
      <c r="I73" s="92"/>
      <c r="J73" s="133">
        <v>2487.0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75.0</v>
      </c>
      <c r="G74" s="137">
        <v>75.0</v>
      </c>
      <c r="H74" s="92"/>
      <c r="I74" s="92"/>
      <c r="J74" s="133">
        <v>2488.0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136.0</v>
      </c>
      <c r="G75" s="92"/>
      <c r="H75" s="137">
        <v>136.0</v>
      </c>
      <c r="I75" s="92"/>
      <c r="J75" s="133">
        <v>2489.0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12.0</v>
      </c>
      <c r="G76" s="92"/>
      <c r="H76" s="137">
        <v>12.0</v>
      </c>
      <c r="I76" s="92"/>
      <c r="J76" s="133">
        <v>2490.0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913.0</v>
      </c>
      <c r="G77" s="92"/>
      <c r="H77" s="137">
        <v>913.0</v>
      </c>
      <c r="I77" s="92"/>
      <c r="J77" s="133">
        <v>2491.0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399.0</v>
      </c>
      <c r="G78" s="92"/>
      <c r="H78" s="137">
        <v>399.0</v>
      </c>
      <c r="I78" s="92"/>
      <c r="J78" s="133">
        <v>2492.0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153.0</v>
      </c>
      <c r="G79" s="137">
        <v>153.0</v>
      </c>
      <c r="H79" s="92"/>
      <c r="I79" s="92"/>
      <c r="J79" s="133">
        <v>2493.0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391.0</v>
      </c>
      <c r="G80" s="137">
        <v>391.0</v>
      </c>
      <c r="H80" s="137" t="s">
        <v>69</v>
      </c>
      <c r="I80" s="92"/>
      <c r="J80" s="133">
        <v>2494.0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289.0</v>
      </c>
      <c r="G81" s="92"/>
      <c r="H81" s="137">
        <v>289.0</v>
      </c>
      <c r="I81" s="92"/>
      <c r="J81" s="133">
        <v>2495.0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68">
        <v>571.0</v>
      </c>
      <c r="G82" s="137">
        <v>571.0</v>
      </c>
      <c r="H82" s="61"/>
      <c r="I82" s="61"/>
      <c r="J82" s="133">
        <v>2496.0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68">
        <v>182.0</v>
      </c>
      <c r="G83" s="54">
        <v>182.0</v>
      </c>
      <c r="H83" s="61"/>
      <c r="I83" s="61"/>
      <c r="J83" s="133">
        <v>2497.0</v>
      </c>
      <c r="K83" s="24"/>
      <c r="L83" s="117">
        <v>100.0</v>
      </c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68">
        <v>217.0</v>
      </c>
      <c r="G84" s="137">
        <v>217.0</v>
      </c>
      <c r="H84" s="61"/>
      <c r="I84" s="61"/>
      <c r="J84" s="133">
        <v>2498.0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68">
        <v>38.0</v>
      </c>
      <c r="G85" s="137">
        <v>38.0</v>
      </c>
      <c r="H85" s="61"/>
      <c r="I85" s="61"/>
      <c r="J85" s="133">
        <v>2499.0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3">
        <v>2500.0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3">
        <v>2501.0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3">
        <v>2502.0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3">
        <v>2503.0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3">
        <v>2504.0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3">
        <v>2505.0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24724</v>
      </c>
      <c r="G97" s="123">
        <f t="shared" si="4"/>
        <v>11178</v>
      </c>
      <c r="H97" s="123">
        <f t="shared" si="4"/>
        <v>9633</v>
      </c>
      <c r="I97" s="123">
        <f t="shared" si="4"/>
        <v>3913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45982.0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76472.0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9633.0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33429.0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19303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8991</v>
      </c>
      <c r="D10" s="24"/>
      <c r="E10" s="43">
        <v>1.0</v>
      </c>
      <c r="F10" s="44">
        <v>108.0</v>
      </c>
      <c r="G10" s="45">
        <v>108.0</v>
      </c>
      <c r="H10" s="45"/>
      <c r="I10" s="45"/>
      <c r="J10" s="133">
        <v>2500.0</v>
      </c>
      <c r="K10" s="24"/>
      <c r="L10" s="47">
        <v>1587.0</v>
      </c>
      <c r="M10" s="47"/>
      <c r="N10" s="47">
        <v>2461.0</v>
      </c>
      <c r="O10" s="49"/>
      <c r="P10" s="85" t="s">
        <v>160</v>
      </c>
      <c r="Q10" s="51"/>
      <c r="R10" s="52">
        <v>140.0</v>
      </c>
      <c r="S10" s="53"/>
      <c r="T10" s="54"/>
      <c r="U10" s="55"/>
      <c r="V10" s="24"/>
      <c r="W10" s="47">
        <v>359.0</v>
      </c>
      <c r="X10" s="47"/>
      <c r="Y10" s="47">
        <v>2438.0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7423</v>
      </c>
      <c r="D11" s="24"/>
      <c r="E11" s="43">
        <v>2.0</v>
      </c>
      <c r="F11" s="56">
        <v>798.0</v>
      </c>
      <c r="G11" s="57"/>
      <c r="H11" s="173">
        <v>798.0</v>
      </c>
      <c r="I11" s="57"/>
      <c r="J11" s="133">
        <v>2501.0</v>
      </c>
      <c r="K11" s="24"/>
      <c r="L11" s="47">
        <v>1967.0</v>
      </c>
      <c r="M11" s="48"/>
      <c r="N11" s="47">
        <v>2471.0</v>
      </c>
      <c r="O11" s="49"/>
      <c r="P11" s="72" t="s">
        <v>161</v>
      </c>
      <c r="Q11" s="51"/>
      <c r="R11" s="52">
        <v>1000.0</v>
      </c>
      <c r="S11" s="53"/>
      <c r="T11" s="61"/>
      <c r="U11" s="62"/>
      <c r="V11" s="24"/>
      <c r="W11" s="47">
        <v>594.0</v>
      </c>
      <c r="X11" s="47"/>
      <c r="Y11" s="47">
        <v>2274.0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2890</v>
      </c>
      <c r="D12" s="24"/>
      <c r="E12" s="43">
        <v>3.0</v>
      </c>
      <c r="F12" s="63">
        <v>399.0</v>
      </c>
      <c r="G12" s="64"/>
      <c r="H12" s="141">
        <v>399.0</v>
      </c>
      <c r="I12" s="64"/>
      <c r="J12" s="133">
        <v>2502.0</v>
      </c>
      <c r="K12" s="24"/>
      <c r="L12" s="47">
        <v>594.0</v>
      </c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4148</v>
      </c>
      <c r="D13" s="24"/>
      <c r="E13" s="43">
        <v>4.0</v>
      </c>
      <c r="F13" s="56">
        <v>117.0</v>
      </c>
      <c r="G13" s="64">
        <v>117.0</v>
      </c>
      <c r="H13" s="65"/>
      <c r="I13" s="65"/>
      <c r="J13" s="133">
        <v>2503.0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69.0</v>
      </c>
      <c r="G14" s="64">
        <v>69.0</v>
      </c>
      <c r="H14" s="65"/>
      <c r="I14" s="65"/>
      <c r="J14" s="133">
        <v>2504.0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953</v>
      </c>
      <c r="D15" s="24"/>
      <c r="E15" s="43">
        <v>6.0</v>
      </c>
      <c r="F15" s="56">
        <v>125.0</v>
      </c>
      <c r="G15" s="64">
        <v>125.0</v>
      </c>
      <c r="H15" s="64"/>
      <c r="I15" s="65"/>
      <c r="J15" s="133">
        <v>2505.0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1140</v>
      </c>
      <c r="D16" s="24"/>
      <c r="E16" s="43">
        <v>7.0</v>
      </c>
      <c r="F16" s="56">
        <v>115.0</v>
      </c>
      <c r="G16" s="64">
        <v>115.0</v>
      </c>
      <c r="H16" s="64"/>
      <c r="I16" s="65"/>
      <c r="J16" s="133">
        <v>2506.0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1140</v>
      </c>
      <c r="D17" s="24"/>
      <c r="E17" s="43">
        <v>8.0</v>
      </c>
      <c r="F17" s="56">
        <v>217.0</v>
      </c>
      <c r="G17" s="64">
        <v>217.0</v>
      </c>
      <c r="H17" s="64"/>
      <c r="I17" s="65"/>
      <c r="J17" s="133">
        <v>2507.0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224.0</v>
      </c>
      <c r="G18" s="64">
        <v>224.0</v>
      </c>
      <c r="H18" s="64"/>
      <c r="I18" s="65"/>
      <c r="J18" s="133">
        <v>2508.0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158.0</v>
      </c>
      <c r="G19" s="64">
        <v>158.0</v>
      </c>
      <c r="H19" s="65"/>
      <c r="I19" s="65"/>
      <c r="J19" s="133">
        <v>2509.0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32171</v>
      </c>
      <c r="D20" s="24"/>
      <c r="E20" s="43">
        <v>11.0</v>
      </c>
      <c r="F20" s="56">
        <v>198.0</v>
      </c>
      <c r="G20" s="64">
        <v>198.0</v>
      </c>
      <c r="H20" s="64"/>
      <c r="I20" s="65"/>
      <c r="J20" s="133">
        <v>2510.0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7423</v>
      </c>
      <c r="D21" s="24"/>
      <c r="E21" s="43">
        <v>12.0</v>
      </c>
      <c r="F21" s="56">
        <v>126.0</v>
      </c>
      <c r="G21" s="64">
        <v>126.0</v>
      </c>
      <c r="H21" s="64"/>
      <c r="I21" s="65"/>
      <c r="J21" s="133">
        <v>2511.0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84971</v>
      </c>
      <c r="D22" s="24"/>
      <c r="E22" s="43">
        <v>13.0</v>
      </c>
      <c r="F22" s="56">
        <v>18.0</v>
      </c>
      <c r="G22" s="64">
        <v>18.0</v>
      </c>
      <c r="H22" s="64"/>
      <c r="I22" s="65"/>
      <c r="J22" s="133">
        <v>2512.0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85231.0</v>
      </c>
      <c r="D23" s="24"/>
      <c r="E23" s="43">
        <v>14.0</v>
      </c>
      <c r="F23" s="56">
        <v>2890.0</v>
      </c>
      <c r="G23" s="65"/>
      <c r="H23" s="65"/>
      <c r="I23" s="64">
        <v>2890.0</v>
      </c>
      <c r="J23" s="133">
        <v>2513.0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-260</v>
      </c>
      <c r="D24" s="24"/>
      <c r="E24" s="43">
        <v>15.0</v>
      </c>
      <c r="F24" s="56">
        <v>41.0</v>
      </c>
      <c r="G24" s="64">
        <v>41.0</v>
      </c>
      <c r="H24" s="65"/>
      <c r="I24" s="65"/>
      <c r="J24" s="133">
        <v>2514.0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40.0</v>
      </c>
      <c r="G25" s="64">
        <v>40.0</v>
      </c>
      <c r="H25" s="65"/>
      <c r="I25" s="65"/>
      <c r="J25" s="133">
        <v>2515.0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20256</v>
      </c>
      <c r="D26" s="24"/>
      <c r="E26" s="43">
        <v>17.0</v>
      </c>
      <c r="F26" s="56">
        <v>62.0</v>
      </c>
      <c r="G26" s="64">
        <v>62.0</v>
      </c>
      <c r="H26" s="65"/>
      <c r="I26" s="65"/>
      <c r="J26" s="133">
        <v>2516.0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66.0</v>
      </c>
      <c r="D27" s="24"/>
      <c r="E27" s="43">
        <v>18.0</v>
      </c>
      <c r="F27" s="56">
        <v>122.0</v>
      </c>
      <c r="G27" s="64">
        <v>122.0</v>
      </c>
      <c r="H27" s="65"/>
      <c r="I27" s="65"/>
      <c r="J27" s="133">
        <v>2517.0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306.9090909</v>
      </c>
      <c r="D28" s="24"/>
      <c r="E28" s="43">
        <v>19.0</v>
      </c>
      <c r="F28" s="56">
        <v>545.0</v>
      </c>
      <c r="G28" s="64"/>
      <c r="H28" s="141">
        <v>545.0</v>
      </c>
      <c r="I28" s="65"/>
      <c r="J28" s="133">
        <v>2518.0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76.0</v>
      </c>
      <c r="G29" s="64" t="s">
        <v>69</v>
      </c>
      <c r="H29" s="141">
        <v>76.0</v>
      </c>
      <c r="I29" s="65"/>
      <c r="J29" s="133">
        <v>2519.0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134.0</v>
      </c>
      <c r="G30" s="93">
        <v>134.0</v>
      </c>
      <c r="H30" s="92"/>
      <c r="I30" s="93"/>
      <c r="J30" s="133">
        <v>2520.0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9633</v>
      </c>
      <c r="D31" s="24"/>
      <c r="E31" s="43">
        <v>22.0</v>
      </c>
      <c r="F31" s="56">
        <v>99.0</v>
      </c>
      <c r="G31" s="93">
        <v>99.0</v>
      </c>
      <c r="H31" s="92"/>
      <c r="I31" s="92"/>
      <c r="J31" s="133">
        <v>2521.0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1140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379.0</v>
      </c>
      <c r="G32" s="93">
        <v>379.0</v>
      </c>
      <c r="H32" s="92"/>
      <c r="I32" s="92"/>
      <c r="J32" s="133">
        <v>2522.0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48.0</v>
      </c>
      <c r="G33" s="93"/>
      <c r="H33" s="137">
        <v>48.0</v>
      </c>
      <c r="I33" s="92"/>
      <c r="J33" s="133">
        <v>2523.0</v>
      </c>
      <c r="K33" s="24"/>
      <c r="L33" s="104">
        <f t="shared" ref="L33:M33" si="2">sum(L10:L32)</f>
        <v>4148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9633.0</v>
      </c>
      <c r="T33" s="101"/>
      <c r="U33" s="55"/>
      <c r="V33" s="24"/>
      <c r="W33" s="104">
        <f t="shared" ref="W33:X33" si="3">sum(W10:W32)</f>
        <v>953</v>
      </c>
      <c r="X33" s="104">
        <f t="shared" si="3"/>
        <v>0</v>
      </c>
      <c r="Y33" s="104">
        <f>W33+X33</f>
        <v>953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760.0</v>
      </c>
      <c r="G34" s="93"/>
      <c r="H34" s="137">
        <v>760.0</v>
      </c>
      <c r="I34" s="92"/>
      <c r="J34" s="133">
        <v>2524.0</v>
      </c>
      <c r="K34" s="24"/>
      <c r="L34" s="106"/>
      <c r="M34" s="106"/>
      <c r="N34" s="106"/>
      <c r="O34" s="106"/>
      <c r="P34" s="85" t="s">
        <v>40</v>
      </c>
      <c r="Q34" s="107"/>
      <c r="R34" s="138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314.0</v>
      </c>
      <c r="G35" s="93" t="s">
        <v>69</v>
      </c>
      <c r="H35" s="137">
        <v>314.0</v>
      </c>
      <c r="I35" s="92"/>
      <c r="J35" s="133">
        <v>2525.0</v>
      </c>
      <c r="K35" s="24"/>
      <c r="L35" s="188">
        <v>399.0</v>
      </c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1683.0</v>
      </c>
      <c r="G36" s="93">
        <v>1683.0</v>
      </c>
      <c r="H36" s="93"/>
      <c r="I36" s="92"/>
      <c r="J36" s="133">
        <v>2526.0</v>
      </c>
      <c r="K36" s="24"/>
      <c r="L36" s="188">
        <v>798.0</v>
      </c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275.0</v>
      </c>
      <c r="G37" s="93">
        <v>275.0</v>
      </c>
      <c r="H37" s="92"/>
      <c r="I37" s="92"/>
      <c r="J37" s="133">
        <v>2527.0</v>
      </c>
      <c r="K37" s="24"/>
      <c r="L37" s="188">
        <v>76.0</v>
      </c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83.0</v>
      </c>
      <c r="G38" s="93">
        <v>83.0</v>
      </c>
      <c r="H38" s="92"/>
      <c r="I38" s="92"/>
      <c r="J38" s="133">
        <v>2528.0</v>
      </c>
      <c r="K38" s="24"/>
      <c r="L38" s="188">
        <v>545.0</v>
      </c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26.0</v>
      </c>
      <c r="G39" s="93">
        <v>26.0</v>
      </c>
      <c r="H39" s="93"/>
      <c r="I39" s="92"/>
      <c r="J39" s="133">
        <v>2529.0</v>
      </c>
      <c r="K39" s="24"/>
      <c r="L39" s="188">
        <v>48.0</v>
      </c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263.0</v>
      </c>
      <c r="G40" s="93">
        <v>263.0</v>
      </c>
      <c r="H40" s="93"/>
      <c r="I40" s="92"/>
      <c r="J40" s="133">
        <v>2530.0</v>
      </c>
      <c r="K40" s="24"/>
      <c r="L40" s="188">
        <v>760.0</v>
      </c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634.0</v>
      </c>
      <c r="G41" s="92"/>
      <c r="H41" s="137">
        <v>634.0</v>
      </c>
      <c r="I41" s="92"/>
      <c r="J41" s="133">
        <v>2531.0</v>
      </c>
      <c r="K41" s="24"/>
      <c r="L41" s="188">
        <v>314.0</v>
      </c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80.0</v>
      </c>
      <c r="G42" s="93">
        <v>80.0</v>
      </c>
      <c r="H42" s="93"/>
      <c r="I42" s="92"/>
      <c r="J42" s="133">
        <v>2532.0</v>
      </c>
      <c r="K42" s="24"/>
      <c r="L42" s="188">
        <v>634.0</v>
      </c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250.0</v>
      </c>
      <c r="G43" s="93">
        <v>250.0</v>
      </c>
      <c r="H43" s="92"/>
      <c r="I43" s="92"/>
      <c r="J43" s="133">
        <v>2533.0</v>
      </c>
      <c r="K43" s="24"/>
      <c r="L43" s="188">
        <v>109.0</v>
      </c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109.0</v>
      </c>
      <c r="G44" s="92"/>
      <c r="H44" s="137">
        <v>109.0</v>
      </c>
      <c r="I44" s="92"/>
      <c r="J44" s="133">
        <v>2534.0</v>
      </c>
      <c r="K44" s="24"/>
      <c r="L44" s="188">
        <v>234.0</v>
      </c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40.0</v>
      </c>
      <c r="G45" s="93">
        <v>40.0</v>
      </c>
      <c r="H45" s="92"/>
      <c r="I45" s="92"/>
      <c r="J45" s="133">
        <v>2535.0</v>
      </c>
      <c r="K45" s="24"/>
      <c r="L45" s="188">
        <v>267.0</v>
      </c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2256.0</v>
      </c>
      <c r="G46" s="93">
        <v>2256.0</v>
      </c>
      <c r="H46" s="92"/>
      <c r="I46" s="92"/>
      <c r="J46" s="133">
        <v>2536.0</v>
      </c>
      <c r="K46" s="24"/>
      <c r="L46" s="188">
        <v>294.0</v>
      </c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40.0</v>
      </c>
      <c r="G47" s="93">
        <v>40.0</v>
      </c>
      <c r="H47" s="93"/>
      <c r="I47" s="92"/>
      <c r="J47" s="133">
        <v>2537.0</v>
      </c>
      <c r="K47" s="24"/>
      <c r="L47" s="188">
        <v>70.0</v>
      </c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27.0</v>
      </c>
      <c r="G48" s="93">
        <v>27.0</v>
      </c>
      <c r="H48" s="92"/>
      <c r="I48" s="92"/>
      <c r="J48" s="133">
        <v>2538.0</v>
      </c>
      <c r="K48" s="24"/>
      <c r="L48" s="188">
        <v>13.0</v>
      </c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108.0</v>
      </c>
      <c r="G49" s="93">
        <v>108.0</v>
      </c>
      <c r="H49" s="92"/>
      <c r="I49" s="92"/>
      <c r="J49" s="133">
        <v>2539.0</v>
      </c>
      <c r="K49" s="24"/>
      <c r="L49" s="188">
        <v>500.0</v>
      </c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149.0</v>
      </c>
      <c r="G50" s="93">
        <v>149.0</v>
      </c>
      <c r="H50" s="93"/>
      <c r="I50" s="92"/>
      <c r="J50" s="133">
        <v>2540.0</v>
      </c>
      <c r="K50" s="24"/>
      <c r="L50" s="188">
        <v>374.0</v>
      </c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190.0</v>
      </c>
      <c r="G51" s="93">
        <v>190.0</v>
      </c>
      <c r="H51" s="92"/>
      <c r="I51" s="92"/>
      <c r="J51" s="133">
        <v>2541.0</v>
      </c>
      <c r="K51" s="24"/>
      <c r="L51" s="188">
        <v>10.0</v>
      </c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234.0</v>
      </c>
      <c r="G52" s="92"/>
      <c r="H52" s="137">
        <v>234.0</v>
      </c>
      <c r="I52" s="92"/>
      <c r="J52" s="133">
        <v>2542.0</v>
      </c>
      <c r="K52" s="24"/>
      <c r="L52" s="188">
        <v>100.0</v>
      </c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924.0</v>
      </c>
      <c r="G53" s="92"/>
      <c r="H53" s="93">
        <v>924.0</v>
      </c>
      <c r="I53" s="92"/>
      <c r="J53" s="133">
        <v>2543.0</v>
      </c>
      <c r="K53" s="24"/>
      <c r="L53" s="188">
        <v>50.0</v>
      </c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30.0</v>
      </c>
      <c r="G54" s="93">
        <v>30.0</v>
      </c>
      <c r="H54" s="92"/>
      <c r="I54" s="92"/>
      <c r="J54" s="133">
        <v>2544.0</v>
      </c>
      <c r="K54" s="24"/>
      <c r="L54" s="189">
        <v>903.83</v>
      </c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387.0</v>
      </c>
      <c r="G55" s="93">
        <v>387.0</v>
      </c>
      <c r="H55" s="92"/>
      <c r="I55" s="92"/>
      <c r="J55" s="133">
        <v>2545.0</v>
      </c>
      <c r="K55" s="24"/>
      <c r="L55" s="188">
        <v>605.0</v>
      </c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400.0</v>
      </c>
      <c r="G56" s="93">
        <v>400.0</v>
      </c>
      <c r="H56" s="92"/>
      <c r="I56" s="92"/>
      <c r="J56" s="133">
        <v>2546.0</v>
      </c>
      <c r="K56" s="24"/>
      <c r="L56" s="188">
        <v>299.0</v>
      </c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164.0</v>
      </c>
      <c r="G57" s="93">
        <v>164.0</v>
      </c>
      <c r="H57" s="92"/>
      <c r="I57" s="92"/>
      <c r="J57" s="133">
        <v>2547.0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267.0</v>
      </c>
      <c r="G58" s="92"/>
      <c r="H58" s="137">
        <v>267.0</v>
      </c>
      <c r="I58" s="92"/>
      <c r="J58" s="133">
        <v>2548.0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73.0</v>
      </c>
      <c r="G59" s="93">
        <v>73.0</v>
      </c>
      <c r="H59" s="92"/>
      <c r="I59" s="92"/>
      <c r="J59" s="133">
        <v>2549.0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294.0</v>
      </c>
      <c r="G60" s="92"/>
      <c r="H60" s="137">
        <v>294.0</v>
      </c>
      <c r="I60" s="92"/>
      <c r="J60" s="133">
        <v>2550.0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258.0</v>
      </c>
      <c r="G61" s="93">
        <v>258.0</v>
      </c>
      <c r="H61" s="92"/>
      <c r="I61" s="92"/>
      <c r="J61" s="133">
        <v>2551.0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70.0</v>
      </c>
      <c r="G62" s="93" t="s">
        <v>69</v>
      </c>
      <c r="H62" s="137">
        <v>70.0</v>
      </c>
      <c r="I62" s="92"/>
      <c r="J62" s="133">
        <v>2552.0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13.0</v>
      </c>
      <c r="G63" s="92"/>
      <c r="H63" s="137">
        <v>13.0</v>
      </c>
      <c r="I63" s="92"/>
      <c r="J63" s="133">
        <v>2553.0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214.0</v>
      </c>
      <c r="G64" s="93">
        <v>214.0</v>
      </c>
      <c r="H64" s="92"/>
      <c r="I64" s="92"/>
      <c r="J64" s="133">
        <v>2554.0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605.0</v>
      </c>
      <c r="G65" s="92"/>
      <c r="H65" s="137">
        <v>605.0</v>
      </c>
      <c r="I65" s="92"/>
      <c r="J65" s="133">
        <v>2555.0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299.0</v>
      </c>
      <c r="G66" s="92"/>
      <c r="H66" s="137">
        <v>299.0</v>
      </c>
      <c r="I66" s="92"/>
      <c r="J66" s="133">
        <v>2556.0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50.0</v>
      </c>
      <c r="G67" s="92"/>
      <c r="H67" s="137">
        <v>50.0</v>
      </c>
      <c r="I67" s="92"/>
      <c r="J67" s="133">
        <v>2557.0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59.0</v>
      </c>
      <c r="G68" s="93">
        <v>59.0</v>
      </c>
      <c r="H68" s="92"/>
      <c r="I68" s="92"/>
      <c r="J68" s="133">
        <v>2558.0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499.0</v>
      </c>
      <c r="G69" s="93" t="s">
        <v>69</v>
      </c>
      <c r="H69" s="137">
        <v>500.0</v>
      </c>
      <c r="I69" s="92"/>
      <c r="J69" s="133">
        <v>2559.0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270.0</v>
      </c>
      <c r="G70" s="93">
        <v>270.0</v>
      </c>
      <c r="H70" s="92"/>
      <c r="I70" s="92"/>
      <c r="J70" s="133">
        <v>2560.0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374.0</v>
      </c>
      <c r="G71" s="92"/>
      <c r="H71" s="137">
        <v>374.0</v>
      </c>
      <c r="I71" s="92"/>
      <c r="J71" s="133">
        <v>2561.0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150.0</v>
      </c>
      <c r="G72" s="93">
        <v>150.0</v>
      </c>
      <c r="H72" s="92"/>
      <c r="I72" s="92"/>
      <c r="J72" s="133">
        <v>2562.0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10.0</v>
      </c>
      <c r="G73" s="92"/>
      <c r="H73" s="137">
        <v>10.0</v>
      </c>
      <c r="I73" s="92"/>
      <c r="J73" s="133">
        <v>2563.0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98.0</v>
      </c>
      <c r="G74" s="93">
        <v>98.0</v>
      </c>
      <c r="H74" s="92"/>
      <c r="I74" s="92"/>
      <c r="J74" s="133">
        <v>2564.0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100.0</v>
      </c>
      <c r="G75" s="92"/>
      <c r="H75" s="137">
        <v>100.0</v>
      </c>
      <c r="I75" s="92"/>
      <c r="J75" s="133">
        <v>2565.0</v>
      </c>
      <c r="K75" s="24"/>
      <c r="L75" s="117" t="s">
        <v>69</v>
      </c>
      <c r="M75" s="117" t="s">
        <v>69</v>
      </c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19.0</v>
      </c>
      <c r="G76" s="93">
        <v>19.0</v>
      </c>
      <c r="H76" s="92"/>
      <c r="I76" s="92"/>
      <c r="J76" s="133">
        <v>2566.0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33">
        <v>2567.0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33">
        <v>2568.0</v>
      </c>
      <c r="K78" s="24"/>
      <c r="L78" s="112"/>
      <c r="M78" s="112"/>
      <c r="N78" s="112"/>
      <c r="O78" s="112"/>
      <c r="P78" s="112"/>
      <c r="Q78" s="113"/>
      <c r="R78" s="119" t="s">
        <v>162</v>
      </c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33">
        <v>2569.0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3">
        <v>2570.0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33">
        <v>2571.0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33">
        <v>2572.0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3">
        <v>2573.0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3">
        <v>2574.0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3">
        <v>2575.0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3">
        <v>2576.0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3">
        <v>2577.0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3">
        <v>2578.0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3">
        <v>2579.0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3">
        <v>2580.0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3">
        <v>2581.0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3">
        <v>2582.0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3">
        <v>2583.0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20256</v>
      </c>
      <c r="G97" s="123">
        <f t="shared" si="4"/>
        <v>9944</v>
      </c>
      <c r="H97" s="123">
        <f t="shared" si="4"/>
        <v>7423</v>
      </c>
      <c r="I97" s="123">
        <f t="shared" si="4"/>
        <v>2890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45983.0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84971.0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7423.0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32171.0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20828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14622</v>
      </c>
      <c r="D10" s="24"/>
      <c r="E10" s="43">
        <v>1.0</v>
      </c>
      <c r="F10" s="44">
        <v>277.0</v>
      </c>
      <c r="G10" s="45">
        <v>277.0</v>
      </c>
      <c r="H10" s="45"/>
      <c r="I10" s="45"/>
      <c r="J10" s="133">
        <v>2567.0</v>
      </c>
      <c r="K10" s="24"/>
      <c r="L10" s="47"/>
      <c r="M10" s="47"/>
      <c r="N10" s="48"/>
      <c r="O10" s="49"/>
      <c r="P10" s="85" t="s">
        <v>163</v>
      </c>
      <c r="Q10" s="51"/>
      <c r="R10" s="52">
        <v>1000.0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7946</v>
      </c>
      <c r="D11" s="24"/>
      <c r="E11" s="43">
        <v>2.0</v>
      </c>
      <c r="F11" s="56">
        <v>643.0</v>
      </c>
      <c r="G11" s="57">
        <v>643.0</v>
      </c>
      <c r="H11" s="58"/>
      <c r="I11" s="59"/>
      <c r="J11" s="133">
        <v>2568.0</v>
      </c>
      <c r="K11" s="24"/>
      <c r="L11" s="48"/>
      <c r="M11" s="48"/>
      <c r="N11" s="48"/>
      <c r="O11" s="49"/>
      <c r="P11" s="72" t="s">
        <v>164</v>
      </c>
      <c r="Q11" s="51"/>
      <c r="R11" s="52">
        <v>100.0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>
        <v>488.0</v>
      </c>
      <c r="G12" s="64"/>
      <c r="H12" s="141">
        <v>488.0</v>
      </c>
      <c r="I12" s="65"/>
      <c r="J12" s="133" t="s">
        <v>165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40.0</v>
      </c>
      <c r="G13" s="64">
        <v>40.0</v>
      </c>
      <c r="H13" s="65"/>
      <c r="I13" s="65"/>
      <c r="J13" s="133">
        <v>2570.0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93.0</v>
      </c>
      <c r="G14" s="64">
        <v>93.0</v>
      </c>
      <c r="H14" s="65"/>
      <c r="I14" s="65"/>
      <c r="J14" s="133">
        <v>2571.0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346.0</v>
      </c>
      <c r="G15" s="64">
        <v>346.0</v>
      </c>
      <c r="H15" s="64"/>
      <c r="I15" s="65"/>
      <c r="J15" s="133">
        <v>2572.0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1100</v>
      </c>
      <c r="D16" s="24"/>
      <c r="E16" s="43">
        <v>7.0</v>
      </c>
      <c r="F16" s="56">
        <v>521.0</v>
      </c>
      <c r="G16" s="64">
        <v>521.0</v>
      </c>
      <c r="H16" s="64"/>
      <c r="I16" s="65"/>
      <c r="J16" s="133">
        <v>2573.0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1100</v>
      </c>
      <c r="D17" s="24"/>
      <c r="E17" s="43">
        <v>8.0</v>
      </c>
      <c r="F17" s="56">
        <v>112.0</v>
      </c>
      <c r="G17" s="64">
        <v>112.0</v>
      </c>
      <c r="H17" s="64"/>
      <c r="I17" s="65"/>
      <c r="J17" s="133">
        <v>2574.0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1093.0</v>
      </c>
      <c r="G18" s="64">
        <v>1093.0</v>
      </c>
      <c r="H18" s="64"/>
      <c r="I18" s="65"/>
      <c r="J18" s="133">
        <v>2575.0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679.0</v>
      </c>
      <c r="G19" s="64">
        <v>679.0</v>
      </c>
      <c r="H19" s="65"/>
      <c r="I19" s="65"/>
      <c r="J19" s="133">
        <v>2576.0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32171</v>
      </c>
      <c r="D20" s="24"/>
      <c r="E20" s="43">
        <v>11.0</v>
      </c>
      <c r="F20" s="56">
        <v>269.0</v>
      </c>
      <c r="G20" s="64">
        <v>269.0</v>
      </c>
      <c r="H20" s="64"/>
      <c r="I20" s="65"/>
      <c r="J20" s="133">
        <v>2577.0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7946</v>
      </c>
      <c r="D21" s="24"/>
      <c r="E21" s="43">
        <v>12.0</v>
      </c>
      <c r="F21" s="56">
        <v>269.0</v>
      </c>
      <c r="G21" s="64">
        <v>269.0</v>
      </c>
      <c r="H21" s="64"/>
      <c r="I21" s="65"/>
      <c r="J21" s="133">
        <v>2578.0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94993</v>
      </c>
      <c r="D22" s="24"/>
      <c r="E22" s="43">
        <v>13.0</v>
      </c>
      <c r="F22" s="56">
        <v>248.0</v>
      </c>
      <c r="G22" s="64">
        <v>248.0</v>
      </c>
      <c r="H22" s="64"/>
      <c r="I22" s="65"/>
      <c r="J22" s="133">
        <v>2579.0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95253.0</v>
      </c>
      <c r="D23" s="24"/>
      <c r="E23" s="43">
        <v>14.0</v>
      </c>
      <c r="F23" s="56">
        <v>448.0</v>
      </c>
      <c r="G23" s="65"/>
      <c r="H23" s="64">
        <v>448.0</v>
      </c>
      <c r="I23" s="65"/>
      <c r="J23" s="133" t="s">
        <v>166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-260</v>
      </c>
      <c r="D24" s="24"/>
      <c r="E24" s="43">
        <v>15.0</v>
      </c>
      <c r="F24" s="56">
        <v>724.0</v>
      </c>
      <c r="G24" s="64"/>
      <c r="H24" s="141">
        <v>724.0</v>
      </c>
      <c r="I24" s="65"/>
      <c r="J24" s="133">
        <v>2581.0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486.0</v>
      </c>
      <c r="G25" s="64"/>
      <c r="H25" s="141">
        <v>486.0</v>
      </c>
      <c r="I25" s="65"/>
      <c r="J25" s="133">
        <v>2582.0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20828</v>
      </c>
      <c r="D26" s="24"/>
      <c r="E26" s="43">
        <v>17.0</v>
      </c>
      <c r="F26" s="56">
        <v>145.0</v>
      </c>
      <c r="G26" s="64">
        <v>145.0</v>
      </c>
      <c r="H26" s="65"/>
      <c r="I26" s="65"/>
      <c r="J26" s="133">
        <v>2583.0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46.0</v>
      </c>
      <c r="D27" s="24"/>
      <c r="E27" s="43">
        <v>18.0</v>
      </c>
      <c r="F27" s="56">
        <v>173.0</v>
      </c>
      <c r="G27" s="64">
        <v>173.0</v>
      </c>
      <c r="H27" s="65"/>
      <c r="I27" s="65"/>
      <c r="J27" s="133">
        <v>2584.0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452.7826087</v>
      </c>
      <c r="D28" s="24"/>
      <c r="E28" s="43">
        <v>19.0</v>
      </c>
      <c r="F28" s="56">
        <v>643.0</v>
      </c>
      <c r="G28" s="64">
        <v>643.0</v>
      </c>
      <c r="H28" s="65"/>
      <c r="I28" s="65"/>
      <c r="J28" s="133">
        <v>2585.0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433.0</v>
      </c>
      <c r="G29" s="64">
        <v>433.0</v>
      </c>
      <c r="H29" s="65"/>
      <c r="I29" s="65"/>
      <c r="J29" s="133">
        <v>2586.0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216.0</v>
      </c>
      <c r="G30" s="93">
        <v>216.0</v>
      </c>
      <c r="H30" s="92"/>
      <c r="I30" s="93"/>
      <c r="J30" s="133">
        <v>2587.0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7423</v>
      </c>
      <c r="D31" s="24"/>
      <c r="E31" s="43">
        <v>22.0</v>
      </c>
      <c r="F31" s="56">
        <v>163.0</v>
      </c>
      <c r="G31" s="93">
        <v>163.0</v>
      </c>
      <c r="H31" s="92"/>
      <c r="I31" s="92"/>
      <c r="J31" s="133">
        <v>2588.0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1100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525.0</v>
      </c>
      <c r="G32" s="93">
        <v>525.0</v>
      </c>
      <c r="H32" s="92"/>
      <c r="I32" s="92"/>
      <c r="J32" s="133">
        <v>2589.0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315.0</v>
      </c>
      <c r="G33" s="93">
        <v>315.0</v>
      </c>
      <c r="H33" s="92"/>
      <c r="I33" s="92"/>
      <c r="J33" s="133">
        <v>2590.0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7423.0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37.0</v>
      </c>
      <c r="G34" s="93">
        <v>37.0</v>
      </c>
      <c r="H34" s="92"/>
      <c r="I34" s="92"/>
      <c r="J34" s="133">
        <v>2591.0</v>
      </c>
      <c r="K34" s="24"/>
      <c r="L34" s="106"/>
      <c r="M34" s="106"/>
      <c r="N34" s="106"/>
      <c r="O34" s="106"/>
      <c r="P34" s="85" t="s">
        <v>40</v>
      </c>
      <c r="Q34" s="107"/>
      <c r="R34" s="138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18"/>
      <c r="C35" s="1"/>
      <c r="D35" s="24"/>
      <c r="E35" s="43">
        <v>26.0</v>
      </c>
      <c r="F35" s="56">
        <v>2155.0</v>
      </c>
      <c r="G35" s="93">
        <v>2155.0</v>
      </c>
      <c r="H35" s="93"/>
      <c r="I35" s="92"/>
      <c r="J35" s="133">
        <v>2592.0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80.0</v>
      </c>
      <c r="G36" s="93">
        <v>80.0</v>
      </c>
      <c r="H36" s="93"/>
      <c r="I36" s="92"/>
      <c r="J36" s="133">
        <v>2593.0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1339.0</v>
      </c>
      <c r="G37" s="93">
        <v>1339.0</v>
      </c>
      <c r="H37" s="92"/>
      <c r="I37" s="92"/>
      <c r="J37" s="133">
        <v>2594.0</v>
      </c>
      <c r="K37" s="190"/>
      <c r="L37" s="191" t="s">
        <v>167</v>
      </c>
      <c r="M37" s="191"/>
      <c r="N37" s="19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266.0</v>
      </c>
      <c r="G38" s="93">
        <v>266.0</v>
      </c>
      <c r="H38" s="92"/>
      <c r="I38" s="92"/>
      <c r="J38" s="133">
        <v>2595.0</v>
      </c>
      <c r="K38" s="190"/>
      <c r="L38" s="191">
        <v>100.0</v>
      </c>
      <c r="M38" s="191" t="s">
        <v>168</v>
      </c>
      <c r="N38" s="19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489.0</v>
      </c>
      <c r="G39" s="93">
        <v>489.0</v>
      </c>
      <c r="H39" s="93"/>
      <c r="I39" s="92"/>
      <c r="J39" s="133">
        <v>2596.0</v>
      </c>
      <c r="K39" s="190"/>
      <c r="L39" s="192"/>
      <c r="M39" s="191"/>
      <c r="N39" s="19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153.0</v>
      </c>
      <c r="G40" s="93">
        <v>153.0</v>
      </c>
      <c r="H40" s="93"/>
      <c r="I40" s="92"/>
      <c r="J40" s="133">
        <v>2597.0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644.0</v>
      </c>
      <c r="G41" s="92"/>
      <c r="H41" s="137">
        <v>644.0</v>
      </c>
      <c r="I41" s="92"/>
      <c r="J41" s="133">
        <v>2598.0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145.0</v>
      </c>
      <c r="G42" s="93">
        <v>145.0</v>
      </c>
      <c r="H42" s="93"/>
      <c r="I42" s="92"/>
      <c r="J42" s="133">
        <v>2599.0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129.0</v>
      </c>
      <c r="G43" s="93">
        <v>129.0</v>
      </c>
      <c r="H43" s="92"/>
      <c r="I43" s="92"/>
      <c r="J43" s="133">
        <v>2600.0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501.0</v>
      </c>
      <c r="G44" s="92"/>
      <c r="H44" s="93">
        <v>501.0</v>
      </c>
      <c r="I44" s="92"/>
      <c r="J44" s="133" t="s">
        <v>169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266.0</v>
      </c>
      <c r="G45" s="93"/>
      <c r="H45" s="137">
        <v>266.0</v>
      </c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564.0</v>
      </c>
      <c r="G46" s="93">
        <v>564.0</v>
      </c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230.0</v>
      </c>
      <c r="G47" s="93">
        <v>230.0</v>
      </c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217.0</v>
      </c>
      <c r="G48" s="93">
        <v>217.0</v>
      </c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92.0</v>
      </c>
      <c r="G49" s="92"/>
      <c r="H49" s="137">
        <v>92.0</v>
      </c>
      <c r="I49" s="92"/>
      <c r="J49" s="46"/>
      <c r="K49" s="24"/>
      <c r="L49" s="117">
        <v>100.0</v>
      </c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477.0</v>
      </c>
      <c r="G50" s="93" t="s">
        <v>69</v>
      </c>
      <c r="H50" s="137">
        <v>477.0</v>
      </c>
      <c r="I50" s="92"/>
      <c r="J50" s="46"/>
      <c r="K50" s="24"/>
      <c r="L50" s="117">
        <v>166.0</v>
      </c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1485.0</v>
      </c>
      <c r="G51" s="92"/>
      <c r="H51" s="137">
        <v>1485.0</v>
      </c>
      <c r="I51" s="92"/>
      <c r="J51" s="46"/>
      <c r="K51" s="24"/>
      <c r="L51" s="117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224.0</v>
      </c>
      <c r="G52" s="93">
        <v>94.0</v>
      </c>
      <c r="H52" s="137">
        <v>130.0</v>
      </c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1113.0</v>
      </c>
      <c r="G53" s="93">
        <v>1113.0</v>
      </c>
      <c r="H53" s="177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408.0</v>
      </c>
      <c r="G54" s="93">
        <v>408.0</v>
      </c>
      <c r="H54" s="177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465.0</v>
      </c>
      <c r="G55" s="92"/>
      <c r="H55" s="137">
        <v>465.0</v>
      </c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54" t="s">
        <v>69</v>
      </c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54">
        <v>1640.0</v>
      </c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54">
        <v>100.0</v>
      </c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20828</v>
      </c>
      <c r="G97" s="123">
        <f t="shared" si="4"/>
        <v>14622</v>
      </c>
      <c r="H97" s="123">
        <f t="shared" si="4"/>
        <v>7946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45984.0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94993.0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7946.0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32171.0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11480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5549</v>
      </c>
      <c r="D10" s="24"/>
      <c r="E10" s="43">
        <v>1.0</v>
      </c>
      <c r="F10" s="44">
        <v>59.0</v>
      </c>
      <c r="G10" s="45"/>
      <c r="H10" s="45">
        <v>59.0</v>
      </c>
      <c r="I10" s="45"/>
      <c r="J10" s="133">
        <v>2613.0</v>
      </c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5657</v>
      </c>
      <c r="D11" s="24"/>
      <c r="E11" s="43">
        <v>2.0</v>
      </c>
      <c r="F11" s="56">
        <v>20.0</v>
      </c>
      <c r="G11" s="57"/>
      <c r="H11" s="58">
        <v>20.0</v>
      </c>
      <c r="I11" s="59"/>
      <c r="J11" s="133">
        <v>2614.0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275</v>
      </c>
      <c r="D12" s="24"/>
      <c r="E12" s="43">
        <v>3.0</v>
      </c>
      <c r="F12" s="63">
        <v>874.0</v>
      </c>
      <c r="G12" s="64">
        <v>874.0</v>
      </c>
      <c r="H12" s="64"/>
      <c r="I12" s="65"/>
      <c r="J12" s="133">
        <v>2615.0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417.0</v>
      </c>
      <c r="G13" s="64"/>
      <c r="H13" s="64">
        <v>417.0</v>
      </c>
      <c r="I13" s="65"/>
      <c r="J13" s="133">
        <v>2616.0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119.0</v>
      </c>
      <c r="G14" s="64">
        <v>119.0</v>
      </c>
      <c r="H14" s="65"/>
      <c r="I14" s="65"/>
      <c r="J14" s="133">
        <v>2617.0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21.0</v>
      </c>
      <c r="G15" s="64">
        <v>21.0</v>
      </c>
      <c r="H15" s="64"/>
      <c r="I15" s="65"/>
      <c r="J15" s="133">
        <v>2618.0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>
        <v>198.0</v>
      </c>
      <c r="G16" s="64"/>
      <c r="H16" s="64">
        <v>198.0</v>
      </c>
      <c r="I16" s="65"/>
      <c r="J16" s="133">
        <v>2619.0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>
        <v>155.0</v>
      </c>
      <c r="G17" s="64">
        <v>155.0</v>
      </c>
      <c r="H17" s="64"/>
      <c r="I17" s="65"/>
      <c r="J17" s="133">
        <v>2620.0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46.0</v>
      </c>
      <c r="G18" s="64">
        <v>46.0</v>
      </c>
      <c r="H18" s="64"/>
      <c r="I18" s="65"/>
      <c r="J18" s="133">
        <v>2621.0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45.0</v>
      </c>
      <c r="G19" s="64">
        <v>45.0</v>
      </c>
      <c r="H19" s="65"/>
      <c r="I19" s="65"/>
      <c r="J19" s="133">
        <v>2622.0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32446</v>
      </c>
      <c r="D20" s="24"/>
      <c r="E20" s="43">
        <v>11.0</v>
      </c>
      <c r="F20" s="56">
        <v>733.0</v>
      </c>
      <c r="G20" s="65"/>
      <c r="H20" s="64">
        <v>733.0</v>
      </c>
      <c r="I20" s="65"/>
      <c r="J20" s="133">
        <v>2623.0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5657</v>
      </c>
      <c r="D21" s="24"/>
      <c r="E21" s="43">
        <v>12.0</v>
      </c>
      <c r="F21" s="56">
        <v>81.0</v>
      </c>
      <c r="G21" s="65"/>
      <c r="H21" s="64">
        <v>81.0</v>
      </c>
      <c r="I21" s="65"/>
      <c r="J21" s="133">
        <v>2624.0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100542</v>
      </c>
      <c r="D22" s="24"/>
      <c r="E22" s="43">
        <v>13.0</v>
      </c>
      <c r="F22" s="56">
        <v>60.0</v>
      </c>
      <c r="G22" s="64"/>
      <c r="H22" s="64">
        <v>60.0</v>
      </c>
      <c r="I22" s="65"/>
      <c r="J22" s="133">
        <v>2625.0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100802.0</v>
      </c>
      <c r="D23" s="24"/>
      <c r="E23" s="43">
        <v>14.0</v>
      </c>
      <c r="F23" s="56">
        <v>220.0</v>
      </c>
      <c r="G23" s="64">
        <v>220.0</v>
      </c>
      <c r="H23" s="65"/>
      <c r="I23" s="65"/>
      <c r="J23" s="133">
        <v>2626.0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-260</v>
      </c>
      <c r="D24" s="24"/>
      <c r="E24" s="43">
        <v>15.0</v>
      </c>
      <c r="F24" s="56">
        <v>1193.0</v>
      </c>
      <c r="G24" s="64"/>
      <c r="H24" s="64">
        <v>1193.0</v>
      </c>
      <c r="I24" s="65"/>
      <c r="J24" s="133">
        <v>2627.0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107.0</v>
      </c>
      <c r="G25" s="64"/>
      <c r="H25" s="64">
        <v>107.0</v>
      </c>
      <c r="I25" s="65"/>
      <c r="J25" s="133">
        <v>2628.0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11480</v>
      </c>
      <c r="D26" s="24"/>
      <c r="E26" s="43">
        <v>17.0</v>
      </c>
      <c r="F26" s="56">
        <v>275.0</v>
      </c>
      <c r="G26" s="64"/>
      <c r="H26" s="65"/>
      <c r="I26" s="64">
        <v>275.0</v>
      </c>
      <c r="J26" s="133" t="s">
        <v>170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55.0</v>
      </c>
      <c r="D27" s="24"/>
      <c r="E27" s="43">
        <v>18.0</v>
      </c>
      <c r="F27" s="56">
        <v>511.0</v>
      </c>
      <c r="G27" s="64">
        <v>511.0</v>
      </c>
      <c r="H27" s="65"/>
      <c r="I27" s="65"/>
      <c r="J27" s="133">
        <v>2630.0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208.7272727</v>
      </c>
      <c r="D28" s="24"/>
      <c r="E28" s="43">
        <v>19.0</v>
      </c>
      <c r="F28" s="56">
        <v>386.0</v>
      </c>
      <c r="G28" s="64">
        <v>386.0</v>
      </c>
      <c r="H28" s="65"/>
      <c r="I28" s="65"/>
      <c r="J28" s="133">
        <v>2631.0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40.0</v>
      </c>
      <c r="G29" s="64">
        <v>40.0</v>
      </c>
      <c r="H29" s="65"/>
      <c r="I29" s="65"/>
      <c r="J29" s="133">
        <v>2632.0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94.0</v>
      </c>
      <c r="G30" s="93">
        <v>94.0</v>
      </c>
      <c r="H30" s="92"/>
      <c r="I30" s="93"/>
      <c r="J30" s="133">
        <v>2633.0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7946</v>
      </c>
      <c r="D31" s="24"/>
      <c r="E31" s="43">
        <v>22.0</v>
      </c>
      <c r="F31" s="56">
        <v>199.0</v>
      </c>
      <c r="G31" s="93">
        <v>199.0</v>
      </c>
      <c r="H31" s="92"/>
      <c r="I31" s="92"/>
      <c r="J31" s="133">
        <v>2634.0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115.0</v>
      </c>
      <c r="G32" s="93"/>
      <c r="H32" s="93">
        <v>115.0</v>
      </c>
      <c r="I32" s="92"/>
      <c r="J32" s="133">
        <v>2635.0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295.0</v>
      </c>
      <c r="G33" s="93"/>
      <c r="H33" s="93">
        <v>295.0</v>
      </c>
      <c r="I33" s="92"/>
      <c r="J33" s="133">
        <v>2636.0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7946.0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479.0</v>
      </c>
      <c r="G34" s="93">
        <v>479.0</v>
      </c>
      <c r="H34" s="92"/>
      <c r="I34" s="92"/>
      <c r="J34" s="133">
        <v>2637.0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79.0</v>
      </c>
      <c r="G35" s="93">
        <v>79.0</v>
      </c>
      <c r="H35" s="93"/>
      <c r="I35" s="92"/>
      <c r="J35" s="133">
        <v>2638.0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225.0</v>
      </c>
      <c r="G36" s="93">
        <v>225.0</v>
      </c>
      <c r="H36" s="93"/>
      <c r="I36" s="92"/>
      <c r="J36" s="133">
        <v>2639.0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36.0</v>
      </c>
      <c r="G37" s="93">
        <v>36.0</v>
      </c>
      <c r="H37" s="92"/>
      <c r="I37" s="92"/>
      <c r="J37" s="133">
        <v>2640.0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83.0</v>
      </c>
      <c r="G38" s="93">
        <v>83.0</v>
      </c>
      <c r="H38" s="92"/>
      <c r="I38" s="92"/>
      <c r="J38" s="133">
        <v>2641.0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29.0</v>
      </c>
      <c r="G39" s="93"/>
      <c r="H39" s="93">
        <v>29.0</v>
      </c>
      <c r="I39" s="92"/>
      <c r="J39" s="133">
        <v>2642.0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10.0</v>
      </c>
      <c r="G40" s="92"/>
      <c r="H40" s="93">
        <v>10.0</v>
      </c>
      <c r="I40" s="92"/>
      <c r="J40" s="133">
        <v>2643.0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493.0</v>
      </c>
      <c r="G41" s="93">
        <v>493.0</v>
      </c>
      <c r="H41" s="93"/>
      <c r="I41" s="92"/>
      <c r="J41" s="133">
        <v>2644.0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123.0</v>
      </c>
      <c r="G42" s="93">
        <v>123.0</v>
      </c>
      <c r="H42" s="93"/>
      <c r="I42" s="92"/>
      <c r="J42" s="133">
        <v>2645.0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91.0</v>
      </c>
      <c r="G43" s="93">
        <v>91.0</v>
      </c>
      <c r="H43" s="92"/>
      <c r="I43" s="92"/>
      <c r="J43" s="133">
        <v>2646.0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70.0</v>
      </c>
      <c r="G44" s="92"/>
      <c r="H44" s="93">
        <v>70.0</v>
      </c>
      <c r="I44" s="92"/>
      <c r="J44" s="133">
        <v>2647.0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101.0</v>
      </c>
      <c r="G45" s="93">
        <v>101.0</v>
      </c>
      <c r="H45" s="92"/>
      <c r="I45" s="92"/>
      <c r="J45" s="133">
        <v>2648.0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207.0</v>
      </c>
      <c r="G46" s="93">
        <v>207.0</v>
      </c>
      <c r="H46" s="92"/>
      <c r="I46" s="92"/>
      <c r="J46" s="133">
        <v>2649.0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58.0</v>
      </c>
      <c r="G47" s="93">
        <v>58.0</v>
      </c>
      <c r="H47" s="93"/>
      <c r="I47" s="92"/>
      <c r="J47" s="133">
        <v>2650.0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139.0</v>
      </c>
      <c r="G48" s="93">
        <v>139.0</v>
      </c>
      <c r="H48" s="92"/>
      <c r="I48" s="92"/>
      <c r="J48" s="133">
        <v>2651.0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80.0</v>
      </c>
      <c r="G49" s="93">
        <v>80.0</v>
      </c>
      <c r="H49" s="92"/>
      <c r="I49" s="92"/>
      <c r="J49" s="133">
        <v>2652.0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70.0</v>
      </c>
      <c r="G50" s="93">
        <v>70.0</v>
      </c>
      <c r="H50" s="93"/>
      <c r="I50" s="92"/>
      <c r="J50" s="133">
        <v>2653.0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178.0</v>
      </c>
      <c r="G51" s="92"/>
      <c r="H51" s="93">
        <v>178.0</v>
      </c>
      <c r="I51" s="92"/>
      <c r="J51" s="133">
        <v>2654.0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79.0</v>
      </c>
      <c r="G52" s="93">
        <v>79.0</v>
      </c>
      <c r="H52" s="92"/>
      <c r="I52" s="92"/>
      <c r="J52" s="133">
        <v>2655.0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10.0</v>
      </c>
      <c r="G53" s="93">
        <v>10.0</v>
      </c>
      <c r="H53" s="92"/>
      <c r="I53" s="92"/>
      <c r="J53" s="133">
        <v>2656.0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99.0</v>
      </c>
      <c r="G54" s="93" t="s">
        <v>69</v>
      </c>
      <c r="H54" s="140">
        <v>100.0</v>
      </c>
      <c r="I54" s="92"/>
      <c r="J54" s="133">
        <v>2657.0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248.0</v>
      </c>
      <c r="G55" s="92"/>
      <c r="H55" s="93">
        <v>248.0</v>
      </c>
      <c r="I55" s="92"/>
      <c r="J55" s="133">
        <v>2658.0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299.0</v>
      </c>
      <c r="G56" s="93">
        <v>299.0</v>
      </c>
      <c r="H56" s="92"/>
      <c r="I56" s="92"/>
      <c r="J56" s="133">
        <v>2659.0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1074.0</v>
      </c>
      <c r="G57" s="92"/>
      <c r="H57" s="93">
        <v>1074.0</v>
      </c>
      <c r="I57" s="92"/>
      <c r="J57" s="133">
        <v>2660.0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280.0</v>
      </c>
      <c r="G58" s="92"/>
      <c r="H58" s="93">
        <v>280.0</v>
      </c>
      <c r="I58" s="92"/>
      <c r="J58" s="133">
        <v>2661.0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20.0</v>
      </c>
      <c r="G59" s="92"/>
      <c r="H59" s="93">
        <v>20.0</v>
      </c>
      <c r="I59" s="92"/>
      <c r="J59" s="133">
        <v>2662.0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265.0</v>
      </c>
      <c r="G60" s="92"/>
      <c r="H60" s="93">
        <v>265.0</v>
      </c>
      <c r="I60" s="92"/>
      <c r="J60" s="133">
        <v>2663.0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118.0</v>
      </c>
      <c r="G61" s="93">
        <v>118.0</v>
      </c>
      <c r="H61" s="92"/>
      <c r="I61" s="92"/>
      <c r="J61" s="133">
        <v>2664.0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105.0</v>
      </c>
      <c r="G62" s="92"/>
      <c r="H62" s="93">
        <v>105.0</v>
      </c>
      <c r="I62" s="92"/>
      <c r="J62" s="133">
        <v>2665.0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39.0</v>
      </c>
      <c r="G63" s="93">
        <v>39.0</v>
      </c>
      <c r="H63" s="92"/>
      <c r="I63" s="92"/>
      <c r="J63" s="133">
        <v>2666.0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30.0</v>
      </c>
      <c r="G64" s="93">
        <v>30.0</v>
      </c>
      <c r="H64" s="92"/>
      <c r="I64" s="92"/>
      <c r="J64" s="133">
        <v>2667.0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133">
        <v>2668.0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133">
        <v>2669.0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133">
        <v>2670.0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133">
        <v>2671.0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133">
        <v>2672.0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133">
        <v>2673.0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133">
        <v>2674.0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133">
        <v>2675.0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133">
        <v>2676.0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133">
        <v>2677.0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133">
        <v>2678.0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133">
        <v>2679.0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33">
        <v>2680.0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33">
        <v>2681.0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33">
        <v>2682.0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3">
        <v>2683.0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33">
        <v>2684.0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33">
        <v>2685.0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3">
        <v>2686.0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3">
        <v>2687.0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3">
        <v>2688.0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3">
        <v>2689.0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3">
        <v>2690.0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3">
        <v>2691.0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3">
        <v>2692.0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3">
        <v>2693.0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3">
        <v>2694.0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3">
        <v>2695.0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3">
        <v>2696.0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11480</v>
      </c>
      <c r="G97" s="123">
        <f t="shared" si="4"/>
        <v>5549</v>
      </c>
      <c r="H97" s="123">
        <f t="shared" si="4"/>
        <v>5657</v>
      </c>
      <c r="I97" s="123">
        <f t="shared" si="4"/>
        <v>275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45985.0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100542.0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5657.0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32446.0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20522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10908</v>
      </c>
      <c r="D10" s="24"/>
      <c r="E10" s="43">
        <v>1.0</v>
      </c>
      <c r="F10" s="44">
        <v>290.0</v>
      </c>
      <c r="G10" s="45">
        <v>290.0</v>
      </c>
      <c r="H10" s="45"/>
      <c r="I10" s="45"/>
      <c r="J10" s="133">
        <v>2668.0</v>
      </c>
      <c r="K10" s="24"/>
      <c r="L10" s="47">
        <v>2890.0</v>
      </c>
      <c r="M10" s="47"/>
      <c r="N10" s="47">
        <v>2513.0</v>
      </c>
      <c r="O10" s="49"/>
      <c r="P10" s="85" t="s">
        <v>171</v>
      </c>
      <c r="Q10" s="51"/>
      <c r="R10" s="52">
        <v>2000.0</v>
      </c>
      <c r="S10" s="53"/>
      <c r="T10" s="54"/>
      <c r="U10" s="55"/>
      <c r="V10" s="24"/>
      <c r="W10" s="47">
        <v>40.0</v>
      </c>
      <c r="X10" s="47"/>
      <c r="Y10" s="47" t="s">
        <v>172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9614</v>
      </c>
      <c r="D11" s="24"/>
      <c r="E11" s="43">
        <v>2.0</v>
      </c>
      <c r="F11" s="56">
        <v>67.0</v>
      </c>
      <c r="G11" s="57">
        <v>67.0</v>
      </c>
      <c r="H11" s="58"/>
      <c r="I11" s="59"/>
      <c r="J11" s="133">
        <v>2669.0</v>
      </c>
      <c r="K11" s="24"/>
      <c r="L11" s="48"/>
      <c r="M11" s="47">
        <v>288.0</v>
      </c>
      <c r="N11" s="47">
        <v>1886.0</v>
      </c>
      <c r="O11" s="49"/>
      <c r="P11" s="72" t="s">
        <v>67</v>
      </c>
      <c r="Q11" s="51"/>
      <c r="R11" s="52">
        <v>200.0</v>
      </c>
      <c r="S11" s="53"/>
      <c r="T11" s="61"/>
      <c r="U11" s="62"/>
      <c r="V11" s="24"/>
      <c r="W11" s="47">
        <v>525.0</v>
      </c>
      <c r="X11" s="47"/>
      <c r="Y11" s="47">
        <v>2589.0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>
        <v>1282.0</v>
      </c>
      <c r="G12" s="64">
        <v>1282.0</v>
      </c>
      <c r="H12" s="64"/>
      <c r="I12" s="65"/>
      <c r="J12" s="133">
        <v>2670.0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7">
        <v>275.0</v>
      </c>
      <c r="X12" s="48"/>
      <c r="Y12" s="47">
        <v>2629.0</v>
      </c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2890</v>
      </c>
      <c r="D13" s="24"/>
      <c r="E13" s="43">
        <v>4.0</v>
      </c>
      <c r="F13" s="56">
        <v>427.0</v>
      </c>
      <c r="G13" s="64">
        <v>427.0</v>
      </c>
      <c r="H13" s="65"/>
      <c r="I13" s="65"/>
      <c r="J13" s="133">
        <v>2671.0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288</v>
      </c>
      <c r="D14" s="24"/>
      <c r="E14" s="43">
        <v>5.0</v>
      </c>
      <c r="F14" s="56">
        <v>360.0</v>
      </c>
      <c r="G14" s="64">
        <v>360.0</v>
      </c>
      <c r="H14" s="65"/>
      <c r="I14" s="65"/>
      <c r="J14" s="133">
        <v>2672.0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840</v>
      </c>
      <c r="D15" s="24"/>
      <c r="E15" s="43">
        <v>6.0</v>
      </c>
      <c r="F15" s="56">
        <v>606.0</v>
      </c>
      <c r="G15" s="64">
        <v>606.0</v>
      </c>
      <c r="H15" s="64"/>
      <c r="I15" s="65"/>
      <c r="J15" s="133">
        <v>2673.0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2200</v>
      </c>
      <c r="D16" s="24"/>
      <c r="E16" s="43">
        <v>7.0</v>
      </c>
      <c r="F16" s="56">
        <v>160.0</v>
      </c>
      <c r="G16" s="64">
        <v>160.0</v>
      </c>
      <c r="H16" s="64"/>
      <c r="I16" s="65"/>
      <c r="J16" s="133">
        <v>2674.0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2200</v>
      </c>
      <c r="D17" s="24"/>
      <c r="E17" s="43">
        <v>8.0</v>
      </c>
      <c r="F17" s="56">
        <v>64.0</v>
      </c>
      <c r="G17" s="64">
        <v>64.0</v>
      </c>
      <c r="H17" s="64"/>
      <c r="I17" s="65"/>
      <c r="J17" s="133">
        <v>2675.0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370.0</v>
      </c>
      <c r="G18" s="64">
        <v>370.0</v>
      </c>
      <c r="H18" s="64"/>
      <c r="I18" s="65"/>
      <c r="J18" s="133">
        <v>2676.0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220.0</v>
      </c>
      <c r="G19" s="64" t="s">
        <v>69</v>
      </c>
      <c r="H19" s="64">
        <v>220.0</v>
      </c>
      <c r="I19" s="65"/>
      <c r="J19" s="133">
        <v>2677.0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29268</v>
      </c>
      <c r="D20" s="24"/>
      <c r="E20" s="43">
        <v>11.0</v>
      </c>
      <c r="F20" s="56">
        <v>60.0</v>
      </c>
      <c r="G20" s="65"/>
      <c r="H20" s="64">
        <v>60.0</v>
      </c>
      <c r="I20" s="65"/>
      <c r="J20" s="133">
        <v>2678.0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9902</v>
      </c>
      <c r="D21" s="24"/>
      <c r="E21" s="43">
        <v>12.0</v>
      </c>
      <c r="F21" s="56">
        <v>629.0</v>
      </c>
      <c r="G21" s="65"/>
      <c r="H21" s="64">
        <v>629.0</v>
      </c>
      <c r="I21" s="65"/>
      <c r="J21" s="133">
        <v>2679.0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108640</v>
      </c>
      <c r="D22" s="24"/>
      <c r="E22" s="43">
        <v>13.0</v>
      </c>
      <c r="F22" s="56">
        <v>250.0</v>
      </c>
      <c r="G22" s="64">
        <v>250.0</v>
      </c>
      <c r="H22" s="64"/>
      <c r="I22" s="65"/>
      <c r="J22" s="133">
        <v>2680.0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108900.0</v>
      </c>
      <c r="D23" s="24"/>
      <c r="E23" s="43">
        <v>14.0</v>
      </c>
      <c r="F23" s="56">
        <v>30.0</v>
      </c>
      <c r="G23" s="64">
        <v>30.0</v>
      </c>
      <c r="H23" s="65"/>
      <c r="I23" s="65"/>
      <c r="J23" s="133">
        <v>2681.0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-260</v>
      </c>
      <c r="D24" s="24"/>
      <c r="E24" s="43">
        <v>15.0</v>
      </c>
      <c r="F24" s="56">
        <v>417.0</v>
      </c>
      <c r="G24" s="64">
        <v>417.0</v>
      </c>
      <c r="H24" s="65"/>
      <c r="I24" s="65"/>
      <c r="J24" s="133">
        <v>2682.0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243.0</v>
      </c>
      <c r="G25" s="64">
        <v>243.0</v>
      </c>
      <c r="H25" s="65"/>
      <c r="I25" s="65"/>
      <c r="J25" s="133">
        <v>2683.0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21362</v>
      </c>
      <c r="D26" s="24"/>
      <c r="E26" s="43">
        <v>17.0</v>
      </c>
      <c r="F26" s="56">
        <v>35.0</v>
      </c>
      <c r="G26" s="64"/>
      <c r="H26" s="64">
        <v>35.0</v>
      </c>
      <c r="I26" s="65"/>
      <c r="J26" s="133">
        <v>2684.0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58.0</v>
      </c>
      <c r="D27" s="24"/>
      <c r="E27" s="43">
        <v>18.0</v>
      </c>
      <c r="F27" s="56">
        <v>70.0</v>
      </c>
      <c r="G27" s="64">
        <v>70.0</v>
      </c>
      <c r="H27" s="65"/>
      <c r="I27" s="65"/>
      <c r="J27" s="133">
        <v>2685.0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368.3103448</v>
      </c>
      <c r="D28" s="24"/>
      <c r="E28" s="43">
        <v>19.0</v>
      </c>
      <c r="F28" s="56">
        <v>21.0</v>
      </c>
      <c r="G28" s="64"/>
      <c r="H28" s="64">
        <v>21.0</v>
      </c>
      <c r="I28" s="65"/>
      <c r="J28" s="133">
        <v>2686.0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106.0</v>
      </c>
      <c r="G29" s="64">
        <v>106.0</v>
      </c>
      <c r="H29" s="65"/>
      <c r="I29" s="65"/>
      <c r="J29" s="133">
        <v>2687.0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300.0</v>
      </c>
      <c r="G30" s="92"/>
      <c r="H30" s="93">
        <v>300.0</v>
      </c>
      <c r="I30" s="93"/>
      <c r="J30" s="133">
        <v>2688.0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5657</v>
      </c>
      <c r="D31" s="24"/>
      <c r="E31" s="43">
        <v>22.0</v>
      </c>
      <c r="F31" s="56">
        <v>220.0</v>
      </c>
      <c r="G31" s="93">
        <v>220.0</v>
      </c>
      <c r="H31" s="92"/>
      <c r="I31" s="92"/>
      <c r="J31" s="133">
        <v>2689.0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2200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90.0</v>
      </c>
      <c r="G32" s="93"/>
      <c r="H32" s="93">
        <v>90.0</v>
      </c>
      <c r="I32" s="92"/>
      <c r="J32" s="133">
        <v>2690.0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910.0</v>
      </c>
      <c r="G33" s="93">
        <v>910.0</v>
      </c>
      <c r="H33" s="92"/>
      <c r="I33" s="92"/>
      <c r="J33" s="133">
        <v>2691.0</v>
      </c>
      <c r="K33" s="24"/>
      <c r="L33" s="104">
        <f t="shared" ref="L33:M33" si="2">sum(L10:L32)</f>
        <v>2890</v>
      </c>
      <c r="M33" s="104">
        <f t="shared" si="2"/>
        <v>288</v>
      </c>
      <c r="N33" s="104"/>
      <c r="O33" s="105"/>
      <c r="P33" s="85" t="s">
        <v>38</v>
      </c>
      <c r="Q33" s="51"/>
      <c r="R33" s="100"/>
      <c r="S33" s="52">
        <v>5657.0</v>
      </c>
      <c r="T33" s="101"/>
      <c r="U33" s="55"/>
      <c r="V33" s="24"/>
      <c r="W33" s="104">
        <f t="shared" ref="W33:X33" si="3">sum(W10:W32)</f>
        <v>840</v>
      </c>
      <c r="X33" s="104">
        <f t="shared" si="3"/>
        <v>0</v>
      </c>
      <c r="Y33" s="104">
        <f>W33+X33</f>
        <v>840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777.0</v>
      </c>
      <c r="G34" s="93">
        <v>520.0</v>
      </c>
      <c r="H34" s="93">
        <v>257.0</v>
      </c>
      <c r="I34" s="92"/>
      <c r="J34" s="133">
        <v>2692.0</v>
      </c>
      <c r="K34" s="24"/>
      <c r="L34" s="106"/>
      <c r="M34" s="106"/>
      <c r="N34" s="106"/>
      <c r="O34" s="106"/>
      <c r="P34" s="85" t="s">
        <v>40</v>
      </c>
      <c r="Q34" s="107"/>
      <c r="R34" s="138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547.0</v>
      </c>
      <c r="G35" s="93">
        <v>547.0</v>
      </c>
      <c r="H35" s="93"/>
      <c r="I35" s="92"/>
      <c r="J35" s="133">
        <v>2693.0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104.0</v>
      </c>
      <c r="G36" s="93">
        <v>104.0</v>
      </c>
      <c r="H36" s="93"/>
      <c r="I36" s="92"/>
      <c r="J36" s="133">
        <v>2694.0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126.0</v>
      </c>
      <c r="G37" s="93">
        <v>102.0</v>
      </c>
      <c r="H37" s="93">
        <v>24.0</v>
      </c>
      <c r="I37" s="92"/>
      <c r="J37" s="133">
        <v>2695.0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358.0</v>
      </c>
      <c r="G38" s="93">
        <v>358.0</v>
      </c>
      <c r="H38" s="92"/>
      <c r="I38" s="92"/>
      <c r="J38" s="133">
        <v>2696.0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220.0</v>
      </c>
      <c r="G39" s="93">
        <v>220.0</v>
      </c>
      <c r="H39" s="93"/>
      <c r="I39" s="92"/>
      <c r="J39" s="133">
        <v>2697.0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477.0</v>
      </c>
      <c r="G40" s="93">
        <v>477.0</v>
      </c>
      <c r="H40" s="93"/>
      <c r="I40" s="92"/>
      <c r="J40" s="133">
        <v>2698.0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3.0</v>
      </c>
      <c r="G41" s="93">
        <v>3.0</v>
      </c>
      <c r="H41" s="93"/>
      <c r="I41" s="92"/>
      <c r="J41" s="133">
        <v>2699.0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576.0</v>
      </c>
      <c r="G42" s="93">
        <v>576.0</v>
      </c>
      <c r="H42" s="93"/>
      <c r="I42" s="92"/>
      <c r="J42" s="133">
        <v>2700.0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755.0</v>
      </c>
      <c r="G43" s="93">
        <v>755.0</v>
      </c>
      <c r="H43" s="92"/>
      <c r="I43" s="92"/>
      <c r="J43" s="133">
        <v>2701.0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134.0</v>
      </c>
      <c r="G44" s="93">
        <v>134.0</v>
      </c>
      <c r="H44" s="93"/>
      <c r="I44" s="92"/>
      <c r="J44" s="133">
        <v>2702.0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236.0</v>
      </c>
      <c r="G45" s="93">
        <v>236.0</v>
      </c>
      <c r="H45" s="92"/>
      <c r="I45" s="92"/>
      <c r="J45" s="133">
        <v>2703.0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232.0</v>
      </c>
      <c r="G46" s="93">
        <v>232.0</v>
      </c>
      <c r="H46" s="92"/>
      <c r="I46" s="92"/>
      <c r="J46" s="133">
        <v>2704.0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90.0</v>
      </c>
      <c r="G47" s="92"/>
      <c r="H47" s="93">
        <v>90.0</v>
      </c>
      <c r="I47" s="92"/>
      <c r="J47" s="133">
        <v>2705.0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135.0</v>
      </c>
      <c r="G48" s="92"/>
      <c r="H48" s="93">
        <v>135.0</v>
      </c>
      <c r="I48" s="92"/>
      <c r="J48" s="133">
        <v>2706.0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39.0</v>
      </c>
      <c r="G49" s="93">
        <v>39.0</v>
      </c>
      <c r="H49" s="92"/>
      <c r="I49" s="92"/>
      <c r="J49" s="133">
        <v>2707.0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199.0</v>
      </c>
      <c r="G50" s="93">
        <v>199.0</v>
      </c>
      <c r="H50" s="93"/>
      <c r="I50" s="92"/>
      <c r="J50" s="133">
        <v>2708.0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38.0</v>
      </c>
      <c r="G51" s="93">
        <v>38.0</v>
      </c>
      <c r="H51" s="92"/>
      <c r="I51" s="92"/>
      <c r="J51" s="133">
        <v>2709.0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97.0</v>
      </c>
      <c r="G52" s="93">
        <v>97.0</v>
      </c>
      <c r="H52" s="92"/>
      <c r="I52" s="92"/>
      <c r="J52" s="133">
        <v>2710.0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175.0</v>
      </c>
      <c r="G53" s="93">
        <v>175.0</v>
      </c>
      <c r="H53" s="92"/>
      <c r="I53" s="92"/>
      <c r="J53" s="133">
        <v>2711.0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355.0</v>
      </c>
      <c r="G54" s="92"/>
      <c r="H54" s="93">
        <v>355.0</v>
      </c>
      <c r="I54" s="92"/>
      <c r="J54" s="133">
        <v>2712.0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319.0</v>
      </c>
      <c r="G55" s="93">
        <v>319.0</v>
      </c>
      <c r="H55" s="92"/>
      <c r="I55" s="92"/>
      <c r="J55" s="133">
        <v>2713.0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99.0</v>
      </c>
      <c r="G56" s="93">
        <v>99.0</v>
      </c>
      <c r="H56" s="92"/>
      <c r="I56" s="92"/>
      <c r="J56" s="133">
        <v>2714.0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9.0</v>
      </c>
      <c r="G57" s="93">
        <v>9.0</v>
      </c>
      <c r="H57" s="92"/>
      <c r="I57" s="92"/>
      <c r="J57" s="133">
        <v>2715.0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120.0</v>
      </c>
      <c r="G58" s="93">
        <v>120.0</v>
      </c>
      <c r="H58" s="92"/>
      <c r="I58" s="92"/>
      <c r="J58" s="133">
        <v>2716.0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6553.0</v>
      </c>
      <c r="G59" s="92"/>
      <c r="H59" s="93">
        <v>6553.0</v>
      </c>
      <c r="I59" s="92"/>
      <c r="J59" s="133">
        <v>2717.0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65.0</v>
      </c>
      <c r="G60" s="93">
        <v>65.0</v>
      </c>
      <c r="H60" s="92"/>
      <c r="I60" s="92"/>
      <c r="J60" s="133">
        <v>2718.0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132.0</v>
      </c>
      <c r="G61" s="93">
        <v>132.0</v>
      </c>
      <c r="H61" s="92"/>
      <c r="I61" s="92"/>
      <c r="J61" s="133">
        <v>2719.0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106.0</v>
      </c>
      <c r="G62" s="92"/>
      <c r="H62" s="93">
        <v>106.0</v>
      </c>
      <c r="I62" s="92"/>
      <c r="J62" s="133">
        <v>2720.0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20.0</v>
      </c>
      <c r="G63" s="93">
        <v>20.0</v>
      </c>
      <c r="H63" s="92"/>
      <c r="I63" s="92"/>
      <c r="J63" s="133">
        <v>2721.0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439.0</v>
      </c>
      <c r="G64" s="92"/>
      <c r="H64" s="93">
        <v>439.0</v>
      </c>
      <c r="I64" s="92"/>
      <c r="J64" s="133">
        <v>2722.0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300.0</v>
      </c>
      <c r="G65" s="92"/>
      <c r="H65" s="93">
        <v>300.0</v>
      </c>
      <c r="I65" s="92"/>
      <c r="J65" s="133">
        <v>2723.0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20.0</v>
      </c>
      <c r="G66" s="93">
        <v>20.0</v>
      </c>
      <c r="H66" s="92"/>
      <c r="I66" s="92"/>
      <c r="J66" s="133">
        <v>2724.0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280.0</v>
      </c>
      <c r="G67" s="93">
        <v>280.0</v>
      </c>
      <c r="H67" s="92"/>
      <c r="I67" s="92"/>
      <c r="J67" s="133">
        <v>2725.0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133">
        <v>2726.0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133">
        <v>2727.0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133">
        <v>2728.0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133">
        <v>2729.0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133">
        <v>2730.0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133">
        <v>2731.0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133">
        <v>2732.0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133">
        <v>2733.0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133">
        <v>2734.0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33">
        <v>2735.0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33">
        <v>2736.0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33">
        <v>2737.0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3">
        <v>2738.0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33">
        <v>2739.0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33">
        <v>2740.0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3">
        <v>2741.0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3">
        <v>2742.0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3">
        <v>2743.0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3">
        <v>2744.0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3">
        <v>2745.0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3">
        <v>2746.0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3">
        <v>2747.0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3">
        <v>2748.0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3">
        <v>2749.0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3">
        <v>2750.0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3">
        <v>2751.0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54" t="s">
        <v>69</v>
      </c>
      <c r="I94" s="61"/>
      <c r="J94" s="133">
        <v>2752.0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54"/>
      <c r="I95" s="61"/>
      <c r="J95" s="133">
        <v>2753.0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54"/>
      <c r="I96" s="61"/>
      <c r="J96" s="133">
        <v>2754.0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21362</v>
      </c>
      <c r="G97" s="123">
        <f t="shared" si="4"/>
        <v>11748</v>
      </c>
      <c r="H97" s="123">
        <f t="shared" si="4"/>
        <v>9614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45986.0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108640.0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9902.0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29268.0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14688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7568</v>
      </c>
      <c r="D10" s="24"/>
      <c r="E10" s="43">
        <v>1.0</v>
      </c>
      <c r="F10" s="44">
        <v>10.0</v>
      </c>
      <c r="G10" s="145">
        <v>10.0</v>
      </c>
      <c r="H10" s="45"/>
      <c r="I10" s="45"/>
      <c r="J10" s="133">
        <v>2726.0</v>
      </c>
      <c r="K10" s="24"/>
      <c r="L10" s="47"/>
      <c r="M10" s="47"/>
      <c r="N10" s="48"/>
      <c r="O10" s="49"/>
      <c r="P10" s="85" t="s">
        <v>173</v>
      </c>
      <c r="Q10" s="51"/>
      <c r="R10" s="52">
        <v>60.0</v>
      </c>
      <c r="S10" s="53"/>
      <c r="T10" s="54"/>
      <c r="U10" s="55"/>
      <c r="V10" s="24"/>
      <c r="W10" s="47">
        <v>273.0</v>
      </c>
      <c r="X10" s="47"/>
      <c r="Y10" s="47" t="s">
        <v>174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5386</v>
      </c>
      <c r="D11" s="24"/>
      <c r="E11" s="43">
        <v>2.0</v>
      </c>
      <c r="F11" s="56">
        <v>293.0</v>
      </c>
      <c r="G11" s="179">
        <v>293.0</v>
      </c>
      <c r="H11" s="58"/>
      <c r="I11" s="59"/>
      <c r="J11" s="133">
        <v>2727.0</v>
      </c>
      <c r="K11" s="24"/>
      <c r="L11" s="48"/>
      <c r="M11" s="48"/>
      <c r="N11" s="48"/>
      <c r="O11" s="49"/>
      <c r="P11" s="72" t="s">
        <v>161</v>
      </c>
      <c r="Q11" s="51"/>
      <c r="R11" s="52">
        <v>1000.0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1735</v>
      </c>
      <c r="D12" s="24"/>
      <c r="E12" s="43">
        <v>3.0</v>
      </c>
      <c r="F12" s="63">
        <v>69.0</v>
      </c>
      <c r="G12" s="141">
        <v>69.0</v>
      </c>
      <c r="H12" s="64"/>
      <c r="I12" s="65"/>
      <c r="J12" s="133">
        <v>2728.0</v>
      </c>
      <c r="K12" s="24"/>
      <c r="L12" s="48"/>
      <c r="M12" s="48"/>
      <c r="N12" s="48"/>
      <c r="O12" s="49"/>
      <c r="P12" s="72" t="s">
        <v>67</v>
      </c>
      <c r="Q12" s="51"/>
      <c r="R12" s="52">
        <v>100.0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414.0</v>
      </c>
      <c r="G13" s="141">
        <v>414.0</v>
      </c>
      <c r="H13" s="65"/>
      <c r="I13" s="65"/>
      <c r="J13" s="133">
        <v>2729.0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298.0</v>
      </c>
      <c r="G14" s="141">
        <v>298.0</v>
      </c>
      <c r="H14" s="65"/>
      <c r="I14" s="65"/>
      <c r="J14" s="133">
        <v>2730.0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273</v>
      </c>
      <c r="D15" s="24"/>
      <c r="E15" s="43">
        <v>6.0</v>
      </c>
      <c r="F15" s="56">
        <v>7.0</v>
      </c>
      <c r="G15" s="141">
        <v>7.0</v>
      </c>
      <c r="H15" s="64"/>
      <c r="I15" s="65"/>
      <c r="J15" s="133">
        <v>2731.0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1160</v>
      </c>
      <c r="D16" s="24"/>
      <c r="E16" s="43">
        <v>7.0</v>
      </c>
      <c r="F16" s="56">
        <v>300.0</v>
      </c>
      <c r="G16" s="64"/>
      <c r="H16" s="64">
        <v>300.0</v>
      </c>
      <c r="I16" s="65"/>
      <c r="J16" s="133">
        <v>2732.0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1160</v>
      </c>
      <c r="D17" s="24"/>
      <c r="E17" s="43">
        <v>8.0</v>
      </c>
      <c r="F17" s="56">
        <v>60.0</v>
      </c>
      <c r="G17" s="64" t="s">
        <v>69</v>
      </c>
      <c r="H17" s="64">
        <v>60.0</v>
      </c>
      <c r="I17" s="65"/>
      <c r="J17" s="133">
        <v>2733.0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206.0</v>
      </c>
      <c r="G18" s="141">
        <v>206.0</v>
      </c>
      <c r="H18" s="64"/>
      <c r="I18" s="65"/>
      <c r="J18" s="133">
        <v>2734.0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459.0</v>
      </c>
      <c r="G19" s="141">
        <v>459.0</v>
      </c>
      <c r="H19" s="65"/>
      <c r="I19" s="65"/>
      <c r="J19" s="133">
        <v>2735.0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31003</v>
      </c>
      <c r="D20" s="24"/>
      <c r="E20" s="43">
        <v>11.0</v>
      </c>
      <c r="F20" s="56">
        <v>95.0</v>
      </c>
      <c r="G20" s="141">
        <v>95.0</v>
      </c>
      <c r="H20" s="64"/>
      <c r="I20" s="65"/>
      <c r="J20" s="133">
        <v>2736.0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5386</v>
      </c>
      <c r="D21" s="24"/>
      <c r="E21" s="43">
        <v>12.0</v>
      </c>
      <c r="F21" s="56">
        <v>96.0</v>
      </c>
      <c r="G21" s="141">
        <v>96.0</v>
      </c>
      <c r="H21" s="64"/>
      <c r="I21" s="65"/>
      <c r="J21" s="133">
        <v>2737.0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111548</v>
      </c>
      <c r="D22" s="24"/>
      <c r="E22" s="43">
        <v>13.0</v>
      </c>
      <c r="F22" s="56">
        <v>754.0</v>
      </c>
      <c r="G22" s="141">
        <v>754.0</v>
      </c>
      <c r="H22" s="64"/>
      <c r="I22" s="65"/>
      <c r="J22" s="133">
        <v>2738.0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113323.0</v>
      </c>
      <c r="D23" s="24"/>
      <c r="E23" s="43">
        <v>14.0</v>
      </c>
      <c r="F23" s="56">
        <v>51.0</v>
      </c>
      <c r="G23" s="141">
        <v>51.0</v>
      </c>
      <c r="H23" s="65"/>
      <c r="I23" s="65"/>
      <c r="J23" s="133">
        <v>2739.0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-1775</v>
      </c>
      <c r="D24" s="24"/>
      <c r="E24" s="43">
        <v>15.0</v>
      </c>
      <c r="F24" s="56">
        <v>82.0</v>
      </c>
      <c r="G24" s="64"/>
      <c r="H24" s="64">
        <v>82.0</v>
      </c>
      <c r="I24" s="65"/>
      <c r="J24" s="133">
        <v>2740.0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277.0</v>
      </c>
      <c r="G25" s="64">
        <v>273.0</v>
      </c>
      <c r="H25" s="64">
        <v>4.0</v>
      </c>
      <c r="I25" s="65"/>
      <c r="J25" s="133">
        <v>2741.0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14961</v>
      </c>
      <c r="D26" s="24"/>
      <c r="E26" s="43">
        <v>17.0</v>
      </c>
      <c r="F26" s="56">
        <v>119.0</v>
      </c>
      <c r="G26" s="64">
        <v>119.0</v>
      </c>
      <c r="H26" s="65"/>
      <c r="I26" s="65"/>
      <c r="J26" s="133">
        <v>2742.0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57.0</v>
      </c>
      <c r="D27" s="24"/>
      <c r="E27" s="43">
        <v>18.0</v>
      </c>
      <c r="F27" s="56">
        <v>1200.0</v>
      </c>
      <c r="G27" s="64">
        <v>1200.0</v>
      </c>
      <c r="H27" s="65"/>
      <c r="I27" s="65"/>
      <c r="J27" s="133">
        <v>2743.0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262.4736842</v>
      </c>
      <c r="D28" s="24"/>
      <c r="E28" s="43">
        <v>19.0</v>
      </c>
      <c r="F28" s="56">
        <v>354.0</v>
      </c>
      <c r="G28" s="64">
        <v>354.0</v>
      </c>
      <c r="H28" s="65"/>
      <c r="I28" s="65"/>
      <c r="J28" s="133">
        <v>2744.0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6.0</v>
      </c>
      <c r="G29" s="64">
        <v>6.0</v>
      </c>
      <c r="H29" s="65"/>
      <c r="I29" s="65"/>
      <c r="J29" s="133">
        <v>2745.0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702.0</v>
      </c>
      <c r="G30" s="93">
        <v>2.0</v>
      </c>
      <c r="H30" s="93">
        <v>700.0</v>
      </c>
      <c r="I30" s="93"/>
      <c r="J30" s="133" t="s">
        <v>175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9902</v>
      </c>
      <c r="D31" s="24"/>
      <c r="E31" s="43">
        <v>22.0</v>
      </c>
      <c r="F31" s="56">
        <v>550.0</v>
      </c>
      <c r="G31" s="93">
        <v>550.0</v>
      </c>
      <c r="H31" s="92"/>
      <c r="I31" s="92"/>
      <c r="J31" s="133">
        <v>2747.0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1160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40.0</v>
      </c>
      <c r="G32" s="93">
        <v>40.0</v>
      </c>
      <c r="H32" s="92"/>
      <c r="I32" s="92"/>
      <c r="J32" s="133">
        <v>2748.0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9.0</v>
      </c>
      <c r="G33" s="93">
        <v>9.0</v>
      </c>
      <c r="H33" s="92"/>
      <c r="I33" s="92"/>
      <c r="J33" s="133">
        <v>2749.0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9902.0</v>
      </c>
      <c r="T33" s="101"/>
      <c r="U33" s="55"/>
      <c r="V33" s="24"/>
      <c r="W33" s="104">
        <f t="shared" ref="W33:X33" si="3">sum(W10:W32)</f>
        <v>273</v>
      </c>
      <c r="X33" s="104">
        <f t="shared" si="3"/>
        <v>0</v>
      </c>
      <c r="Y33" s="104">
        <f>W33+X33</f>
        <v>273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646.0</v>
      </c>
      <c r="G34" s="93"/>
      <c r="H34" s="93">
        <v>646.0</v>
      </c>
      <c r="I34" s="92"/>
      <c r="J34" s="133">
        <v>2750.0</v>
      </c>
      <c r="K34" s="24"/>
      <c r="L34" s="106"/>
      <c r="M34" s="106"/>
      <c r="N34" s="106"/>
      <c r="O34" s="106"/>
      <c r="P34" s="85" t="s">
        <v>40</v>
      </c>
      <c r="Q34" s="107"/>
      <c r="R34" s="138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235.0</v>
      </c>
      <c r="G35" s="92"/>
      <c r="H35" s="93"/>
      <c r="I35" s="93">
        <v>235.0</v>
      </c>
      <c r="J35" s="133" t="s">
        <v>176</v>
      </c>
      <c r="K35" s="24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311.0</v>
      </c>
      <c r="G36" s="92"/>
      <c r="H36" s="93">
        <v>311.0</v>
      </c>
      <c r="I36" s="92"/>
      <c r="J36" s="133">
        <v>2752.0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141.0</v>
      </c>
      <c r="G37" s="93">
        <v>141.0</v>
      </c>
      <c r="H37" s="92"/>
      <c r="I37" s="92"/>
      <c r="J37" s="133">
        <v>2753.0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10.0</v>
      </c>
      <c r="G38" s="93">
        <v>10.0</v>
      </c>
      <c r="H38" s="92"/>
      <c r="I38" s="92"/>
      <c r="J38" s="133">
        <v>2754.0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88.0</v>
      </c>
      <c r="G39" s="93">
        <v>88.0</v>
      </c>
      <c r="H39" s="93"/>
      <c r="I39" s="92"/>
      <c r="J39" s="133">
        <v>2755.0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700.0</v>
      </c>
      <c r="G40" s="92"/>
      <c r="H40" s="93">
        <v>700.0</v>
      </c>
      <c r="I40" s="92"/>
      <c r="J40" s="133">
        <v>2756.0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100.0</v>
      </c>
      <c r="G41" s="93">
        <v>100.0</v>
      </c>
      <c r="H41" s="93"/>
      <c r="I41" s="92"/>
      <c r="J41" s="133">
        <v>2757.0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60.0</v>
      </c>
      <c r="G42" s="93">
        <v>60.0</v>
      </c>
      <c r="H42" s="93"/>
      <c r="I42" s="92"/>
      <c r="J42" s="133">
        <v>2758.0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683.0</v>
      </c>
      <c r="G43" s="93">
        <v>683.0</v>
      </c>
      <c r="H43" s="92"/>
      <c r="I43" s="92"/>
      <c r="J43" s="133">
        <v>2759.0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7.0</v>
      </c>
      <c r="G44" s="92"/>
      <c r="H44" s="93">
        <v>7.0</v>
      </c>
      <c r="I44" s="92"/>
      <c r="J44" s="133">
        <v>2760.0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140.0</v>
      </c>
      <c r="G45" s="93"/>
      <c r="H45" s="93">
        <v>140.0</v>
      </c>
      <c r="I45" s="92"/>
      <c r="J45" s="133">
        <v>2761.0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179.0</v>
      </c>
      <c r="G46" s="93"/>
      <c r="H46" s="140">
        <v>180.0</v>
      </c>
      <c r="I46" s="92"/>
      <c r="J46" s="133">
        <v>2762.0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106.0</v>
      </c>
      <c r="G47" s="93">
        <v>106.0</v>
      </c>
      <c r="H47" s="93"/>
      <c r="I47" s="92"/>
      <c r="J47" s="133">
        <v>2763.0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323.0</v>
      </c>
      <c r="G48" s="92"/>
      <c r="H48" s="93">
        <v>323.0</v>
      </c>
      <c r="I48" s="92"/>
      <c r="J48" s="133">
        <v>2764.0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8.0</v>
      </c>
      <c r="G49" s="93">
        <v>8.0</v>
      </c>
      <c r="H49" s="92"/>
      <c r="I49" s="92"/>
      <c r="J49" s="133">
        <v>2765.0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414.0</v>
      </c>
      <c r="G50" s="93">
        <v>414.0</v>
      </c>
      <c r="H50" s="93"/>
      <c r="I50" s="92"/>
      <c r="J50" s="133">
        <v>2766.0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1500.0</v>
      </c>
      <c r="G51" s="92"/>
      <c r="H51" s="92"/>
      <c r="I51" s="93">
        <v>1500.0</v>
      </c>
      <c r="J51" s="133">
        <v>2767.0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80.0</v>
      </c>
      <c r="G52" s="93">
        <v>80.0</v>
      </c>
      <c r="H52" s="92"/>
      <c r="I52" s="92"/>
      <c r="J52" s="133">
        <v>2768.0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150.0</v>
      </c>
      <c r="G53" s="93">
        <v>150.0</v>
      </c>
      <c r="H53" s="92"/>
      <c r="I53" s="92"/>
      <c r="J53" s="133">
        <v>2769.0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195.0</v>
      </c>
      <c r="G54" s="93" t="s">
        <v>69</v>
      </c>
      <c r="H54" s="93">
        <v>195.0</v>
      </c>
      <c r="I54" s="92"/>
      <c r="J54" s="133">
        <v>2770.0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311.0</v>
      </c>
      <c r="G55" s="92"/>
      <c r="H55" s="93">
        <v>311.0</v>
      </c>
      <c r="I55" s="92"/>
      <c r="J55" s="133">
        <v>2771.0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19.0</v>
      </c>
      <c r="G56" s="93">
        <v>19.0</v>
      </c>
      <c r="H56" s="92"/>
      <c r="I56" s="92"/>
      <c r="J56" s="133">
        <v>2772.0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17.0</v>
      </c>
      <c r="G57" s="92"/>
      <c r="H57" s="93">
        <v>17.0</v>
      </c>
      <c r="I57" s="92"/>
      <c r="J57" s="133">
        <v>2773.0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436.0</v>
      </c>
      <c r="G58" s="92"/>
      <c r="H58" s="93">
        <v>436.0</v>
      </c>
      <c r="I58" s="92"/>
      <c r="J58" s="133">
        <v>2774.0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179.0</v>
      </c>
      <c r="G59" s="92"/>
      <c r="H59" s="93">
        <v>179.0</v>
      </c>
      <c r="I59" s="92"/>
      <c r="J59" s="133">
        <v>2775.0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184.0</v>
      </c>
      <c r="G60" s="93">
        <v>184.0</v>
      </c>
      <c r="H60" s="92"/>
      <c r="I60" s="92"/>
      <c r="J60" s="133">
        <v>2776.0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790.0</v>
      </c>
      <c r="G61" s="92"/>
      <c r="H61" s="93">
        <v>790.0</v>
      </c>
      <c r="I61" s="92"/>
      <c r="J61" s="133" t="s">
        <v>91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153.0</v>
      </c>
      <c r="G62" s="93">
        <v>153.0</v>
      </c>
      <c r="H62" s="92"/>
      <c r="I62" s="92"/>
      <c r="J62" s="133">
        <v>2778.0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9.0</v>
      </c>
      <c r="G63" s="93">
        <v>9.0</v>
      </c>
      <c r="H63" s="92"/>
      <c r="I63" s="92"/>
      <c r="J63" s="133">
        <v>2779.0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20.0</v>
      </c>
      <c r="G64" s="93">
        <v>20.0</v>
      </c>
      <c r="H64" s="92"/>
      <c r="I64" s="92"/>
      <c r="J64" s="133">
        <v>2780.0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275.0</v>
      </c>
      <c r="G65" s="93">
        <v>270.0</v>
      </c>
      <c r="H65" s="93">
        <v>5.0</v>
      </c>
      <c r="I65" s="92"/>
      <c r="J65" s="133">
        <v>2781.0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41.0</v>
      </c>
      <c r="G66" s="93">
        <v>41.0</v>
      </c>
      <c r="H66" s="92"/>
      <c r="I66" s="92"/>
      <c r="J66" s="133">
        <v>2782.0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133">
        <v>2783.0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133">
        <v>2784.0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133">
        <v>2785.0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133">
        <v>2786.0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133">
        <v>2787.0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133">
        <v>2788.0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133">
        <v>2789.0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133">
        <v>2790.0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133">
        <v>2791.0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133">
        <v>2792.0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33">
        <v>2793.0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33">
        <v>2794.0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33">
        <v>2795.0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3">
        <v>2796.0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33">
        <v>2797.0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33">
        <v>2798.0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3">
        <v>2799.0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3">
        <v>2800.0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3">
        <v>2801.0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3">
        <v>2802.0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3">
        <v>2803.0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3">
        <v>2804.0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3">
        <v>2805.0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3">
        <v>2806.0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3">
        <v>2807.0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3">
        <v>2808.0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3">
        <v>2809.0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33">
        <v>2810.0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133">
        <v>2811.0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133">
        <v>2812.0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14961</v>
      </c>
      <c r="G97" s="123">
        <f t="shared" si="4"/>
        <v>7841</v>
      </c>
      <c r="H97" s="123">
        <f t="shared" si="4"/>
        <v>5386</v>
      </c>
      <c r="I97" s="123">
        <f t="shared" si="4"/>
        <v>1735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45987.0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111546.0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5386.0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31003.0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16595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6522</v>
      </c>
      <c r="D10" s="24"/>
      <c r="E10" s="43">
        <v>1.0</v>
      </c>
      <c r="F10" s="44">
        <v>145.0</v>
      </c>
      <c r="G10" s="45">
        <v>145.0</v>
      </c>
      <c r="H10" s="45"/>
      <c r="I10" s="45"/>
      <c r="J10" s="133">
        <v>2783.0</v>
      </c>
      <c r="K10" s="24"/>
      <c r="L10" s="47"/>
      <c r="M10" s="47">
        <v>235.0</v>
      </c>
      <c r="N10" s="47">
        <v>2751.0</v>
      </c>
      <c r="O10" s="49"/>
      <c r="P10" s="85" t="s">
        <v>130</v>
      </c>
      <c r="Q10" s="51"/>
      <c r="R10" s="52">
        <v>1000.0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8921</v>
      </c>
      <c r="D11" s="24"/>
      <c r="E11" s="43">
        <v>2.0</v>
      </c>
      <c r="F11" s="56">
        <v>437.0</v>
      </c>
      <c r="G11" s="57">
        <v>437.0</v>
      </c>
      <c r="H11" s="58"/>
      <c r="I11" s="59"/>
      <c r="J11" s="133">
        <v>2784.0</v>
      </c>
      <c r="K11" s="24"/>
      <c r="L11" s="47" t="s">
        <v>69</v>
      </c>
      <c r="M11" s="47">
        <v>1500.0</v>
      </c>
      <c r="N11" s="47">
        <v>2767.0</v>
      </c>
      <c r="O11" s="49"/>
      <c r="P11" s="72" t="s">
        <v>177</v>
      </c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1802</v>
      </c>
      <c r="D12" s="24"/>
      <c r="E12" s="43">
        <v>3.0</v>
      </c>
      <c r="F12" s="63">
        <v>645.0</v>
      </c>
      <c r="G12" s="64"/>
      <c r="H12" s="64">
        <v>645.0</v>
      </c>
      <c r="I12" s="65"/>
      <c r="J12" s="133">
        <v>2785.0</v>
      </c>
      <c r="K12" s="24"/>
      <c r="L12" s="48"/>
      <c r="M12" s="48"/>
      <c r="N12" s="48"/>
      <c r="O12" s="49"/>
      <c r="P12" s="72" t="s">
        <v>80</v>
      </c>
      <c r="Q12" s="51"/>
      <c r="R12" s="52">
        <v>100.0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299.0</v>
      </c>
      <c r="G13" s="64">
        <v>299.0</v>
      </c>
      <c r="H13" s="65"/>
      <c r="I13" s="65"/>
      <c r="J13" s="133">
        <v>2786.0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1735</v>
      </c>
      <c r="D14" s="24"/>
      <c r="E14" s="43">
        <v>5.0</v>
      </c>
      <c r="F14" s="56">
        <v>252.0</v>
      </c>
      <c r="G14" s="64">
        <v>252.0</v>
      </c>
      <c r="H14" s="65"/>
      <c r="I14" s="65"/>
      <c r="J14" s="133">
        <v>2787.0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163.0</v>
      </c>
      <c r="G15" s="64"/>
      <c r="H15" s="64">
        <v>163.0</v>
      </c>
      <c r="I15" s="65"/>
      <c r="J15" s="133">
        <v>2788.0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1100</v>
      </c>
      <c r="D16" s="24"/>
      <c r="E16" s="43">
        <v>7.0</v>
      </c>
      <c r="F16" s="56">
        <v>96.0</v>
      </c>
      <c r="G16" s="64"/>
      <c r="H16" s="64">
        <v>96.0</v>
      </c>
      <c r="I16" s="65"/>
      <c r="J16" s="133">
        <v>2789.0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1100</v>
      </c>
      <c r="D17" s="24"/>
      <c r="E17" s="43">
        <v>8.0</v>
      </c>
      <c r="F17" s="56">
        <v>379.0</v>
      </c>
      <c r="G17" s="64">
        <v>379.0</v>
      </c>
      <c r="H17" s="64"/>
      <c r="I17" s="65"/>
      <c r="J17" s="133">
        <v>2790.0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399.0</v>
      </c>
      <c r="G18" s="64"/>
      <c r="H18" s="64">
        <v>399.0</v>
      </c>
      <c r="I18" s="65"/>
      <c r="J18" s="133">
        <v>2791.0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312.0</v>
      </c>
      <c r="G19" s="64">
        <v>312.0</v>
      </c>
      <c r="H19" s="65"/>
      <c r="I19" s="65"/>
      <c r="J19" s="133">
        <v>2792.0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31070</v>
      </c>
      <c r="D20" s="24"/>
      <c r="E20" s="43">
        <v>11.0</v>
      </c>
      <c r="F20" s="56">
        <v>157.0</v>
      </c>
      <c r="G20" s="64">
        <v>157.0</v>
      </c>
      <c r="H20" s="64"/>
      <c r="I20" s="65"/>
      <c r="J20" s="133">
        <v>2793.0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10656</v>
      </c>
      <c r="D21" s="24"/>
      <c r="E21" s="43">
        <v>12.0</v>
      </c>
      <c r="F21" s="56">
        <v>69.0</v>
      </c>
      <c r="G21" s="65"/>
      <c r="H21" s="64">
        <v>69.0</v>
      </c>
      <c r="I21" s="65"/>
      <c r="J21" s="133">
        <v>2794.0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17968</v>
      </c>
      <c r="D22" s="24"/>
      <c r="E22" s="43">
        <v>13.0</v>
      </c>
      <c r="F22" s="56">
        <v>133.0</v>
      </c>
      <c r="G22" s="64"/>
      <c r="H22" s="64">
        <v>133.0</v>
      </c>
      <c r="I22" s="65"/>
      <c r="J22" s="133">
        <v>2795.0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18310.0</v>
      </c>
      <c r="D23" s="24"/>
      <c r="E23" s="43">
        <v>14.0</v>
      </c>
      <c r="F23" s="56">
        <v>35.0</v>
      </c>
      <c r="G23" s="64">
        <v>35.0</v>
      </c>
      <c r="H23" s="65"/>
      <c r="I23" s="65"/>
      <c r="J23" s="133">
        <v>2796.0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-342</v>
      </c>
      <c r="D24" s="24"/>
      <c r="E24" s="43">
        <v>15.0</v>
      </c>
      <c r="F24" s="56">
        <v>1552.0</v>
      </c>
      <c r="G24" s="64"/>
      <c r="H24" s="64">
        <v>1552.0</v>
      </c>
      <c r="I24" s="65"/>
      <c r="J24" s="133">
        <v>2797.0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199.0</v>
      </c>
      <c r="G25" s="64">
        <v>199.0</v>
      </c>
      <c r="H25" s="65"/>
      <c r="I25" s="65"/>
      <c r="J25" s="133">
        <v>2798.0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16595</v>
      </c>
      <c r="D26" s="24"/>
      <c r="E26" s="43">
        <v>17.0</v>
      </c>
      <c r="F26" s="56">
        <v>319.0</v>
      </c>
      <c r="G26" s="64">
        <v>319.0</v>
      </c>
      <c r="H26" s="65"/>
      <c r="I26" s="65"/>
      <c r="J26" s="133">
        <v>2799.0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59.0</v>
      </c>
      <c r="D27" s="24"/>
      <c r="E27" s="43">
        <v>18.0</v>
      </c>
      <c r="F27" s="56">
        <v>805.0</v>
      </c>
      <c r="G27" s="64"/>
      <c r="H27" s="64">
        <v>805.0</v>
      </c>
      <c r="I27" s="65"/>
      <c r="J27" s="133">
        <v>2800.0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281.2711864</v>
      </c>
      <c r="D28" s="24"/>
      <c r="E28" s="43">
        <v>19.0</v>
      </c>
      <c r="F28" s="56">
        <v>124.0</v>
      </c>
      <c r="G28" s="64">
        <v>124.0</v>
      </c>
      <c r="H28" s="65"/>
      <c r="I28" s="65"/>
      <c r="J28" s="133">
        <v>2801.0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383.0</v>
      </c>
      <c r="G29" s="64"/>
      <c r="H29" s="64">
        <v>383.0</v>
      </c>
      <c r="I29" s="65"/>
      <c r="J29" s="133">
        <v>2802.0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>
        <f>R32</f>
        <v>95500</v>
      </c>
      <c r="D30" s="24"/>
      <c r="E30" s="43">
        <v>21.0</v>
      </c>
      <c r="F30" s="56">
        <v>145.0</v>
      </c>
      <c r="G30" s="93">
        <v>145.0</v>
      </c>
      <c r="H30" s="92"/>
      <c r="I30" s="93"/>
      <c r="J30" s="133">
        <v>2803.0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5386</v>
      </c>
      <c r="D31" s="24"/>
      <c r="E31" s="43">
        <v>22.0</v>
      </c>
      <c r="F31" s="56">
        <v>212.0</v>
      </c>
      <c r="G31" s="93"/>
      <c r="H31" s="93">
        <v>212.0</v>
      </c>
      <c r="I31" s="92"/>
      <c r="J31" s="133">
        <v>2804.0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1100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212.0</v>
      </c>
      <c r="G32" s="93"/>
      <c r="H32" s="93">
        <v>212.0</v>
      </c>
      <c r="I32" s="92"/>
      <c r="J32" s="133">
        <v>2805.0</v>
      </c>
      <c r="K32" s="24"/>
      <c r="L32" s="48"/>
      <c r="M32" s="48"/>
      <c r="N32" s="48"/>
      <c r="O32" s="98"/>
      <c r="P32" s="90" t="s">
        <v>37</v>
      </c>
      <c r="Q32" s="51"/>
      <c r="R32" s="99">
        <v>95500.0</v>
      </c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1150.0</v>
      </c>
      <c r="G33" s="93"/>
      <c r="H33" s="92"/>
      <c r="I33" s="93">
        <v>1150.0</v>
      </c>
      <c r="J33" s="133" t="s">
        <v>178</v>
      </c>
      <c r="K33" s="24"/>
      <c r="L33" s="104">
        <f t="shared" ref="L33:M33" si="2">sum(L10:L32)</f>
        <v>0</v>
      </c>
      <c r="M33" s="104">
        <f t="shared" si="2"/>
        <v>1735</v>
      </c>
      <c r="N33" s="104"/>
      <c r="O33" s="105"/>
      <c r="P33" s="85" t="s">
        <v>38</v>
      </c>
      <c r="Q33" s="51"/>
      <c r="R33" s="100"/>
      <c r="S33" s="52">
        <v>5386.0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140.0</v>
      </c>
      <c r="G34" s="93">
        <v>140.0</v>
      </c>
      <c r="H34" s="92"/>
      <c r="I34" s="92"/>
      <c r="J34" s="133">
        <v>2807.0</v>
      </c>
      <c r="K34" s="24"/>
      <c r="L34" s="106"/>
      <c r="M34" s="106"/>
      <c r="N34" s="106"/>
      <c r="O34" s="106"/>
      <c r="P34" s="85" t="s">
        <v>40</v>
      </c>
      <c r="Q34" s="107"/>
      <c r="R34" s="138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378.0</v>
      </c>
      <c r="G35" s="93">
        <v>378.0</v>
      </c>
      <c r="H35" s="93"/>
      <c r="I35" s="92"/>
      <c r="J35" s="133">
        <v>2808.0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230.0</v>
      </c>
      <c r="G36" s="92"/>
      <c r="H36" s="93">
        <v>230.0</v>
      </c>
      <c r="I36" s="92"/>
      <c r="J36" s="133">
        <v>2809.0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376.0</v>
      </c>
      <c r="G37" s="93"/>
      <c r="H37" s="92"/>
      <c r="I37" s="93">
        <v>376.0</v>
      </c>
      <c r="J37" s="133" t="s">
        <v>104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60.0</v>
      </c>
      <c r="G38" s="93">
        <v>60.0</v>
      </c>
      <c r="H38" s="92"/>
      <c r="I38" s="92"/>
      <c r="J38" s="133">
        <v>2811.0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356.0</v>
      </c>
      <c r="G39" s="93"/>
      <c r="H39" s="93">
        <v>356.0</v>
      </c>
      <c r="I39" s="92"/>
      <c r="J39" s="133">
        <v>2812.0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40.0</v>
      </c>
      <c r="G40" s="93">
        <v>40.0</v>
      </c>
      <c r="H40" s="93"/>
      <c r="I40" s="92"/>
      <c r="J40" s="133">
        <v>2813.0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36.0</v>
      </c>
      <c r="G41" s="93">
        <v>36.0</v>
      </c>
      <c r="H41" s="93"/>
      <c r="I41" s="92"/>
      <c r="J41" s="133">
        <v>2814.0</v>
      </c>
      <c r="K41" s="24"/>
      <c r="L41" s="193"/>
      <c r="M41" s="194" t="s">
        <v>179</v>
      </c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90.0</v>
      </c>
      <c r="G42" s="93">
        <v>90.0</v>
      </c>
      <c r="H42" s="93"/>
      <c r="I42" s="92"/>
      <c r="J42" s="133">
        <v>2815.0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169.0</v>
      </c>
      <c r="G43" s="93">
        <v>169.0</v>
      </c>
      <c r="H43" s="92"/>
      <c r="I43" s="92"/>
      <c r="J43" s="133">
        <v>2816.0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830.0</v>
      </c>
      <c r="G44" s="93">
        <v>830.0</v>
      </c>
      <c r="H44" s="93"/>
      <c r="I44" s="92"/>
      <c r="J44" s="133">
        <v>2817.0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726.0</v>
      </c>
      <c r="G45" s="93">
        <v>726.0</v>
      </c>
      <c r="H45" s="92"/>
      <c r="I45" s="92"/>
      <c r="J45" s="133">
        <v>2818.0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176.0</v>
      </c>
      <c r="G46" s="93">
        <v>176.0</v>
      </c>
      <c r="H46" s="92"/>
      <c r="I46" s="92"/>
      <c r="J46" s="133">
        <v>2819.0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363.0</v>
      </c>
      <c r="G47" s="92"/>
      <c r="H47" s="93">
        <v>363.0</v>
      </c>
      <c r="I47" s="92"/>
      <c r="J47" s="133">
        <v>2820.0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39.0</v>
      </c>
      <c r="G48" s="93">
        <v>39.0</v>
      </c>
      <c r="H48" s="92"/>
      <c r="I48" s="92"/>
      <c r="J48" s="133">
        <v>2821.0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337.0</v>
      </c>
      <c r="G49" s="93" t="s">
        <v>69</v>
      </c>
      <c r="H49" s="93">
        <v>337.0</v>
      </c>
      <c r="I49" s="92"/>
      <c r="J49" s="133">
        <v>2822.0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800.0</v>
      </c>
      <c r="G50" s="92"/>
      <c r="H50" s="93">
        <v>800.0</v>
      </c>
      <c r="I50" s="92"/>
      <c r="J50" s="133">
        <v>2823.0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30.0</v>
      </c>
      <c r="G51" s="93">
        <v>30.0</v>
      </c>
      <c r="H51" s="92"/>
      <c r="I51" s="92"/>
      <c r="J51" s="133">
        <v>2824.0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182.0</v>
      </c>
      <c r="G52" s="92"/>
      <c r="H52" s="93">
        <v>182.0</v>
      </c>
      <c r="I52" s="92"/>
      <c r="J52" s="133">
        <v>2825.0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80.0</v>
      </c>
      <c r="G53" s="92"/>
      <c r="H53" s="93">
        <v>80.0</v>
      </c>
      <c r="I53" s="92"/>
      <c r="J53" s="133">
        <v>2826.0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276.0</v>
      </c>
      <c r="G54" s="93" t="s">
        <v>69</v>
      </c>
      <c r="H54" s="92"/>
      <c r="I54" s="93">
        <v>276.0</v>
      </c>
      <c r="J54" s="133">
        <v>2827.0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153.0</v>
      </c>
      <c r="G55" s="93">
        <v>153.0</v>
      </c>
      <c r="H55" s="92"/>
      <c r="I55" s="92"/>
      <c r="J55" s="133">
        <v>2828.0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49.0</v>
      </c>
      <c r="G56" s="92"/>
      <c r="H56" s="93">
        <v>49.0</v>
      </c>
      <c r="I56" s="92"/>
      <c r="J56" s="133">
        <v>2829.0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120.0</v>
      </c>
      <c r="G57" s="93">
        <v>120.0</v>
      </c>
      <c r="H57" s="92"/>
      <c r="I57" s="92"/>
      <c r="J57" s="133">
        <v>2830.0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400.0</v>
      </c>
      <c r="G58" s="93">
        <v>400.0</v>
      </c>
      <c r="H58" s="92"/>
      <c r="I58" s="92"/>
      <c r="J58" s="133">
        <v>2831.0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10.0</v>
      </c>
      <c r="G59" s="93">
        <v>10.0</v>
      </c>
      <c r="H59" s="92"/>
      <c r="I59" s="92"/>
      <c r="J59" s="133">
        <v>2832.0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158.0</v>
      </c>
      <c r="G60" s="92"/>
      <c r="H60" s="93">
        <v>158.0</v>
      </c>
      <c r="I60" s="92"/>
      <c r="J60" s="133">
        <v>2833.0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130.0</v>
      </c>
      <c r="G61" s="93">
        <v>130.0</v>
      </c>
      <c r="H61" s="92"/>
      <c r="I61" s="92"/>
      <c r="J61" s="133">
        <v>2834.0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82.0</v>
      </c>
      <c r="G62" s="93">
        <v>82.0</v>
      </c>
      <c r="H62" s="92"/>
      <c r="I62" s="92"/>
      <c r="J62" s="133">
        <v>2835.0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10.0</v>
      </c>
      <c r="G63" s="93">
        <v>10.0</v>
      </c>
      <c r="H63" s="92"/>
      <c r="I63" s="92"/>
      <c r="J63" s="133">
        <v>2836.0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197.0</v>
      </c>
      <c r="G64" s="92"/>
      <c r="H64" s="93">
        <v>197.0</v>
      </c>
      <c r="I64" s="92"/>
      <c r="J64" s="133">
        <v>2837.0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100.0</v>
      </c>
      <c r="G65" s="93">
        <v>100.0</v>
      </c>
      <c r="H65" s="92"/>
      <c r="I65" s="92"/>
      <c r="J65" s="133">
        <v>2838.0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716.0</v>
      </c>
      <c r="G66" s="92"/>
      <c r="H66" s="93">
        <v>716.0</v>
      </c>
      <c r="I66" s="92"/>
      <c r="J66" s="133">
        <v>2839.0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33.0</v>
      </c>
      <c r="G67" s="92"/>
      <c r="H67" s="93">
        <v>33.0</v>
      </c>
      <c r="I67" s="92"/>
      <c r="J67" s="133">
        <v>2840.0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101.0</v>
      </c>
      <c r="G68" s="92"/>
      <c r="H68" s="93">
        <v>101.0</v>
      </c>
      <c r="I68" s="92"/>
      <c r="J68" s="133">
        <v>2841.0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133">
        <v>2842.0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133">
        <v>2843.0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133">
        <v>2844.0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133">
        <v>2845.0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133">
        <v>2846.0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133">
        <v>2847.0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133">
        <v>2848.0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133">
        <v>2849.0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33">
        <v>2850.0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33">
        <v>2851.0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33">
        <v>2852.0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3">
        <v>2853.0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33">
        <v>2854.0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33">
        <v>2855.0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3">
        <v>2856.0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3">
        <v>2857.0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3">
        <v>2858.0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3">
        <v>2859.0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3">
        <v>2860.0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3">
        <v>2861.0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3">
        <v>2862.0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3">
        <v>2863.0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3">
        <v>2864.0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3">
        <v>2865.0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54" t="s">
        <v>69</v>
      </c>
      <c r="I93" s="61"/>
      <c r="J93" s="133">
        <v>2866.0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54" t="s">
        <v>69</v>
      </c>
      <c r="I94" s="61"/>
      <c r="J94" s="133">
        <v>2867.0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54">
        <v>650.0</v>
      </c>
      <c r="I95" s="61"/>
      <c r="J95" s="133" t="s">
        <v>122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133">
        <v>2869.0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16595</v>
      </c>
      <c r="G97" s="123">
        <f t="shared" si="4"/>
        <v>6522</v>
      </c>
      <c r="H97" s="123">
        <f t="shared" si="4"/>
        <v>8921</v>
      </c>
      <c r="I97" s="123">
        <f t="shared" si="4"/>
        <v>1802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45988.0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17968.0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10656.0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31070.0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19297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11299</v>
      </c>
      <c r="D10" s="24"/>
      <c r="E10" s="43">
        <v>1.0</v>
      </c>
      <c r="F10" s="44">
        <v>330.0</v>
      </c>
      <c r="G10" s="145">
        <v>30.0</v>
      </c>
      <c r="H10" s="45">
        <v>300.0</v>
      </c>
      <c r="I10" s="45"/>
      <c r="J10" s="133">
        <v>2842.0</v>
      </c>
      <c r="K10" s="24"/>
      <c r="L10" s="47">
        <v>1150.0</v>
      </c>
      <c r="M10" s="47"/>
      <c r="N10" s="47">
        <v>2806.0</v>
      </c>
      <c r="O10" s="49"/>
      <c r="P10" s="85" t="s">
        <v>85</v>
      </c>
      <c r="Q10" s="51"/>
      <c r="R10" s="52">
        <v>20.0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5104</v>
      </c>
      <c r="D11" s="24"/>
      <c r="E11" s="43">
        <v>2.0</v>
      </c>
      <c r="F11" s="56">
        <v>139.0</v>
      </c>
      <c r="G11" s="179">
        <v>139.0</v>
      </c>
      <c r="H11" s="58"/>
      <c r="I11" s="59"/>
      <c r="J11" s="133">
        <v>2843.0</v>
      </c>
      <c r="K11" s="24"/>
      <c r="L11" s="48"/>
      <c r="M11" s="47">
        <v>276.0</v>
      </c>
      <c r="N11" s="47">
        <v>2827.0</v>
      </c>
      <c r="O11" s="49"/>
      <c r="P11" s="72" t="s">
        <v>171</v>
      </c>
      <c r="Q11" s="51"/>
      <c r="R11" s="52">
        <v>1000.0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2894</v>
      </c>
      <c r="D12" s="24"/>
      <c r="E12" s="43">
        <v>3.0</v>
      </c>
      <c r="F12" s="63">
        <v>115.0</v>
      </c>
      <c r="G12" s="141">
        <v>115.0</v>
      </c>
      <c r="H12" s="64"/>
      <c r="I12" s="65"/>
      <c r="J12" s="133">
        <v>2844.0</v>
      </c>
      <c r="K12" s="24"/>
      <c r="L12" s="48"/>
      <c r="M12" s="48"/>
      <c r="N12" s="48"/>
      <c r="O12" s="49"/>
      <c r="P12" s="72" t="s">
        <v>67</v>
      </c>
      <c r="Q12" s="51"/>
      <c r="R12" s="52">
        <v>200.0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1150</v>
      </c>
      <c r="D13" s="24"/>
      <c r="E13" s="43">
        <v>4.0</v>
      </c>
      <c r="F13" s="56">
        <v>600.0</v>
      </c>
      <c r="G13" s="141">
        <v>600.0</v>
      </c>
      <c r="H13" s="65"/>
      <c r="I13" s="65"/>
      <c r="J13" s="133">
        <v>2845.0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276</v>
      </c>
      <c r="D14" s="24"/>
      <c r="E14" s="43">
        <v>5.0</v>
      </c>
      <c r="F14" s="56">
        <v>30.0</v>
      </c>
      <c r="G14" s="141">
        <v>30.0</v>
      </c>
      <c r="H14" s="65"/>
      <c r="I14" s="65"/>
      <c r="J14" s="133">
        <v>2846.0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125.0</v>
      </c>
      <c r="G15" s="64"/>
      <c r="H15" s="64">
        <v>125.0</v>
      </c>
      <c r="I15" s="65"/>
      <c r="J15" s="133">
        <v>2847.0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1220</v>
      </c>
      <c r="D16" s="24"/>
      <c r="E16" s="43">
        <v>7.0</v>
      </c>
      <c r="F16" s="56">
        <v>100.0</v>
      </c>
      <c r="G16" s="141">
        <v>100.0</v>
      </c>
      <c r="H16" s="64"/>
      <c r="I16" s="65"/>
      <c r="J16" s="133">
        <v>2848.0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1220</v>
      </c>
      <c r="D17" s="24"/>
      <c r="E17" s="43">
        <v>8.0</v>
      </c>
      <c r="F17" s="56">
        <v>317.0</v>
      </c>
      <c r="G17" s="65"/>
      <c r="H17" s="64"/>
      <c r="I17" s="64">
        <v>317.0</v>
      </c>
      <c r="J17" s="133" t="s">
        <v>180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26.0</v>
      </c>
      <c r="G18" s="64">
        <v>26.0</v>
      </c>
      <c r="H18" s="64"/>
      <c r="I18" s="65"/>
      <c r="J18" s="133">
        <v>2850.0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243.0</v>
      </c>
      <c r="G19" s="64">
        <v>243.0</v>
      </c>
      <c r="H19" s="65"/>
      <c r="I19" s="65"/>
      <c r="J19" s="133">
        <v>2851.0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32538</v>
      </c>
      <c r="D20" s="24"/>
      <c r="E20" s="43">
        <v>11.0</v>
      </c>
      <c r="F20" s="56">
        <v>615.0</v>
      </c>
      <c r="G20" s="64"/>
      <c r="H20" s="64">
        <v>615.0</v>
      </c>
      <c r="I20" s="65"/>
      <c r="J20" s="133">
        <v>2852.0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5380</v>
      </c>
      <c r="D21" s="24"/>
      <c r="E21" s="43">
        <v>12.0</v>
      </c>
      <c r="F21" s="56">
        <v>130.0</v>
      </c>
      <c r="G21" s="64">
        <v>130.0</v>
      </c>
      <c r="H21" s="64"/>
      <c r="I21" s="65"/>
      <c r="J21" s="133">
        <v>2853.0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25697</v>
      </c>
      <c r="D22" s="24"/>
      <c r="E22" s="43">
        <v>13.0</v>
      </c>
      <c r="F22" s="56">
        <v>223.0</v>
      </c>
      <c r="G22" s="64">
        <v>220.0</v>
      </c>
      <c r="H22" s="64">
        <v>3.0</v>
      </c>
      <c r="I22" s="65"/>
      <c r="J22" s="133">
        <v>2854.0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26039.0</v>
      </c>
      <c r="D23" s="24"/>
      <c r="E23" s="43">
        <v>14.0</v>
      </c>
      <c r="F23" s="56">
        <v>358.0</v>
      </c>
      <c r="G23" s="64"/>
      <c r="H23" s="64">
        <v>358.0</v>
      </c>
      <c r="I23" s="65"/>
      <c r="J23" s="133">
        <v>2855.0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-342</v>
      </c>
      <c r="D24" s="24"/>
      <c r="E24" s="43">
        <v>15.0</v>
      </c>
      <c r="F24" s="56">
        <v>410.0</v>
      </c>
      <c r="G24" s="64">
        <v>410.0</v>
      </c>
      <c r="H24" s="65"/>
      <c r="I24" s="65"/>
      <c r="J24" s="133">
        <v>2856.0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600.0</v>
      </c>
      <c r="G25" s="64">
        <v>600.0</v>
      </c>
      <c r="H25" s="65"/>
      <c r="I25" s="65"/>
      <c r="J25" s="133">
        <v>2857.0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19297</v>
      </c>
      <c r="D26" s="24"/>
      <c r="E26" s="43">
        <v>17.0</v>
      </c>
      <c r="F26" s="56">
        <v>1494.0</v>
      </c>
      <c r="G26" s="64">
        <v>1494.0</v>
      </c>
      <c r="H26" s="65"/>
      <c r="I26" s="65"/>
      <c r="J26" s="133">
        <v>2858.0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59.0</v>
      </c>
      <c r="D27" s="24"/>
      <c r="E27" s="43">
        <v>18.0</v>
      </c>
      <c r="F27" s="56">
        <v>131.0</v>
      </c>
      <c r="G27" s="64"/>
      <c r="H27" s="64">
        <v>131.0</v>
      </c>
      <c r="I27" s="65"/>
      <c r="J27" s="133">
        <v>2859.0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327.0677966</v>
      </c>
      <c r="D28" s="24"/>
      <c r="E28" s="43">
        <v>19.0</v>
      </c>
      <c r="F28" s="56">
        <v>305.0</v>
      </c>
      <c r="G28" s="64">
        <v>305.0</v>
      </c>
      <c r="H28" s="65"/>
      <c r="I28" s="65"/>
      <c r="J28" s="133">
        <v>2860.0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237.0</v>
      </c>
      <c r="G29" s="64"/>
      <c r="H29" s="65"/>
      <c r="I29" s="64">
        <v>237.0</v>
      </c>
      <c r="J29" s="133" t="s">
        <v>181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90.0</v>
      </c>
      <c r="G30" s="93">
        <v>90.0</v>
      </c>
      <c r="H30" s="92"/>
      <c r="I30" s="93"/>
      <c r="J30" s="133">
        <v>2862.0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10656</v>
      </c>
      <c r="D31" s="24"/>
      <c r="E31" s="43">
        <v>22.0</v>
      </c>
      <c r="F31" s="56">
        <v>64.0</v>
      </c>
      <c r="G31" s="93">
        <v>64.0</v>
      </c>
      <c r="H31" s="92"/>
      <c r="I31" s="92"/>
      <c r="J31" s="133">
        <v>2863.0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1220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74.0</v>
      </c>
      <c r="G32" s="93"/>
      <c r="H32" s="93">
        <v>74.0</v>
      </c>
      <c r="I32" s="92"/>
      <c r="J32" s="133">
        <v>2864.0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409.0</v>
      </c>
      <c r="G33" s="93">
        <v>409.0</v>
      </c>
      <c r="H33" s="92"/>
      <c r="I33" s="92"/>
      <c r="J33" s="133">
        <v>2865.0</v>
      </c>
      <c r="K33" s="24"/>
      <c r="L33" s="104">
        <f t="shared" ref="L33:M33" si="2">sum(L10:L32)</f>
        <v>1150</v>
      </c>
      <c r="M33" s="104">
        <f t="shared" si="2"/>
        <v>276</v>
      </c>
      <c r="N33" s="104"/>
      <c r="O33" s="105"/>
      <c r="P33" s="85" t="s">
        <v>38</v>
      </c>
      <c r="Q33" s="51"/>
      <c r="R33" s="100"/>
      <c r="S33" s="52">
        <v>10656.0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179.0</v>
      </c>
      <c r="G34" s="93">
        <v>179.0</v>
      </c>
      <c r="H34" s="92"/>
      <c r="I34" s="92"/>
      <c r="J34" s="133">
        <v>2866.0</v>
      </c>
      <c r="K34" s="24"/>
      <c r="L34" s="106"/>
      <c r="M34" s="106"/>
      <c r="N34" s="106"/>
      <c r="O34" s="106"/>
      <c r="P34" s="85" t="s">
        <v>40</v>
      </c>
      <c r="Q34" s="107"/>
      <c r="R34" s="138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45.0</v>
      </c>
      <c r="G35" s="93">
        <v>45.0</v>
      </c>
      <c r="H35" s="93"/>
      <c r="I35" s="92"/>
      <c r="J35" s="133">
        <v>2867.0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197.0</v>
      </c>
      <c r="G36" s="93">
        <v>197.0</v>
      </c>
      <c r="H36" s="93"/>
      <c r="I36" s="92"/>
      <c r="J36" s="133">
        <v>2868.0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224.0</v>
      </c>
      <c r="G37" s="93">
        <v>224.0</v>
      </c>
      <c r="H37" s="92"/>
      <c r="I37" s="92"/>
      <c r="J37" s="133">
        <v>2869.0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321.0</v>
      </c>
      <c r="G38" s="93">
        <v>321.0</v>
      </c>
      <c r="H38" s="92"/>
      <c r="I38" s="92"/>
      <c r="J38" s="133">
        <v>2870.0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377.0</v>
      </c>
      <c r="G39" s="93">
        <v>377.0</v>
      </c>
      <c r="H39" s="93"/>
      <c r="I39" s="92"/>
      <c r="J39" s="133">
        <v>2871.0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1100.0</v>
      </c>
      <c r="G40" s="93">
        <v>1100.0</v>
      </c>
      <c r="H40" s="93"/>
      <c r="I40" s="92"/>
      <c r="J40" s="133">
        <v>2872.0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178.0</v>
      </c>
      <c r="G41" s="93">
        <v>178.0</v>
      </c>
      <c r="H41" s="93"/>
      <c r="I41" s="92"/>
      <c r="J41" s="133">
        <v>2873.0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165.0</v>
      </c>
      <c r="G42" s="93">
        <v>165.0</v>
      </c>
      <c r="H42" s="93"/>
      <c r="I42" s="92"/>
      <c r="J42" s="133">
        <v>2874.0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149.0</v>
      </c>
      <c r="G43" s="93">
        <v>149.0</v>
      </c>
      <c r="H43" s="92"/>
      <c r="I43" s="92"/>
      <c r="J43" s="133">
        <v>2875.0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148.0</v>
      </c>
      <c r="G44" s="93" t="s">
        <v>69</v>
      </c>
      <c r="H44" s="93">
        <v>148.0</v>
      </c>
      <c r="I44" s="92"/>
      <c r="J44" s="133">
        <v>2876.0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415.0</v>
      </c>
      <c r="G45" s="93"/>
      <c r="H45" s="137">
        <v>415.0</v>
      </c>
      <c r="I45" s="92"/>
      <c r="J45" s="133" t="s">
        <v>182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67.0</v>
      </c>
      <c r="G46" s="93">
        <v>67.0</v>
      </c>
      <c r="H46" s="92"/>
      <c r="I46" s="92"/>
      <c r="J46" s="133">
        <v>2878.0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44.0</v>
      </c>
      <c r="G47" s="93">
        <v>44.0</v>
      </c>
      <c r="H47" s="93"/>
      <c r="I47" s="92"/>
      <c r="J47" s="133">
        <v>2879.0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14.0</v>
      </c>
      <c r="G48" s="93">
        <v>14.0</v>
      </c>
      <c r="H48" s="92"/>
      <c r="I48" s="92"/>
      <c r="J48" s="133">
        <v>2880.0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688.0</v>
      </c>
      <c r="G49" s="93">
        <v>688.0</v>
      </c>
      <c r="H49" s="92"/>
      <c r="I49" s="92"/>
      <c r="J49" s="133">
        <v>2881.0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182.0</v>
      </c>
      <c r="G50" s="93">
        <v>182.0</v>
      </c>
      <c r="H50" s="93"/>
      <c r="I50" s="92"/>
      <c r="J50" s="133">
        <v>2882.0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179.0</v>
      </c>
      <c r="G51" s="93">
        <v>120.0</v>
      </c>
      <c r="H51" s="93">
        <v>59.0</v>
      </c>
      <c r="I51" s="92"/>
      <c r="J51" s="133">
        <v>2883.0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468.0</v>
      </c>
      <c r="G52" s="93">
        <v>468.0</v>
      </c>
      <c r="H52" s="92"/>
      <c r="I52" s="92"/>
      <c r="J52" s="133">
        <v>2884.0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54.0</v>
      </c>
      <c r="G53" s="93">
        <v>54.0</v>
      </c>
      <c r="H53" s="92"/>
      <c r="I53" s="92"/>
      <c r="J53" s="133">
        <v>2885.0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472.0</v>
      </c>
      <c r="G54" s="93">
        <v>472.0</v>
      </c>
      <c r="H54" s="92"/>
      <c r="I54" s="92"/>
      <c r="J54" s="133">
        <v>2886.0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2340.0</v>
      </c>
      <c r="G55" s="92"/>
      <c r="H55" s="92"/>
      <c r="I55" s="93">
        <v>2340.0</v>
      </c>
      <c r="J55" s="133">
        <v>2887.0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348.0</v>
      </c>
      <c r="G56" s="92"/>
      <c r="H56" s="93">
        <v>348.0</v>
      </c>
      <c r="I56" s="92"/>
      <c r="J56" s="133">
        <v>2888.0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764.0</v>
      </c>
      <c r="G57" s="93">
        <v>764.0</v>
      </c>
      <c r="H57" s="92"/>
      <c r="I57" s="92"/>
      <c r="J57" s="133">
        <v>2889.0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223.0</v>
      </c>
      <c r="G58" s="93">
        <v>223.0</v>
      </c>
      <c r="H58" s="92"/>
      <c r="I58" s="92"/>
      <c r="J58" s="133">
        <v>2890.0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38.0</v>
      </c>
      <c r="G59" s="93">
        <v>38.0</v>
      </c>
      <c r="H59" s="92"/>
      <c r="I59" s="92"/>
      <c r="J59" s="133">
        <v>2891.0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915.0</v>
      </c>
      <c r="G60" s="92"/>
      <c r="H60" s="93">
        <v>915.0</v>
      </c>
      <c r="I60" s="92"/>
      <c r="J60" s="133">
        <v>2892.0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20.0</v>
      </c>
      <c r="G61" s="93">
        <v>20.0</v>
      </c>
      <c r="H61" s="92"/>
      <c r="I61" s="92"/>
      <c r="J61" s="133">
        <v>2893.0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27.0</v>
      </c>
      <c r="G62" s="93">
        <v>27.0</v>
      </c>
      <c r="H62" s="92"/>
      <c r="I62" s="92"/>
      <c r="J62" s="133">
        <v>2894.0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33.0</v>
      </c>
      <c r="G63" s="93">
        <v>33.0</v>
      </c>
      <c r="H63" s="92"/>
      <c r="I63" s="92"/>
      <c r="J63" s="133">
        <v>2895.0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99.0</v>
      </c>
      <c r="G64" s="92"/>
      <c r="H64" s="93">
        <v>99.0</v>
      </c>
      <c r="I64" s="92"/>
      <c r="J64" s="133">
        <v>2896.0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1241.0</v>
      </c>
      <c r="G65" s="92"/>
      <c r="H65" s="93">
        <v>1241.0</v>
      </c>
      <c r="I65" s="92"/>
      <c r="J65" s="133">
        <v>2897.0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13.0</v>
      </c>
      <c r="G66" s="92"/>
      <c r="H66" s="93">
        <v>13.0</v>
      </c>
      <c r="I66" s="92"/>
      <c r="J66" s="133">
        <v>2898.0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145.0</v>
      </c>
      <c r="G67" s="93">
        <v>145.0</v>
      </c>
      <c r="H67" s="92"/>
      <c r="I67" s="92"/>
      <c r="J67" s="133">
        <v>2899.0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260.0</v>
      </c>
      <c r="G68" s="92"/>
      <c r="H68" s="93">
        <v>260.0</v>
      </c>
      <c r="I68" s="92"/>
      <c r="J68" s="133">
        <v>2900.0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133">
        <v>2901.0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133">
        <v>2902.0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133">
        <v>2903.0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133">
        <v>2904.0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133">
        <v>2905.0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133">
        <v>2906.0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133">
        <v>2907.0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133">
        <v>2908.0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33">
        <v>2909.0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33">
        <v>2910.0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33">
        <v>2911.0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3">
        <v>2912.0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33">
        <v>2913.0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33">
        <v>2914.0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3">
        <v>2915.0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3">
        <v>2916.0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3">
        <v>2917.0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3">
        <v>2918.0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3">
        <v>2919.0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3">
        <v>2920.0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3">
        <v>2921.0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3">
        <v>2922.0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3">
        <v>2923.0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54">
        <v>0.0</v>
      </c>
      <c r="I92" s="61"/>
      <c r="J92" s="133">
        <v>2924.0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3">
        <v>2925.0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I94" s="61"/>
      <c r="J94" s="133">
        <v>2926.0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G97" si="4">SUM(F10:F96)</f>
        <v>19297</v>
      </c>
      <c r="G97" s="123">
        <f t="shared" si="4"/>
        <v>11299</v>
      </c>
      <c r="H97" s="123">
        <f>SUM(H10:H95)</f>
        <v>5104</v>
      </c>
      <c r="I97" s="123">
        <f>SUM(I10:I96)</f>
        <v>2894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45989.0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25697.0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5380.0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32538.0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23563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13481</v>
      </c>
      <c r="D10" s="24"/>
      <c r="E10" s="43">
        <v>1.0</v>
      </c>
      <c r="F10" s="44">
        <v>1442.0</v>
      </c>
      <c r="G10" s="45">
        <v>1442.0</v>
      </c>
      <c r="H10" s="45"/>
      <c r="I10" s="45"/>
      <c r="J10" s="133">
        <v>2901.0</v>
      </c>
      <c r="K10" s="24"/>
      <c r="L10" s="47">
        <v>237.0</v>
      </c>
      <c r="M10" s="47"/>
      <c r="N10" s="47">
        <v>2861.0</v>
      </c>
      <c r="O10" s="49"/>
      <c r="P10" s="85" t="s">
        <v>161</v>
      </c>
      <c r="Q10" s="51"/>
      <c r="R10" s="52">
        <v>1000.0</v>
      </c>
      <c r="S10" s="53"/>
      <c r="T10" s="54"/>
      <c r="U10" s="55"/>
      <c r="V10" s="24"/>
      <c r="W10" s="47">
        <v>264.0</v>
      </c>
      <c r="X10" s="47"/>
      <c r="Y10" s="47" t="s">
        <v>183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7668</v>
      </c>
      <c r="D11" s="24"/>
      <c r="E11" s="43">
        <v>2.0</v>
      </c>
      <c r="F11" s="56">
        <v>750.0</v>
      </c>
      <c r="G11" s="57">
        <v>750.0</v>
      </c>
      <c r="H11" s="58"/>
      <c r="I11" s="59"/>
      <c r="J11" s="133">
        <v>2902.0</v>
      </c>
      <c r="K11" s="24"/>
      <c r="L11" s="47">
        <v>2340.0</v>
      </c>
      <c r="M11" s="48"/>
      <c r="N11" s="47">
        <v>2887.0</v>
      </c>
      <c r="O11" s="49"/>
      <c r="P11" s="72" t="s">
        <v>184</v>
      </c>
      <c r="Q11" s="51"/>
      <c r="R11" s="52">
        <v>150.0</v>
      </c>
      <c r="S11" s="53"/>
      <c r="T11" s="61"/>
      <c r="U11" s="62"/>
      <c r="V11" s="24"/>
      <c r="W11" s="47">
        <v>730.0</v>
      </c>
      <c r="X11" s="47"/>
      <c r="Y11" s="47" t="s">
        <v>185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2414</v>
      </c>
      <c r="D12" s="24"/>
      <c r="E12" s="43">
        <v>3.0</v>
      </c>
      <c r="F12" s="63">
        <v>166.0</v>
      </c>
      <c r="G12" s="64"/>
      <c r="H12" s="64"/>
      <c r="I12" s="64">
        <v>166.0</v>
      </c>
      <c r="J12" s="133" t="s">
        <v>186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2577</v>
      </c>
      <c r="D13" s="24"/>
      <c r="E13" s="43">
        <v>4.0</v>
      </c>
      <c r="F13" s="56">
        <v>10.0</v>
      </c>
      <c r="G13" s="64">
        <v>10.0</v>
      </c>
      <c r="H13" s="65"/>
      <c r="I13" s="65"/>
      <c r="J13" s="133">
        <v>2904.0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20.0</v>
      </c>
      <c r="G14" s="64">
        <v>20.0</v>
      </c>
      <c r="H14" s="65"/>
      <c r="I14" s="65"/>
      <c r="J14" s="133">
        <v>2905.0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994</v>
      </c>
      <c r="D15" s="24"/>
      <c r="E15" s="43">
        <v>6.0</v>
      </c>
      <c r="F15" s="56">
        <v>399.0</v>
      </c>
      <c r="G15" s="64">
        <v>399.0</v>
      </c>
      <c r="H15" s="64"/>
      <c r="I15" s="65"/>
      <c r="J15" s="133">
        <v>2906.0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1150</v>
      </c>
      <c r="D16" s="24"/>
      <c r="E16" s="43">
        <v>7.0</v>
      </c>
      <c r="F16" s="56">
        <v>253.0</v>
      </c>
      <c r="G16" s="64">
        <v>253.0</v>
      </c>
      <c r="H16" s="64"/>
      <c r="I16" s="65"/>
      <c r="J16" s="133">
        <v>2907.0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1150</v>
      </c>
      <c r="D17" s="24"/>
      <c r="E17" s="43">
        <v>8.0</v>
      </c>
      <c r="F17" s="56">
        <v>199.0</v>
      </c>
      <c r="G17" s="64">
        <v>199.0</v>
      </c>
      <c r="H17" s="64"/>
      <c r="I17" s="65"/>
      <c r="J17" s="133">
        <v>2908.0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199.0</v>
      </c>
      <c r="G18" s="64"/>
      <c r="H18" s="64">
        <v>199.0</v>
      </c>
      <c r="I18" s="65"/>
      <c r="J18" s="133">
        <v>2909.0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50.0</v>
      </c>
      <c r="G19" s="64">
        <v>50.0</v>
      </c>
      <c r="H19" s="65"/>
      <c r="I19" s="65"/>
      <c r="J19" s="133">
        <v>2910.0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32375</v>
      </c>
      <c r="D20" s="24"/>
      <c r="E20" s="43">
        <v>11.0</v>
      </c>
      <c r="F20" s="56">
        <v>211.0</v>
      </c>
      <c r="G20" s="64"/>
      <c r="H20" s="64">
        <v>211.0</v>
      </c>
      <c r="I20" s="65"/>
      <c r="J20" s="133">
        <v>2911.0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7668</v>
      </c>
      <c r="D21" s="24"/>
      <c r="E21" s="43">
        <v>12.0</v>
      </c>
      <c r="F21" s="56">
        <v>1554.0</v>
      </c>
      <c r="G21" s="64"/>
      <c r="H21" s="64">
        <v>1554.0</v>
      </c>
      <c r="I21" s="65"/>
      <c r="J21" s="133">
        <v>2912.0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37105</v>
      </c>
      <c r="D22" s="24"/>
      <c r="E22" s="43">
        <v>13.0</v>
      </c>
      <c r="F22" s="56">
        <v>154.0</v>
      </c>
      <c r="G22" s="64">
        <v>154.0</v>
      </c>
      <c r="H22" s="64"/>
      <c r="I22" s="65"/>
      <c r="J22" s="133">
        <v>2913.0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37667.0</v>
      </c>
      <c r="D23" s="24"/>
      <c r="E23" s="43">
        <v>14.0</v>
      </c>
      <c r="F23" s="56">
        <v>86.0</v>
      </c>
      <c r="G23" s="64">
        <v>86.0</v>
      </c>
      <c r="H23" s="65"/>
      <c r="I23" s="65"/>
      <c r="J23" s="133">
        <v>2914.0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-562</v>
      </c>
      <c r="D24" s="24"/>
      <c r="E24" s="43">
        <v>15.0</v>
      </c>
      <c r="F24" s="56">
        <v>220.0</v>
      </c>
      <c r="G24" s="64"/>
      <c r="H24" s="64">
        <v>220.0</v>
      </c>
      <c r="I24" s="65"/>
      <c r="J24" s="133">
        <v>2915.0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52.0</v>
      </c>
      <c r="G25" s="64"/>
      <c r="H25" s="64">
        <v>52.0</v>
      </c>
      <c r="I25" s="65"/>
      <c r="J25" s="133">
        <v>2916.0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24557</v>
      </c>
      <c r="D26" s="24"/>
      <c r="E26" s="43">
        <v>17.0</v>
      </c>
      <c r="F26" s="56">
        <v>115.0</v>
      </c>
      <c r="G26" s="64"/>
      <c r="H26" s="64">
        <v>115.0</v>
      </c>
      <c r="I26" s="65"/>
      <c r="J26" s="133">
        <v>2917.0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79.0</v>
      </c>
      <c r="D27" s="24"/>
      <c r="E27" s="43">
        <v>18.0</v>
      </c>
      <c r="F27" s="56">
        <v>129.0</v>
      </c>
      <c r="G27" s="64"/>
      <c r="H27" s="64">
        <v>129.0</v>
      </c>
      <c r="I27" s="65"/>
      <c r="J27" s="133">
        <v>2918.0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310.8481013</v>
      </c>
      <c r="D28" s="24"/>
      <c r="E28" s="43">
        <v>19.0</v>
      </c>
      <c r="F28" s="56">
        <v>249.0</v>
      </c>
      <c r="G28" s="64">
        <v>249.0</v>
      </c>
      <c r="H28" s="65"/>
      <c r="I28" s="65"/>
      <c r="J28" s="133">
        <v>2919.0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145.0</v>
      </c>
      <c r="G29" s="64"/>
      <c r="H29" s="64">
        <v>145.0</v>
      </c>
      <c r="I29" s="65"/>
      <c r="J29" s="133">
        <v>2920.0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27.0</v>
      </c>
      <c r="G30" s="93">
        <v>27.0</v>
      </c>
      <c r="H30" s="92"/>
      <c r="I30" s="93"/>
      <c r="J30" s="133">
        <v>2921.0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5380</v>
      </c>
      <c r="D31" s="24"/>
      <c r="E31" s="43">
        <v>22.0</v>
      </c>
      <c r="F31" s="56">
        <v>250.0</v>
      </c>
      <c r="G31" s="93"/>
      <c r="H31" s="92"/>
      <c r="I31" s="93">
        <v>250.0</v>
      </c>
      <c r="J31" s="133" t="s">
        <v>187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1150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190.0</v>
      </c>
      <c r="G32" s="93">
        <v>190.0</v>
      </c>
      <c r="H32" s="92"/>
      <c r="I32" s="92"/>
      <c r="J32" s="133">
        <v>2923.0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1068.0</v>
      </c>
      <c r="G33" s="93"/>
      <c r="H33" s="93">
        <v>1068.0</v>
      </c>
      <c r="I33" s="92"/>
      <c r="J33" s="133">
        <v>2924.0</v>
      </c>
      <c r="K33" s="24"/>
      <c r="L33" s="104">
        <f t="shared" ref="L33:M33" si="2">sum(L10:L32)</f>
        <v>2577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5380.0</v>
      </c>
      <c r="T33" s="101"/>
      <c r="U33" s="55"/>
      <c r="V33" s="24"/>
      <c r="W33" s="104">
        <f t="shared" ref="W33:X33" si="3">sum(W10:W32)</f>
        <v>994</v>
      </c>
      <c r="X33" s="104">
        <f t="shared" si="3"/>
        <v>0</v>
      </c>
      <c r="Y33" s="104">
        <f>W33+X33</f>
        <v>994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40.0</v>
      </c>
      <c r="G34" s="93">
        <v>40.0</v>
      </c>
      <c r="H34" s="92"/>
      <c r="I34" s="92"/>
      <c r="J34" s="133">
        <v>2925.0</v>
      </c>
      <c r="K34" s="24"/>
      <c r="L34" s="106"/>
      <c r="M34" s="106"/>
      <c r="N34" s="106"/>
      <c r="O34" s="106"/>
      <c r="P34" s="85" t="s">
        <v>40</v>
      </c>
      <c r="Q34" s="107"/>
      <c r="R34" s="138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377.0</v>
      </c>
      <c r="G35" s="92"/>
      <c r="H35" s="93"/>
      <c r="I35" s="93">
        <v>377.0</v>
      </c>
      <c r="J35" s="133" t="s">
        <v>188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58.0</v>
      </c>
      <c r="G36" s="93">
        <v>58.0</v>
      </c>
      <c r="H36" s="93"/>
      <c r="I36" s="92"/>
      <c r="J36" s="133">
        <v>2927.0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1454.0</v>
      </c>
      <c r="G37" s="93">
        <v>1454.0</v>
      </c>
      <c r="H37" s="92"/>
      <c r="I37" s="92"/>
      <c r="J37" s="133">
        <v>2928.0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251.0</v>
      </c>
      <c r="G38" s="93">
        <v>251.0</v>
      </c>
      <c r="H38" s="92"/>
      <c r="I38" s="92"/>
      <c r="J38" s="133">
        <v>2929.0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36.0</v>
      </c>
      <c r="G39" s="93">
        <v>36.0</v>
      </c>
      <c r="H39" s="93"/>
      <c r="I39" s="92"/>
      <c r="J39" s="133">
        <v>2930.0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63.0</v>
      </c>
      <c r="G40" s="92"/>
      <c r="H40" s="93">
        <v>63.0</v>
      </c>
      <c r="I40" s="92"/>
      <c r="J40" s="133">
        <v>2931.0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328.0</v>
      </c>
      <c r="G41" s="93">
        <v>328.0</v>
      </c>
      <c r="H41" s="93"/>
      <c r="I41" s="92"/>
      <c r="J41" s="133">
        <v>2932.0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728.0</v>
      </c>
      <c r="G42" s="93">
        <v>728.0</v>
      </c>
      <c r="H42" s="93"/>
      <c r="I42" s="92"/>
      <c r="J42" s="133">
        <v>2933.0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10.0</v>
      </c>
      <c r="G43" s="93">
        <v>10.0</v>
      </c>
      <c r="H43" s="92"/>
      <c r="I43" s="92"/>
      <c r="J43" s="133">
        <v>2934.0</v>
      </c>
      <c r="K43" s="24"/>
      <c r="L43" s="112"/>
      <c r="M43" s="147">
        <v>0.0</v>
      </c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153.0</v>
      </c>
      <c r="G44" s="93">
        <v>153.0</v>
      </c>
      <c r="H44" s="93"/>
      <c r="I44" s="92"/>
      <c r="J44" s="133">
        <v>2935.0</v>
      </c>
      <c r="K44" s="195" t="s">
        <v>69</v>
      </c>
      <c r="L44" s="187" t="s">
        <v>189</v>
      </c>
      <c r="M44" s="147">
        <v>220.0</v>
      </c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1590.0</v>
      </c>
      <c r="G45" s="93">
        <v>1590.0</v>
      </c>
      <c r="H45" s="92"/>
      <c r="I45" s="92"/>
      <c r="J45" s="133">
        <v>2936.0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548.0</v>
      </c>
      <c r="G46" s="93"/>
      <c r="H46" s="93">
        <v>548.0</v>
      </c>
      <c r="I46" s="92"/>
      <c r="J46" s="133">
        <v>2937.0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385.0</v>
      </c>
      <c r="G47" s="93">
        <v>385.0</v>
      </c>
      <c r="H47" s="93"/>
      <c r="I47" s="92"/>
      <c r="J47" s="133">
        <v>2938.0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201.0</v>
      </c>
      <c r="G48" s="93">
        <v>201.0</v>
      </c>
      <c r="H48" s="92"/>
      <c r="I48" s="92"/>
      <c r="J48" s="133">
        <v>2939.0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115.0</v>
      </c>
      <c r="G49" s="92"/>
      <c r="H49" s="93">
        <v>115.0</v>
      </c>
      <c r="I49" s="92"/>
      <c r="J49" s="133">
        <v>2940.0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470.0</v>
      </c>
      <c r="G50" s="93">
        <v>470.0</v>
      </c>
      <c r="H50" s="93"/>
      <c r="I50" s="92"/>
      <c r="J50" s="133">
        <v>2941.0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60.0</v>
      </c>
      <c r="G51" s="93">
        <v>60.0</v>
      </c>
      <c r="H51" s="92"/>
      <c r="I51" s="92"/>
      <c r="J51" s="133">
        <v>2942.0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97.0</v>
      </c>
      <c r="G52" s="93">
        <v>97.0</v>
      </c>
      <c r="H52" s="92"/>
      <c r="I52" s="92"/>
      <c r="J52" s="133">
        <v>2943.0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692.0</v>
      </c>
      <c r="G53" s="93">
        <v>692.0</v>
      </c>
      <c r="H53" s="92"/>
      <c r="I53" s="92"/>
      <c r="J53" s="133">
        <v>2944.0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18.0</v>
      </c>
      <c r="G54" s="93" t="s">
        <v>69</v>
      </c>
      <c r="H54" s="93">
        <v>18.0</v>
      </c>
      <c r="I54" s="92"/>
      <c r="J54" s="133">
        <v>2945.0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20.0</v>
      </c>
      <c r="G55" s="93">
        <v>20.0</v>
      </c>
      <c r="H55" s="92"/>
      <c r="I55" s="92"/>
      <c r="J55" s="133">
        <v>2946.0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319.0</v>
      </c>
      <c r="G56" s="93">
        <v>319.0</v>
      </c>
      <c r="H56" s="92"/>
      <c r="I56" s="92"/>
      <c r="J56" s="133">
        <v>2947.0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103.0</v>
      </c>
      <c r="G57" s="93" t="s">
        <v>69</v>
      </c>
      <c r="H57" s="93">
        <v>103.0</v>
      </c>
      <c r="I57" s="92"/>
      <c r="J57" s="133">
        <v>2948.0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76.0</v>
      </c>
      <c r="G58" s="92"/>
      <c r="H58" s="93">
        <v>76.0</v>
      </c>
      <c r="I58" s="92"/>
      <c r="J58" s="133">
        <v>2949.0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390.0</v>
      </c>
      <c r="G59" s="93">
        <v>390.0</v>
      </c>
      <c r="H59" s="92"/>
      <c r="I59" s="92"/>
      <c r="J59" s="133">
        <v>2950.0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33.0</v>
      </c>
      <c r="G60" s="93">
        <v>33.0</v>
      </c>
      <c r="H60" s="92"/>
      <c r="I60" s="92"/>
      <c r="J60" s="133">
        <v>2951.0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100.0</v>
      </c>
      <c r="G61" s="93">
        <v>100.0</v>
      </c>
      <c r="H61" s="92"/>
      <c r="I61" s="92"/>
      <c r="J61" s="133">
        <v>2952.0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428.0</v>
      </c>
      <c r="G62" s="93" t="s">
        <v>69</v>
      </c>
      <c r="H62" s="93">
        <v>428.0</v>
      </c>
      <c r="I62" s="92"/>
      <c r="J62" s="133">
        <v>2953.0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100.0</v>
      </c>
      <c r="G63" s="93">
        <v>100.0</v>
      </c>
      <c r="H63" s="92"/>
      <c r="I63" s="92"/>
      <c r="J63" s="133">
        <v>2954.0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147.0</v>
      </c>
      <c r="G64" s="93">
        <v>147.0</v>
      </c>
      <c r="H64" s="92"/>
      <c r="I64" s="92"/>
      <c r="J64" s="133">
        <v>2955.0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120.0</v>
      </c>
      <c r="G65" s="93">
        <v>120.0</v>
      </c>
      <c r="H65" s="92"/>
      <c r="I65" s="92"/>
      <c r="J65" s="133">
        <v>2956.0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550.0</v>
      </c>
      <c r="G66" s="93">
        <v>550.0</v>
      </c>
      <c r="H66" s="92"/>
      <c r="I66" s="92"/>
      <c r="J66" s="133">
        <v>2957.0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251.0</v>
      </c>
      <c r="G67" s="93">
        <v>251.0</v>
      </c>
      <c r="H67" s="92"/>
      <c r="I67" s="92"/>
      <c r="J67" s="133">
        <v>2958.0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145.0</v>
      </c>
      <c r="G68" s="93">
        <v>145.0</v>
      </c>
      <c r="H68" s="92"/>
      <c r="I68" s="92"/>
      <c r="J68" s="133">
        <v>2959.0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15.0</v>
      </c>
      <c r="G69" s="93">
        <v>15.0</v>
      </c>
      <c r="H69" s="92"/>
      <c r="I69" s="92"/>
      <c r="J69" s="133">
        <v>2960.0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408.0</v>
      </c>
      <c r="G70" s="93" t="s">
        <v>69</v>
      </c>
      <c r="H70" s="93">
        <v>408.0</v>
      </c>
      <c r="I70" s="92"/>
      <c r="J70" s="133">
        <v>2961.0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37.0</v>
      </c>
      <c r="G71" s="92"/>
      <c r="H71" s="93">
        <v>37.0</v>
      </c>
      <c r="I71" s="92"/>
      <c r="J71" s="133">
        <v>2962.0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660.0</v>
      </c>
      <c r="G72" s="92"/>
      <c r="H72" s="92"/>
      <c r="I72" s="93">
        <v>660.0</v>
      </c>
      <c r="J72" s="133">
        <v>2963.0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1196.0</v>
      </c>
      <c r="G73" s="92"/>
      <c r="H73" s="93">
        <v>1196.0</v>
      </c>
      <c r="I73" s="93" t="s">
        <v>69</v>
      </c>
      <c r="J73" s="133">
        <v>2964.0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82.0</v>
      </c>
      <c r="G74" s="93" t="s">
        <v>69</v>
      </c>
      <c r="H74" s="93">
        <v>82.0</v>
      </c>
      <c r="I74" s="92"/>
      <c r="J74" s="133">
        <v>2965.0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549.0</v>
      </c>
      <c r="G75" s="92"/>
      <c r="H75" s="93">
        <v>549.0</v>
      </c>
      <c r="I75" s="92"/>
      <c r="J75" s="133">
        <v>2966.0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696.0</v>
      </c>
      <c r="G76" s="92"/>
      <c r="H76" s="92"/>
      <c r="I76" s="93">
        <v>696.0</v>
      </c>
      <c r="J76" s="133">
        <v>2967.0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98.0</v>
      </c>
      <c r="G77" s="92"/>
      <c r="H77" s="93">
        <v>98.0</v>
      </c>
      <c r="I77" s="92"/>
      <c r="J77" s="133">
        <v>2968.0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254.0</v>
      </c>
      <c r="G78" s="92"/>
      <c r="H78" s="93">
        <v>254.0</v>
      </c>
      <c r="I78" s="92"/>
      <c r="J78" s="133">
        <v>2969.0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265.0</v>
      </c>
      <c r="G79" s="93" t="s">
        <v>69</v>
      </c>
      <c r="H79" s="92"/>
      <c r="I79" s="93">
        <v>265.0</v>
      </c>
      <c r="J79" s="133">
        <v>2970.0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36.0</v>
      </c>
      <c r="G80" s="93">
        <v>36.0</v>
      </c>
      <c r="H80" s="92"/>
      <c r="I80" s="92"/>
      <c r="J80" s="133">
        <v>2971.0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148.0</v>
      </c>
      <c r="G81" s="93">
        <v>148.0</v>
      </c>
      <c r="H81" s="92"/>
      <c r="I81" s="92"/>
      <c r="J81" s="133">
        <v>2972.0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68">
        <v>50.0</v>
      </c>
      <c r="G82" s="54">
        <v>50.0</v>
      </c>
      <c r="H82" s="61"/>
      <c r="I82" s="61"/>
      <c r="J82" s="133">
        <v>2973.0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68">
        <v>304.0</v>
      </c>
      <c r="G83" s="54">
        <v>304.0</v>
      </c>
      <c r="H83" s="61"/>
      <c r="I83" s="61"/>
      <c r="J83" s="133">
        <v>2974.0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68">
        <v>567.0</v>
      </c>
      <c r="G84" s="54">
        <v>567.0</v>
      </c>
      <c r="H84" s="61"/>
      <c r="I84" s="61"/>
      <c r="J84" s="133">
        <v>2975.0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68">
        <v>30.0</v>
      </c>
      <c r="G85" s="54">
        <v>30.0</v>
      </c>
      <c r="H85" s="61"/>
      <c r="I85" s="61"/>
      <c r="J85" s="133">
        <v>2976.0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68">
        <v>188.0</v>
      </c>
      <c r="G86" s="54">
        <v>188.0</v>
      </c>
      <c r="H86" s="61"/>
      <c r="I86" s="61"/>
      <c r="J86" s="133">
        <v>2977.0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68">
        <v>10.0</v>
      </c>
      <c r="G87" s="54">
        <v>10.0</v>
      </c>
      <c r="H87" s="61"/>
      <c r="I87" s="61"/>
      <c r="J87" s="133">
        <v>2978.0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68">
        <v>570.0</v>
      </c>
      <c r="G88" s="54">
        <v>570.0</v>
      </c>
      <c r="H88" s="61"/>
      <c r="I88" s="61"/>
      <c r="J88" s="133">
        <v>2979.0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3">
        <v>2980.0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3">
        <v>2981.0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3">
        <v>2982.0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3">
        <v>2983.0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54" t="s">
        <v>69</v>
      </c>
      <c r="I93" s="61"/>
      <c r="J93" s="133">
        <v>2984.0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54" t="s">
        <v>69</v>
      </c>
      <c r="I94" s="61"/>
      <c r="J94" s="133">
        <v>2985.0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133">
        <v>2986.0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133">
        <v>2987.0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24557</v>
      </c>
      <c r="G97" s="123">
        <f t="shared" si="4"/>
        <v>14475</v>
      </c>
      <c r="H97" s="123">
        <f t="shared" si="4"/>
        <v>7668</v>
      </c>
      <c r="I97" s="123">
        <f t="shared" si="4"/>
        <v>2414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45990.0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37105.0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7668.0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32375.0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22088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11779</v>
      </c>
      <c r="D10" s="24"/>
      <c r="E10" s="43">
        <v>1.0</v>
      </c>
      <c r="F10" s="44">
        <v>167.0</v>
      </c>
      <c r="G10" s="45">
        <v>167.0</v>
      </c>
      <c r="H10" s="45"/>
      <c r="I10" s="45"/>
      <c r="J10" s="133">
        <v>2980.0</v>
      </c>
      <c r="K10" s="24"/>
      <c r="L10" s="47">
        <v>660.0</v>
      </c>
      <c r="M10" s="47"/>
      <c r="N10" s="47">
        <v>2963.0</v>
      </c>
      <c r="O10" s="49"/>
      <c r="P10" s="85" t="s">
        <v>67</v>
      </c>
      <c r="Q10" s="51"/>
      <c r="R10" s="52">
        <v>200.0</v>
      </c>
      <c r="S10" s="53"/>
      <c r="T10" s="54"/>
      <c r="U10" s="55"/>
      <c r="V10" s="24"/>
      <c r="W10" s="47">
        <v>525.0</v>
      </c>
      <c r="X10" s="47"/>
      <c r="Y10" s="47">
        <v>2988.0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10109</v>
      </c>
      <c r="D11" s="24"/>
      <c r="E11" s="43">
        <v>2.0</v>
      </c>
      <c r="F11" s="56">
        <v>118.0</v>
      </c>
      <c r="G11" s="57">
        <v>118.0</v>
      </c>
      <c r="H11" s="58"/>
      <c r="I11" s="59"/>
      <c r="J11" s="133">
        <v>2981.0</v>
      </c>
      <c r="K11" s="24"/>
      <c r="L11" s="48"/>
      <c r="M11" s="47">
        <v>265.0</v>
      </c>
      <c r="N11" s="47">
        <v>2970.0</v>
      </c>
      <c r="O11" s="49"/>
      <c r="P11" s="72" t="s">
        <v>74</v>
      </c>
      <c r="Q11" s="51"/>
      <c r="R11" s="52">
        <v>20.0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200</v>
      </c>
      <c r="D12" s="24"/>
      <c r="E12" s="43">
        <v>3.0</v>
      </c>
      <c r="F12" s="63">
        <v>305.0</v>
      </c>
      <c r="G12" s="64">
        <v>305.0</v>
      </c>
      <c r="H12" s="64"/>
      <c r="I12" s="65"/>
      <c r="J12" s="133">
        <v>2982.0</v>
      </c>
      <c r="K12" s="24"/>
      <c r="L12" s="48"/>
      <c r="M12" s="47">
        <v>377.0</v>
      </c>
      <c r="N12" s="47">
        <v>2926.0</v>
      </c>
      <c r="O12" s="49"/>
      <c r="P12" s="72" t="s">
        <v>158</v>
      </c>
      <c r="Q12" s="51"/>
      <c r="R12" s="52">
        <v>1000.0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660</v>
      </c>
      <c r="D13" s="24"/>
      <c r="E13" s="43">
        <v>4.0</v>
      </c>
      <c r="F13" s="56">
        <v>100.0</v>
      </c>
      <c r="G13" s="64">
        <v>100.0</v>
      </c>
      <c r="H13" s="65"/>
      <c r="I13" s="65"/>
      <c r="J13" s="133">
        <v>2983.0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642</v>
      </c>
      <c r="D14" s="24"/>
      <c r="E14" s="43">
        <v>5.0</v>
      </c>
      <c r="F14" s="56">
        <v>1028.0</v>
      </c>
      <c r="G14" s="64">
        <v>1028.0</v>
      </c>
      <c r="H14" s="65"/>
      <c r="I14" s="65"/>
      <c r="J14" s="133">
        <v>2984.0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525</v>
      </c>
      <c r="D15" s="24"/>
      <c r="E15" s="43">
        <v>6.0</v>
      </c>
      <c r="F15" s="56">
        <v>339.0</v>
      </c>
      <c r="G15" s="64"/>
      <c r="H15" s="64">
        <v>339.0</v>
      </c>
      <c r="I15" s="65"/>
      <c r="J15" s="133">
        <v>2985.0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1220</v>
      </c>
      <c r="D16" s="24"/>
      <c r="E16" s="43">
        <v>7.0</v>
      </c>
      <c r="F16" s="56">
        <v>280.0</v>
      </c>
      <c r="G16" s="64">
        <v>280.0</v>
      </c>
      <c r="H16" s="64"/>
      <c r="I16" s="65"/>
      <c r="J16" s="133">
        <v>2986.0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1220</v>
      </c>
      <c r="D17" s="24"/>
      <c r="E17" s="43">
        <v>8.0</v>
      </c>
      <c r="F17" s="56">
        <v>68.0</v>
      </c>
      <c r="G17" s="64">
        <v>68.0</v>
      </c>
      <c r="H17" s="64"/>
      <c r="I17" s="64" t="s">
        <v>69</v>
      </c>
      <c r="J17" s="133">
        <v>2987.0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525.0</v>
      </c>
      <c r="G18" s="64"/>
      <c r="H18" s="64">
        <v>525.0</v>
      </c>
      <c r="I18" s="65"/>
      <c r="J18" s="133">
        <v>2988.0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551.0</v>
      </c>
      <c r="G19" s="64">
        <v>551.0</v>
      </c>
      <c r="H19" s="65"/>
      <c r="I19" s="65"/>
      <c r="J19" s="133">
        <v>2989.0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31273</v>
      </c>
      <c r="D20" s="24"/>
      <c r="E20" s="43">
        <v>11.0</v>
      </c>
      <c r="F20" s="56">
        <v>49.0</v>
      </c>
      <c r="G20" s="64">
        <v>49.0</v>
      </c>
      <c r="H20" s="64"/>
      <c r="I20" s="65"/>
      <c r="J20" s="133">
        <v>2990.0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10751</v>
      </c>
      <c r="D21" s="24"/>
      <c r="E21" s="43">
        <v>12.0</v>
      </c>
      <c r="F21" s="56">
        <v>262.0</v>
      </c>
      <c r="G21" s="64">
        <v>262.0</v>
      </c>
      <c r="H21" s="64"/>
      <c r="I21" s="65"/>
      <c r="J21" s="133">
        <v>2991.0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44824</v>
      </c>
      <c r="D22" s="24"/>
      <c r="E22" s="43">
        <v>13.0</v>
      </c>
      <c r="F22" s="56">
        <v>89.0</v>
      </c>
      <c r="G22" s="64">
        <v>89.0</v>
      </c>
      <c r="H22" s="64"/>
      <c r="I22" s="65"/>
      <c r="J22" s="133">
        <v>2992.0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45386.0</v>
      </c>
      <c r="D23" s="24"/>
      <c r="E23" s="43">
        <v>14.0</v>
      </c>
      <c r="F23" s="56">
        <v>741.0</v>
      </c>
      <c r="G23" s="65"/>
      <c r="H23" s="64">
        <v>741.0</v>
      </c>
      <c r="I23" s="65"/>
      <c r="J23" s="133">
        <v>2993.0</v>
      </c>
      <c r="K23" s="24"/>
      <c r="L23" s="48"/>
      <c r="M23" s="48"/>
      <c r="N23" s="48"/>
      <c r="O23" s="49"/>
      <c r="P23" s="72">
        <v>8.0</v>
      </c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-562</v>
      </c>
      <c r="D24" s="24"/>
      <c r="E24" s="43">
        <v>15.0</v>
      </c>
      <c r="F24" s="56">
        <v>1645.0</v>
      </c>
      <c r="G24" s="64"/>
      <c r="H24" s="64">
        <v>1645.0</v>
      </c>
      <c r="I24" s="65"/>
      <c r="J24" s="133">
        <v>2994.0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67.0</v>
      </c>
      <c r="G25" s="64">
        <v>67.0</v>
      </c>
      <c r="H25" s="65"/>
      <c r="I25" s="65"/>
      <c r="J25" s="133">
        <v>2995.0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22613</v>
      </c>
      <c r="D26" s="24"/>
      <c r="E26" s="43">
        <v>17.0</v>
      </c>
      <c r="F26" s="56">
        <v>104.0</v>
      </c>
      <c r="G26" s="64"/>
      <c r="H26" s="64">
        <v>104.0</v>
      </c>
      <c r="I26" s="65"/>
      <c r="J26" s="133">
        <v>2996.0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69.0</v>
      </c>
      <c r="D27" s="24"/>
      <c r="E27" s="43">
        <v>18.0</v>
      </c>
      <c r="F27" s="56">
        <v>1.0</v>
      </c>
      <c r="G27" s="64">
        <v>1.0</v>
      </c>
      <c r="H27" s="65"/>
      <c r="I27" s="65"/>
      <c r="J27" s="133">
        <v>2997.0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327.7246377</v>
      </c>
      <c r="D28" s="24"/>
      <c r="E28" s="43">
        <v>19.0</v>
      </c>
      <c r="F28" s="56">
        <v>180.0</v>
      </c>
      <c r="G28" s="64">
        <v>180.0</v>
      </c>
      <c r="H28" s="65"/>
      <c r="I28" s="65"/>
      <c r="J28" s="133">
        <v>2998.0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440.0</v>
      </c>
      <c r="G29" s="64">
        <v>440.0</v>
      </c>
      <c r="H29" s="65"/>
      <c r="I29" s="65"/>
      <c r="J29" s="133">
        <v>2999.0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102.0</v>
      </c>
      <c r="G30" s="93" t="s">
        <v>69</v>
      </c>
      <c r="H30" s="93">
        <v>102.0</v>
      </c>
      <c r="I30" s="93"/>
      <c r="J30" s="133">
        <v>3000.0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7668</v>
      </c>
      <c r="D31" s="24"/>
      <c r="E31" s="43">
        <v>22.0</v>
      </c>
      <c r="F31" s="56">
        <v>350.0</v>
      </c>
      <c r="G31" s="93"/>
      <c r="H31" s="93">
        <v>350.0</v>
      </c>
      <c r="I31" s="92"/>
      <c r="J31" s="133">
        <v>3001.0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1220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78.0</v>
      </c>
      <c r="G32" s="93">
        <v>78.0</v>
      </c>
      <c r="H32" s="92"/>
      <c r="I32" s="92"/>
      <c r="J32" s="133">
        <v>3002.0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349.0</v>
      </c>
      <c r="G33" s="93">
        <v>349.0</v>
      </c>
      <c r="H33" s="92"/>
      <c r="I33" s="92"/>
      <c r="J33" s="133">
        <v>3003.0</v>
      </c>
      <c r="K33" s="24"/>
      <c r="L33" s="104">
        <f t="shared" ref="L33:M33" si="2">sum(L10:L32)</f>
        <v>660</v>
      </c>
      <c r="M33" s="104">
        <f t="shared" si="2"/>
        <v>642</v>
      </c>
      <c r="N33" s="104"/>
      <c r="O33" s="105"/>
      <c r="P33" s="85" t="s">
        <v>38</v>
      </c>
      <c r="Q33" s="51"/>
      <c r="R33" s="100"/>
      <c r="S33" s="52">
        <v>7668.0</v>
      </c>
      <c r="T33" s="101"/>
      <c r="U33" s="55"/>
      <c r="V33" s="24"/>
      <c r="W33" s="104">
        <f t="shared" ref="W33:X33" si="3">sum(W10:W32)</f>
        <v>525</v>
      </c>
      <c r="X33" s="104">
        <f t="shared" si="3"/>
        <v>0</v>
      </c>
      <c r="Y33" s="104">
        <f>W33+X33</f>
        <v>525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575.0</v>
      </c>
      <c r="G34" s="93">
        <v>575.0</v>
      </c>
      <c r="H34" s="92"/>
      <c r="I34" s="92"/>
      <c r="J34" s="133">
        <v>3004.0</v>
      </c>
      <c r="K34" s="24"/>
      <c r="L34" s="106"/>
      <c r="M34" s="106"/>
      <c r="N34" s="106"/>
      <c r="O34" s="106"/>
      <c r="P34" s="85" t="s">
        <v>40</v>
      </c>
      <c r="Q34" s="107"/>
      <c r="R34" s="138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143.0</v>
      </c>
      <c r="G35" s="93">
        <v>143.0</v>
      </c>
      <c r="H35" s="93"/>
      <c r="I35" s="92"/>
      <c r="J35" s="133">
        <v>3005.0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59.0</v>
      </c>
      <c r="G36" s="93">
        <v>59.0</v>
      </c>
      <c r="H36" s="93"/>
      <c r="I36" s="92"/>
      <c r="J36" s="133">
        <v>3006.0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522.0</v>
      </c>
      <c r="G37" s="93">
        <v>522.0</v>
      </c>
      <c r="H37" s="92"/>
      <c r="I37" s="92"/>
      <c r="J37" s="133">
        <v>3007.0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50.0</v>
      </c>
      <c r="G38" s="93">
        <v>50.0</v>
      </c>
      <c r="H38" s="92"/>
      <c r="I38" s="92"/>
      <c r="J38" s="133">
        <v>3008.0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444.0</v>
      </c>
      <c r="G39" s="93">
        <v>444.0</v>
      </c>
      <c r="H39" s="93"/>
      <c r="I39" s="92"/>
      <c r="J39" s="133">
        <v>3009.0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20.0</v>
      </c>
      <c r="G40" s="93">
        <v>20.0</v>
      </c>
      <c r="H40" s="93"/>
      <c r="I40" s="92"/>
      <c r="J40" s="133">
        <v>3010.0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225.0</v>
      </c>
      <c r="G41" s="93">
        <v>225.0</v>
      </c>
      <c r="H41" s="93"/>
      <c r="I41" s="92"/>
      <c r="J41" s="133">
        <v>3011.0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35.0</v>
      </c>
      <c r="G42" s="93">
        <v>35.0</v>
      </c>
      <c r="H42" s="93"/>
      <c r="I42" s="92"/>
      <c r="J42" s="133">
        <v>3012.0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203.0</v>
      </c>
      <c r="G43" s="93"/>
      <c r="H43" s="93">
        <v>203.0</v>
      </c>
      <c r="I43" s="92"/>
      <c r="J43" s="133">
        <v>3013.0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41.0</v>
      </c>
      <c r="G44" s="92"/>
      <c r="H44" s="93">
        <v>41.0</v>
      </c>
      <c r="I44" s="92"/>
      <c r="J44" s="133">
        <v>3014.0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43.0</v>
      </c>
      <c r="G45" s="93">
        <v>43.0</v>
      </c>
      <c r="H45" s="92"/>
      <c r="I45" s="92"/>
      <c r="J45" s="133">
        <v>3015.0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30.0</v>
      </c>
      <c r="G46" s="93">
        <v>30.0</v>
      </c>
      <c r="H46" s="92"/>
      <c r="I46" s="92"/>
      <c r="J46" s="133">
        <v>3016.0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470.0</v>
      </c>
      <c r="G47" s="93">
        <v>470.0</v>
      </c>
      <c r="H47" s="93"/>
      <c r="I47" s="92"/>
      <c r="J47" s="133">
        <v>3017.0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107.0</v>
      </c>
      <c r="G48" s="92"/>
      <c r="H48" s="93">
        <v>107.0</v>
      </c>
      <c r="I48" s="92"/>
      <c r="J48" s="133">
        <v>3018.0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2071.0</v>
      </c>
      <c r="G49" s="92"/>
      <c r="H49" s="93">
        <v>2071.0</v>
      </c>
      <c r="I49" s="93">
        <v>0.0</v>
      </c>
      <c r="J49" s="133">
        <v>3019.0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28.0</v>
      </c>
      <c r="G50" s="93">
        <v>28.0</v>
      </c>
      <c r="H50" s="93"/>
      <c r="I50" s="92"/>
      <c r="J50" s="133">
        <v>3020.0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30.0</v>
      </c>
      <c r="G51" s="93">
        <v>30.0</v>
      </c>
      <c r="H51" s="92"/>
      <c r="I51" s="92"/>
      <c r="J51" s="133">
        <v>3021.0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18.0</v>
      </c>
      <c r="G52" s="92"/>
      <c r="H52" s="93">
        <v>18.0</v>
      </c>
      <c r="I52" s="92"/>
      <c r="J52" s="133">
        <v>3022.0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215.0</v>
      </c>
      <c r="G53" s="93">
        <v>215.0</v>
      </c>
      <c r="H53" s="92"/>
      <c r="I53" s="92"/>
      <c r="J53" s="133">
        <v>3023.0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90.0</v>
      </c>
      <c r="G54" s="93">
        <v>90.0</v>
      </c>
      <c r="H54" s="92"/>
      <c r="I54" s="92"/>
      <c r="J54" s="133">
        <v>3024.0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109.0</v>
      </c>
      <c r="G55" s="92"/>
      <c r="H55" s="93">
        <v>109.0</v>
      </c>
      <c r="I55" s="92"/>
      <c r="J55" s="133">
        <v>3025.0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279.0</v>
      </c>
      <c r="G56" s="93">
        <v>279.0</v>
      </c>
      <c r="H56" s="92"/>
      <c r="I56" s="92"/>
      <c r="J56" s="133">
        <v>3026.0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27.0</v>
      </c>
      <c r="G57" s="93">
        <v>27.0</v>
      </c>
      <c r="H57" s="92"/>
      <c r="I57" s="92"/>
      <c r="J57" s="133">
        <v>3027.0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245.0</v>
      </c>
      <c r="G58" s="93">
        <v>245.0</v>
      </c>
      <c r="H58" s="92"/>
      <c r="I58" s="92"/>
      <c r="J58" s="133">
        <v>3028.0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106.0</v>
      </c>
      <c r="G59" s="93">
        <v>106.0</v>
      </c>
      <c r="H59" s="92"/>
      <c r="I59" s="92"/>
      <c r="J59" s="133">
        <v>3029.0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343.0</v>
      </c>
      <c r="G60" s="93">
        <v>343.0</v>
      </c>
      <c r="H60" s="92"/>
      <c r="I60" s="92"/>
      <c r="J60" s="133">
        <v>3030.0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240.0</v>
      </c>
      <c r="G61" s="93" t="s">
        <v>69</v>
      </c>
      <c r="H61" s="93">
        <v>240.0</v>
      </c>
      <c r="I61" s="92"/>
      <c r="J61" s="133">
        <v>3031.0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145.0</v>
      </c>
      <c r="G62" s="93">
        <v>145.0</v>
      </c>
      <c r="H62" s="92"/>
      <c r="I62" s="92"/>
      <c r="J62" s="133">
        <v>3032.0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22.0</v>
      </c>
      <c r="G63" s="92"/>
      <c r="H63" s="93">
        <v>22.0</v>
      </c>
      <c r="I63" s="92"/>
      <c r="J63" s="133">
        <v>3033.0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2290.0</v>
      </c>
      <c r="G64" s="93" t="s">
        <v>69</v>
      </c>
      <c r="H64" s="93">
        <v>2290.0</v>
      </c>
      <c r="I64" s="92"/>
      <c r="J64" s="133">
        <v>3034.0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20.0</v>
      </c>
      <c r="G65" s="93">
        <v>20.0</v>
      </c>
      <c r="H65" s="92"/>
      <c r="I65" s="92"/>
      <c r="J65" s="133">
        <v>3035.0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290.0</v>
      </c>
      <c r="G66" s="93">
        <v>290.0</v>
      </c>
      <c r="H66" s="92"/>
      <c r="I66" s="92"/>
      <c r="J66" s="133">
        <v>3036.0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70.0</v>
      </c>
      <c r="G67" s="93" t="s">
        <v>69</v>
      </c>
      <c r="H67" s="93">
        <v>70.0</v>
      </c>
      <c r="I67" s="92"/>
      <c r="J67" s="133">
        <v>3037.0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2639.0</v>
      </c>
      <c r="G68" s="93">
        <v>2639.0</v>
      </c>
      <c r="H68" s="92"/>
      <c r="I68" s="92"/>
      <c r="J68" s="133">
        <v>3038.0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36.0</v>
      </c>
      <c r="G69" s="93">
        <v>36.0</v>
      </c>
      <c r="H69" s="92"/>
      <c r="I69" s="92"/>
      <c r="J69" s="133">
        <v>3039.0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200.0</v>
      </c>
      <c r="G70" s="92"/>
      <c r="H70" s="92"/>
      <c r="I70" s="93">
        <v>200.0</v>
      </c>
      <c r="J70" s="133" t="s">
        <v>190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1050.0</v>
      </c>
      <c r="G71" s="93">
        <v>1050.0</v>
      </c>
      <c r="H71" s="92"/>
      <c r="I71" s="92"/>
      <c r="J71" s="133">
        <v>3041.0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399.0</v>
      </c>
      <c r="G72" s="92"/>
      <c r="H72" s="93">
        <v>399.0</v>
      </c>
      <c r="I72" s="92"/>
      <c r="J72" s="133">
        <v>3042.0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380.0</v>
      </c>
      <c r="G73" s="92"/>
      <c r="H73" s="93">
        <v>380.0</v>
      </c>
      <c r="I73" s="92"/>
      <c r="J73" s="133">
        <v>3043.0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83.0</v>
      </c>
      <c r="G74" s="93" t="s">
        <v>69</v>
      </c>
      <c r="H74" s="93">
        <v>83.0</v>
      </c>
      <c r="I74" s="92"/>
      <c r="J74" s="133">
        <v>3044.0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18.0</v>
      </c>
      <c r="G75" s="92"/>
      <c r="H75" s="93">
        <v>18.0</v>
      </c>
      <c r="I75" s="92"/>
      <c r="J75" s="133">
        <v>3045.0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217.0</v>
      </c>
      <c r="G76" s="92"/>
      <c r="H76" s="93">
        <v>217.0</v>
      </c>
      <c r="I76" s="92"/>
      <c r="J76" s="133">
        <v>3046.0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35.0</v>
      </c>
      <c r="G77" s="92"/>
      <c r="H77" s="93">
        <v>35.0</v>
      </c>
      <c r="I77" s="92"/>
      <c r="J77" s="133">
        <v>3047.0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13.0</v>
      </c>
      <c r="G78" s="93">
        <v>13.0</v>
      </c>
      <c r="H78" s="92"/>
      <c r="I78" s="92"/>
      <c r="J78" s="133">
        <v>3048.0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33">
        <v>3049.0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3">
        <v>3050.0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54" t="s">
        <v>69</v>
      </c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54" t="s">
        <v>69</v>
      </c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54" t="s">
        <v>69</v>
      </c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22613</v>
      </c>
      <c r="G97" s="123">
        <f t="shared" si="4"/>
        <v>12304</v>
      </c>
      <c r="H97" s="123">
        <f t="shared" si="4"/>
        <v>10109</v>
      </c>
      <c r="I97" s="123">
        <f t="shared" si="4"/>
        <v>200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45991.0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44824.0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10751.0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31273.0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18066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9681</v>
      </c>
      <c r="D10" s="24"/>
      <c r="E10" s="43">
        <v>1.0</v>
      </c>
      <c r="F10" s="44">
        <v>202.0</v>
      </c>
      <c r="G10" s="45"/>
      <c r="H10" s="145">
        <v>202.0</v>
      </c>
      <c r="I10" s="45"/>
      <c r="J10" s="133">
        <v>3049.0</v>
      </c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170">
        <v>120.0</v>
      </c>
      <c r="X10" s="47"/>
      <c r="Y10" s="47" t="s">
        <v>191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8385</v>
      </c>
      <c r="D11" s="24"/>
      <c r="E11" s="43">
        <v>2.0</v>
      </c>
      <c r="F11" s="56">
        <v>99.0</v>
      </c>
      <c r="G11" s="57"/>
      <c r="H11" s="173">
        <v>99.0</v>
      </c>
      <c r="I11" s="59"/>
      <c r="J11" s="133">
        <v>3050.0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>
        <v>10.0</v>
      </c>
      <c r="G12" s="64"/>
      <c r="H12" s="141">
        <v>10.0</v>
      </c>
      <c r="I12" s="65"/>
      <c r="J12" s="133">
        <v>3051.0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679.0</v>
      </c>
      <c r="G13" s="141">
        <v>679.0</v>
      </c>
      <c r="H13" s="65"/>
      <c r="I13" s="65"/>
      <c r="J13" s="133">
        <v>3052.0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30.0</v>
      </c>
      <c r="G14" s="141">
        <v>30.0</v>
      </c>
      <c r="H14" s="65"/>
      <c r="I14" s="65"/>
      <c r="J14" s="133">
        <v>3053.0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120</v>
      </c>
      <c r="D15" s="24"/>
      <c r="E15" s="43">
        <v>6.0</v>
      </c>
      <c r="F15" s="56">
        <v>89.0</v>
      </c>
      <c r="G15" s="64"/>
      <c r="H15" s="141">
        <v>89.0</v>
      </c>
      <c r="I15" s="65"/>
      <c r="J15" s="133">
        <v>3054.0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>
        <v>39.0</v>
      </c>
      <c r="G16" s="141">
        <v>39.0</v>
      </c>
      <c r="H16" s="64"/>
      <c r="I16" s="65"/>
      <c r="J16" s="133">
        <v>3055.0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>
        <v>40.0</v>
      </c>
      <c r="G17" s="141">
        <v>40.0</v>
      </c>
      <c r="H17" s="64"/>
      <c r="I17" s="65"/>
      <c r="J17" s="133">
        <v>3056.0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16.0</v>
      </c>
      <c r="G18" s="141">
        <v>16.0</v>
      </c>
      <c r="H18" s="64"/>
      <c r="I18" s="65"/>
      <c r="J18" s="133">
        <v>3057.0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298.0</v>
      </c>
      <c r="G19" s="141">
        <v>298.0</v>
      </c>
      <c r="H19" s="65"/>
      <c r="I19" s="65"/>
      <c r="J19" s="133">
        <v>3058.0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31273</v>
      </c>
      <c r="D20" s="24"/>
      <c r="E20" s="43">
        <v>11.0</v>
      </c>
      <c r="F20" s="56">
        <v>290.0</v>
      </c>
      <c r="G20" s="141">
        <v>290.0</v>
      </c>
      <c r="H20" s="64"/>
      <c r="I20" s="65"/>
      <c r="J20" s="133">
        <v>3059.0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8385</v>
      </c>
      <c r="D21" s="24"/>
      <c r="E21" s="43">
        <v>12.0</v>
      </c>
      <c r="F21" s="56">
        <v>413.0</v>
      </c>
      <c r="G21" s="141">
        <v>413.0</v>
      </c>
      <c r="H21" s="64"/>
      <c r="I21" s="65"/>
      <c r="J21" s="133">
        <v>3060.0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54505</v>
      </c>
      <c r="D22" s="24"/>
      <c r="E22" s="43">
        <v>13.0</v>
      </c>
      <c r="F22" s="56">
        <v>652.0</v>
      </c>
      <c r="G22" s="141">
        <v>652.0</v>
      </c>
      <c r="H22" s="64"/>
      <c r="I22" s="65"/>
      <c r="J22" s="133">
        <v>3061.0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5">
        <v>55007.0</v>
      </c>
      <c r="D23" s="24"/>
      <c r="E23" s="43">
        <v>14.0</v>
      </c>
      <c r="F23" s="56">
        <v>495.0</v>
      </c>
      <c r="G23" s="65"/>
      <c r="H23" s="141">
        <v>495.0</v>
      </c>
      <c r="I23" s="65"/>
      <c r="J23" s="133">
        <v>3062.0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-502</v>
      </c>
      <c r="D24" s="24"/>
      <c r="E24" s="43">
        <v>15.0</v>
      </c>
      <c r="F24" s="56">
        <v>64.0</v>
      </c>
      <c r="G24" s="141">
        <v>64.0</v>
      </c>
      <c r="H24" s="65"/>
      <c r="I24" s="65"/>
      <c r="J24" s="133">
        <v>3063.0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1251.0</v>
      </c>
      <c r="G25" s="141">
        <v>1251.0</v>
      </c>
      <c r="H25" s="65"/>
      <c r="I25" s="65"/>
      <c r="J25" s="133">
        <v>3064.0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18186</v>
      </c>
      <c r="D26" s="24"/>
      <c r="E26" s="43">
        <v>17.0</v>
      </c>
      <c r="F26" s="56">
        <v>503.0</v>
      </c>
      <c r="G26" s="141">
        <v>503.0</v>
      </c>
      <c r="H26" s="65"/>
      <c r="I26" s="65"/>
      <c r="J26" s="133">
        <v>3065.0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64.0</v>
      </c>
      <c r="D27" s="24"/>
      <c r="E27" s="43">
        <v>18.0</v>
      </c>
      <c r="F27" s="56">
        <v>629.0</v>
      </c>
      <c r="G27" s="64"/>
      <c r="H27" s="141">
        <v>629.0</v>
      </c>
      <c r="I27" s="65"/>
      <c r="J27" s="133">
        <v>3066.0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284.15625</v>
      </c>
      <c r="D28" s="24"/>
      <c r="E28" s="43">
        <v>19.0</v>
      </c>
      <c r="F28" s="56">
        <v>2.0</v>
      </c>
      <c r="G28" s="141">
        <v>2.0</v>
      </c>
      <c r="H28" s="65"/>
      <c r="I28" s="65"/>
      <c r="J28" s="133">
        <v>3067.0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114.0</v>
      </c>
      <c r="G29" s="64"/>
      <c r="H29" s="141">
        <v>114.0</v>
      </c>
      <c r="I29" s="65"/>
      <c r="J29" s="133">
        <v>3068.0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158.0</v>
      </c>
      <c r="G30" s="137">
        <v>120.0</v>
      </c>
      <c r="H30" s="137">
        <v>38.0</v>
      </c>
      <c r="I30" s="93"/>
      <c r="J30" s="133">
        <v>3069.0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10751</v>
      </c>
      <c r="D31" s="24"/>
      <c r="E31" s="43">
        <v>22.0</v>
      </c>
      <c r="F31" s="56">
        <v>207.0</v>
      </c>
      <c r="G31" s="93"/>
      <c r="H31" s="137">
        <v>207.0</v>
      </c>
      <c r="I31" s="92"/>
      <c r="J31" s="133">
        <v>3070.0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1402.0</v>
      </c>
      <c r="G32" s="93"/>
      <c r="H32" s="137">
        <v>1402.0</v>
      </c>
      <c r="I32" s="92"/>
      <c r="J32" s="133" t="s">
        <v>83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145.0</v>
      </c>
      <c r="G33" s="137">
        <v>145.0</v>
      </c>
      <c r="H33" s="92"/>
      <c r="I33" s="92"/>
      <c r="J33" s="133">
        <v>3072.0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10751.0</v>
      </c>
      <c r="T33" s="101"/>
      <c r="U33" s="55"/>
      <c r="V33" s="24"/>
      <c r="W33" s="104">
        <f t="shared" ref="W33:X33" si="3">sum(W10:W32)</f>
        <v>120</v>
      </c>
      <c r="X33" s="104">
        <f t="shared" si="3"/>
        <v>0</v>
      </c>
      <c r="Y33" s="104">
        <f>W33+X33</f>
        <v>120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350.0</v>
      </c>
      <c r="G34" s="137">
        <v>350.0</v>
      </c>
      <c r="H34" s="92"/>
      <c r="I34" s="92"/>
      <c r="J34" s="133">
        <v>3073.0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572.0</v>
      </c>
      <c r="G35" s="137">
        <v>572.0</v>
      </c>
      <c r="H35" s="93"/>
      <c r="I35" s="92"/>
      <c r="J35" s="133">
        <v>3074.0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727.0</v>
      </c>
      <c r="G36" s="92"/>
      <c r="H36" s="137">
        <v>727.0</v>
      </c>
      <c r="I36" s="92"/>
      <c r="J36" s="133">
        <v>3075.0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539.0</v>
      </c>
      <c r="G37" s="137">
        <v>539.0</v>
      </c>
      <c r="H37" s="92"/>
      <c r="I37" s="92"/>
      <c r="J37" s="133">
        <v>3076.0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63.0</v>
      </c>
      <c r="G38" s="137">
        <v>63.0</v>
      </c>
      <c r="H38" s="92"/>
      <c r="I38" s="92"/>
      <c r="J38" s="133">
        <v>3077.0</v>
      </c>
      <c r="K38" s="24"/>
      <c r="L38" s="117">
        <v>53.0</v>
      </c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53.0</v>
      </c>
      <c r="G39" s="93"/>
      <c r="H39" s="137">
        <v>53.0</v>
      </c>
      <c r="I39" s="92"/>
      <c r="J39" s="133">
        <v>3078.0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228.0</v>
      </c>
      <c r="G40" s="137">
        <v>228.0</v>
      </c>
      <c r="H40" s="93"/>
      <c r="I40" s="92"/>
      <c r="J40" s="133">
        <v>3079.0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520.0</v>
      </c>
      <c r="G41" s="93"/>
      <c r="H41" s="137">
        <v>520.0</v>
      </c>
      <c r="I41" s="92"/>
      <c r="J41" s="133">
        <v>3080.0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103.0</v>
      </c>
      <c r="G42" s="137">
        <v>103.0</v>
      </c>
      <c r="H42" s="93"/>
      <c r="I42" s="92"/>
      <c r="J42" s="133">
        <v>3081.0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367.0</v>
      </c>
      <c r="G43" s="137">
        <v>367.0</v>
      </c>
      <c r="H43" s="92"/>
      <c r="I43" s="92"/>
      <c r="J43" s="133">
        <v>3082.0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45.0</v>
      </c>
      <c r="G44" s="137">
        <v>45.0</v>
      </c>
      <c r="H44" s="93"/>
      <c r="I44" s="92"/>
      <c r="J44" s="133">
        <v>3083.0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197.0</v>
      </c>
      <c r="G45" s="93"/>
      <c r="H45" s="137">
        <v>197.0</v>
      </c>
      <c r="I45" s="92"/>
      <c r="J45" s="133">
        <v>3084.0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20.0</v>
      </c>
      <c r="G46" s="137">
        <v>20.0</v>
      </c>
      <c r="H46" s="92"/>
      <c r="I46" s="92"/>
      <c r="J46" s="133">
        <v>3085.0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947.0</v>
      </c>
      <c r="G47" s="137">
        <v>947.0</v>
      </c>
      <c r="H47" s="93"/>
      <c r="I47" s="92"/>
      <c r="J47" s="133">
        <v>3086.0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489.0</v>
      </c>
      <c r="G48" s="92"/>
      <c r="H48" s="137">
        <v>489.0</v>
      </c>
      <c r="I48" s="92"/>
      <c r="J48" s="133">
        <v>3087.0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222.0</v>
      </c>
      <c r="G49" s="137">
        <v>222.0</v>
      </c>
      <c r="H49" s="92"/>
      <c r="I49" s="92"/>
      <c r="J49" s="133">
        <v>3088.0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269.0</v>
      </c>
      <c r="G50" s="137">
        <v>269.0</v>
      </c>
      <c r="H50" s="93"/>
      <c r="I50" s="92"/>
      <c r="J50" s="133">
        <v>3089.0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617.0</v>
      </c>
      <c r="G51" s="92"/>
      <c r="H51" s="93">
        <v>617.0</v>
      </c>
      <c r="I51" s="92"/>
      <c r="J51" s="133">
        <v>3090.0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79.0</v>
      </c>
      <c r="G52" s="92"/>
      <c r="H52" s="137">
        <v>79.0</v>
      </c>
      <c r="I52" s="92"/>
      <c r="J52" s="133">
        <v>3091.0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136.0</v>
      </c>
      <c r="G53" s="137">
        <v>136.0</v>
      </c>
      <c r="H53" s="92"/>
      <c r="I53" s="92"/>
      <c r="J53" s="133">
        <v>3092.0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239.0</v>
      </c>
      <c r="G54" s="93"/>
      <c r="H54" s="93">
        <v>239.0</v>
      </c>
      <c r="I54" s="92"/>
      <c r="J54" s="133">
        <v>3093.0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346.0</v>
      </c>
      <c r="G55" s="137">
        <v>346.0</v>
      </c>
      <c r="H55" s="92"/>
      <c r="I55" s="92"/>
      <c r="J55" s="133">
        <v>3094.0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230.0</v>
      </c>
      <c r="G56" s="137">
        <v>230.0</v>
      </c>
      <c r="H56" s="92"/>
      <c r="I56" s="92"/>
      <c r="J56" s="133">
        <v>3095.0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325.0</v>
      </c>
      <c r="G57" s="92"/>
      <c r="H57" s="137">
        <v>325.0</v>
      </c>
      <c r="I57" s="92"/>
      <c r="J57" s="133">
        <v>3096.0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251.0</v>
      </c>
      <c r="G58" s="92"/>
      <c r="H58" s="137">
        <v>251.0</v>
      </c>
      <c r="I58" s="92"/>
      <c r="J58" s="133">
        <v>3097.0</v>
      </c>
      <c r="K58" s="24"/>
      <c r="L58" s="117">
        <v>60.0</v>
      </c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60.0</v>
      </c>
      <c r="G59" s="93"/>
      <c r="H59" s="137">
        <v>60.0</v>
      </c>
      <c r="I59" s="92"/>
      <c r="J59" s="133">
        <v>3098.0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276.0</v>
      </c>
      <c r="G60" s="93"/>
      <c r="H60" s="137">
        <v>276.0</v>
      </c>
      <c r="I60" s="92"/>
      <c r="J60" s="133">
        <v>3099.0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10.0</v>
      </c>
      <c r="G61" s="137">
        <v>10.0</v>
      </c>
      <c r="H61" s="92"/>
      <c r="I61" s="92"/>
      <c r="J61" s="133">
        <v>3100.0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229.0</v>
      </c>
      <c r="G62" s="137">
        <v>229.0</v>
      </c>
      <c r="H62" s="92"/>
      <c r="I62" s="92"/>
      <c r="J62" s="133">
        <v>3101.0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379.0</v>
      </c>
      <c r="G63" s="92"/>
      <c r="H63" s="137">
        <v>379.0</v>
      </c>
      <c r="I63" s="92"/>
      <c r="J63" s="133">
        <v>3102.0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67.0</v>
      </c>
      <c r="G64" s="137">
        <v>67.0</v>
      </c>
      <c r="H64" s="92"/>
      <c r="I64" s="92"/>
      <c r="J64" s="133">
        <v>3103.0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270.0</v>
      </c>
      <c r="G65" s="92"/>
      <c r="H65" s="137">
        <v>270.0</v>
      </c>
      <c r="I65" s="92"/>
      <c r="J65" s="133">
        <v>3104.0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2.0</v>
      </c>
      <c r="G66" s="137">
        <v>2.0</v>
      </c>
      <c r="H66" s="92"/>
      <c r="I66" s="92"/>
      <c r="J66" s="133">
        <v>3105.0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115.0</v>
      </c>
      <c r="G67" s="92"/>
      <c r="H67" s="137">
        <v>115.0</v>
      </c>
      <c r="I67" s="92"/>
      <c r="J67" s="133">
        <v>3106.0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12.0</v>
      </c>
      <c r="G68" s="137">
        <v>12.0</v>
      </c>
      <c r="H68" s="92"/>
      <c r="I68" s="92"/>
      <c r="J68" s="133">
        <v>3107.0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20.0</v>
      </c>
      <c r="G69" s="137">
        <v>20.0</v>
      </c>
      <c r="H69" s="92"/>
      <c r="I69" s="92"/>
      <c r="J69" s="133">
        <v>3108.0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339.0</v>
      </c>
      <c r="G70" s="137">
        <v>329.0</v>
      </c>
      <c r="H70" s="137">
        <v>10.0</v>
      </c>
      <c r="I70" s="92"/>
      <c r="J70" s="133">
        <v>3109.0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215.0</v>
      </c>
      <c r="G71" s="93"/>
      <c r="H71" s="137">
        <v>215.0</v>
      </c>
      <c r="I71" s="92"/>
      <c r="J71" s="133">
        <v>3110.0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93.0</v>
      </c>
      <c r="G72" s="137">
        <v>93.0</v>
      </c>
      <c r="H72" s="92"/>
      <c r="I72" s="92"/>
      <c r="J72" s="133">
        <v>3111.0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278.0</v>
      </c>
      <c r="G73" s="92"/>
      <c r="H73" s="137">
        <v>278.0</v>
      </c>
      <c r="I73" s="92"/>
      <c r="J73" s="133">
        <v>3112.0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60.0</v>
      </c>
      <c r="G74" s="93">
        <v>60.0</v>
      </c>
      <c r="H74" s="92"/>
      <c r="I74" s="92"/>
      <c r="J74" s="133">
        <v>3113.0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133">
        <v>3114.0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133">
        <v>3115.0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33">
        <v>3116.0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33">
        <v>3117.0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33">
        <v>3118.0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3">
        <v>3119.0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33">
        <v>3120.0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33">
        <v>3121.0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3">
        <v>3122.0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3">
        <v>3123.0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3">
        <v>3124.0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3">
        <v>3125.0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3">
        <v>3126.0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3">
        <v>3127.0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3">
        <v>3128.0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3">
        <v>3129.0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3">
        <v>3130.0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3">
        <v>3131.0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3">
        <v>3132.0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18186</v>
      </c>
      <c r="G97" s="123">
        <f t="shared" si="4"/>
        <v>9801</v>
      </c>
      <c r="H97" s="123">
        <f t="shared" si="4"/>
        <v>8385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