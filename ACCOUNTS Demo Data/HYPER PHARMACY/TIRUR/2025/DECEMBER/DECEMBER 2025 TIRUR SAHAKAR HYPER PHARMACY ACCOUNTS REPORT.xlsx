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Copy of 011225" sheetId="2" r:id="rId5"/>
    <sheet state="visible" name="Copy of 011225 1" sheetId="3" r:id="rId6"/>
    <sheet state="visible" name="011225" sheetId="4" r:id="rId7"/>
    <sheet state="hidden" name="Meta" sheetId="5" r:id="rId8"/>
    <sheet state="hidden" name="Summary" sheetId="6" r:id="rId9"/>
    <sheet state="visible" name="021225" sheetId="7" r:id="rId10"/>
    <sheet state="visible" name="Copy of 021225" sheetId="8" r:id="rId11"/>
    <sheet state="visible" name="031225" sheetId="9" r:id="rId12"/>
    <sheet state="visible" name="Copy of 031225" sheetId="10" r:id="rId13"/>
    <sheet state="visible" name="041225" sheetId="11" r:id="rId14"/>
    <sheet state="visible" name="Copy of 041225" sheetId="12" r:id="rId15"/>
    <sheet state="visible" name="051225" sheetId="13" r:id="rId16"/>
    <sheet state="visible" name="Copy of 051225" sheetId="14" r:id="rId17"/>
    <sheet state="visible" name="061225" sheetId="15" r:id="rId18"/>
    <sheet state="visible" name="Copy of 061225" sheetId="16" r:id="rId19"/>
    <sheet state="visible" name="071225" sheetId="17" r:id="rId20"/>
    <sheet state="visible" name="081225" sheetId="18" r:id="rId21"/>
    <sheet state="visible" name="091225" sheetId="19" r:id="rId22"/>
    <sheet state="visible" name="101225" sheetId="20" r:id="rId23"/>
    <sheet state="visible" name="111225" sheetId="21" r:id="rId24"/>
    <sheet state="visible" name="121225" sheetId="22" r:id="rId25"/>
    <sheet state="visible" name="131225" sheetId="23" r:id="rId26"/>
    <sheet state="visible" name="141225" sheetId="24" r:id="rId27"/>
    <sheet state="visible" name="151225" sheetId="25" r:id="rId28"/>
    <sheet state="visible" name="161225" sheetId="26" r:id="rId29"/>
    <sheet state="visible" name="171225" sheetId="27" r:id="rId30"/>
    <sheet state="visible" name="181225" sheetId="28" r:id="rId31"/>
    <sheet state="visible" name="191225" sheetId="29" r:id="rId32"/>
    <sheet state="visible" name="201225" sheetId="30" r:id="rId33"/>
    <sheet state="visible" name="211225" sheetId="31" r:id="rId34"/>
    <sheet state="visible" name="221225" sheetId="32" r:id="rId35"/>
    <sheet state="visible" name="231225" sheetId="33" r:id="rId36"/>
    <sheet state="visible" name="241225" sheetId="34" r:id="rId37"/>
    <sheet state="visible" name="251225" sheetId="35" r:id="rId38"/>
    <sheet state="visible" name="261225" sheetId="36" r:id="rId39"/>
    <sheet state="visible" name="271225" sheetId="37" r:id="rId40"/>
    <sheet state="visible" name="281225" sheetId="38" r:id="rId41"/>
    <sheet state="visible" name="291225" sheetId="39" r:id="rId42"/>
    <sheet state="visible" name="301225" sheetId="40" r:id="rId43"/>
  </sheets>
  <definedNames/>
  <calcPr/>
</workbook>
</file>

<file path=xl/sharedStrings.xml><?xml version="1.0" encoding="utf-8"?>
<sst xmlns="http://schemas.openxmlformats.org/spreadsheetml/2006/main" count="2623" uniqueCount="421">
  <si>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</si>
  <si>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</si>
  <si>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</si>
  <si>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</si>
  <si>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</si>
  <si>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</si>
  <si>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</si>
  <si>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</si>
  <si>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</si>
  <si>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</si>
  <si>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</si>
  <si>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</si>
  <si>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</si>
  <si>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</si>
  <si>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</si>
  <si>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</si>
  <si>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</si>
  <si>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</si>
  <si>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</si>
  <si>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</si>
  <si>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</si>
  <si>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</si>
  <si>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</si>
  <si>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</si>
  <si>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</si>
  <si>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</si>
  <si>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</si>
  <si>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</si>
  <si>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</si>
  <si>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</si>
  <si>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</si>
  <si>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</si>
  <si>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</si>
  <si>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</si>
  <si>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</si>
  <si>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</si>
  <si>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</si>
  <si>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</si>
  <si>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</si>
  <si>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</si>
  <si>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</si>
  <si>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SM FLAGSHIP STORE TIRUR</t>
  </si>
  <si>
    <t>MJ FOOD EXPENCE</t>
  </si>
  <si>
    <t>3041(CARD)</t>
  </si>
  <si>
    <t>MALABAR</t>
  </si>
  <si>
    <t>3044(CARD)</t>
  </si>
  <si>
    <t>v care</t>
  </si>
  <si>
    <t xml:space="preserve">bus </t>
  </si>
  <si>
    <t>PETROL</t>
  </si>
  <si>
    <t>35-MANUAL RPPI 20MG    3300</t>
  </si>
  <si>
    <t>NISAM T         3373</t>
  </si>
  <si>
    <t>nan pro stage 2</t>
  </si>
  <si>
    <t>walker REHAID RECIPROCATING STICK</t>
  </si>
  <si>
    <t xml:space="preserve">             </t>
  </si>
  <si>
    <t>Key</t>
  </si>
  <si>
    <t>Value</t>
  </si>
  <si>
    <t>Report Title</t>
  </si>
  <si>
    <t>SAHAKAR HYPER PHARMACY ACCOUNTS REPORT</t>
  </si>
  <si>
    <t>Month (Upper)</t>
  </si>
  <si>
    <t>DECEMBER</t>
  </si>
  <si>
    <t>Year</t>
  </si>
  <si>
    <t>Outlet</t>
  </si>
  <si>
    <t>TIRUR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</si>
  <si>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</si>
  <si>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</si>
  <si>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</si>
  <si>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</si>
  <si>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</si>
  <si>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</si>
  <si>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</si>
  <si>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</si>
  <si>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</si>
  <si>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</si>
  <si>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</si>
  <si>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</si>
  <si>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</si>
  <si>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</si>
  <si>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</si>
  <si>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</si>
  <si>
    <t>nisam t             3374</t>
  </si>
  <si>
    <t xml:space="preserve">RENT </t>
  </si>
  <si>
    <t>WATER</t>
  </si>
  <si>
    <t>nisam t             3376</t>
  </si>
  <si>
    <t>FOOD EXPENSE</t>
  </si>
  <si>
    <t>PARCEL</t>
  </si>
  <si>
    <t>courier</t>
  </si>
  <si>
    <t>petrol</t>
  </si>
  <si>
    <t>billing error in disc</t>
  </si>
  <si>
    <t>c/o devan        3387</t>
  </si>
  <si>
    <t>nifla                 3402</t>
  </si>
  <si>
    <t>card                 3411</t>
  </si>
  <si>
    <t>card                 3421</t>
  </si>
  <si>
    <t>nifla                3435</t>
  </si>
  <si>
    <t>praveen           3462</t>
  </si>
  <si>
    <t>card                 3472</t>
  </si>
  <si>
    <t>dr moideen      3477</t>
  </si>
  <si>
    <t>gafoor 3507</t>
  </si>
  <si>
    <t>sahal                3511</t>
  </si>
  <si>
    <t>novel formula 2</t>
  </si>
  <si>
    <t xml:space="preserve">bioderma spf 80+ </t>
  </si>
  <si>
    <t>ZOEYE PHARMA</t>
  </si>
  <si>
    <t>3387(CARD)</t>
  </si>
  <si>
    <t>FOOD EXPNSE</t>
  </si>
  <si>
    <t>PAMPERS PURCHASE NESTO</t>
  </si>
  <si>
    <t>3265(3522)CARD</t>
  </si>
  <si>
    <t>NA PRO 2 PURCHASE VCARE</t>
  </si>
  <si>
    <t>SANA SALARY</t>
  </si>
  <si>
    <t>LANA SALARY</t>
  </si>
  <si>
    <t>SHIBILI P</t>
  </si>
  <si>
    <t>SAHAL PP</t>
  </si>
  <si>
    <t>BUS COURIER</t>
  </si>
  <si>
    <t>CARD             3522</t>
  </si>
  <si>
    <t>CARD              3526</t>
  </si>
  <si>
    <t>426 PIEGION 3529</t>
  </si>
  <si>
    <t>SMR CZN BILL3575</t>
  </si>
  <si>
    <t>4224-PAMPERS,NANPRO 3577</t>
  </si>
  <si>
    <t>CARD               3579</t>
  </si>
  <si>
    <t>20 -NS 100ML     3586CARD</t>
  </si>
  <si>
    <t>CARD              3595</t>
  </si>
  <si>
    <t>CARD -55-DOUBLE COCOA MINOI3603</t>
  </si>
  <si>
    <t>135-THE WHOLE TRUTH PROTIEN PWDER-3606 CARD</t>
  </si>
  <si>
    <t>CARD               3612</t>
  </si>
  <si>
    <t>smr czn</t>
  </si>
  <si>
    <t>CLINIC</t>
  </si>
  <si>
    <t>34(3265)</t>
  </si>
  <si>
    <t>harithakarma</t>
  </si>
  <si>
    <t>NIFLA  SALARY</t>
  </si>
  <si>
    <t>SABOORA SALARY</t>
  </si>
  <si>
    <t>ZENITH PHARMA</t>
  </si>
  <si>
    <t>MAJESTIC DRUGS</t>
  </si>
  <si>
    <t>135-the whole truth cocoa 3641</t>
  </si>
  <si>
    <t>CARD               3650</t>
  </si>
  <si>
    <t>CARD               3664</t>
  </si>
  <si>
    <t>GOPI                3675</t>
  </si>
  <si>
    <t>CARD              3683</t>
  </si>
  <si>
    <t>150-the whole truth(double cocoa&amp;badam chocolate)3688</t>
  </si>
  <si>
    <t>150-pigeon baby wipes 3722</t>
  </si>
  <si>
    <t>CARD               3727</t>
  </si>
  <si>
    <t>135-the whole truth3730</t>
  </si>
  <si>
    <t xml:space="preserve"> </t>
  </si>
  <si>
    <t xml:space="preserve">ZENITH PHARMA </t>
  </si>
  <si>
    <t>MALABAR DRUGS</t>
  </si>
  <si>
    <t>SANA[50]        3753</t>
  </si>
  <si>
    <t>POTTER KOOLI</t>
  </si>
  <si>
    <t>CARD               3779</t>
  </si>
  <si>
    <t>CARD              3780</t>
  </si>
  <si>
    <t>CARD              3781</t>
  </si>
  <si>
    <t>412 pamper xl 3791</t>
  </si>
  <si>
    <t>RS OF 109-PLACIDA -3793</t>
  </si>
  <si>
    <t>UPI THROUGH SANA-3796</t>
  </si>
  <si>
    <t>RS OF 347-TAZLOC -3798</t>
  </si>
  <si>
    <t>CARD              3800</t>
  </si>
  <si>
    <t>CARD               3811</t>
  </si>
  <si>
    <t>CARD             3827</t>
  </si>
  <si>
    <t>LANA               3828</t>
  </si>
  <si>
    <t>abdul majeed3839</t>
  </si>
  <si>
    <t>LANA               3849</t>
  </si>
  <si>
    <t>muttichad ann</t>
  </si>
  <si>
    <t>110-THE WHOLE TRUTH PROTIEN 3869</t>
  </si>
  <si>
    <t>CARD                3871</t>
  </si>
  <si>
    <t>SHIBLI              3875</t>
  </si>
  <si>
    <t>ASARU            3881</t>
  </si>
  <si>
    <t>JINSHAD         3883</t>
  </si>
  <si>
    <t>THE WHOLE TRUTH PROTIENBAR</t>
  </si>
  <si>
    <t>JINSHAD        3884</t>
  </si>
  <si>
    <t>UNIVERSAL DRUG LINES</t>
  </si>
  <si>
    <t>KP&amp;KC ENTER</t>
  </si>
  <si>
    <t>POTTER CHARGE</t>
  </si>
  <si>
    <t>185-HAZEL NUT CHOCO THE WHOLE &amp;GILLET GUARD3905</t>
  </si>
  <si>
    <t>SAMEER SIR  3924</t>
  </si>
  <si>
    <t>CARD                3935</t>
  </si>
  <si>
    <t>CARD                3938</t>
  </si>
  <si>
    <t>YUSAF C/O DASAN - 3943</t>
  </si>
  <si>
    <t>FASIL C/O SHIBLI 3949</t>
  </si>
  <si>
    <t>MANEESH C/O SHIBLI 3950</t>
  </si>
  <si>
    <t>NABEESA        3959</t>
  </si>
  <si>
    <t>NIFLA SHAN   3961</t>
  </si>
  <si>
    <t>PAYED ON 2 TIMES(114+374)3971</t>
  </si>
  <si>
    <t>CARD                3982</t>
  </si>
  <si>
    <t>CARD                3983</t>
  </si>
  <si>
    <t>SURESH PAZHUR 3991</t>
  </si>
  <si>
    <t>PAYED ON 2 TIMES (550+500)4024</t>
  </si>
  <si>
    <t>SINO DEVESIA  4025</t>
  </si>
  <si>
    <t>DR.SAHAL       4026</t>
  </si>
  <si>
    <t xml:space="preserve">                                                               BADAM CHOCOLATE WHOLE TRUTH [3894]</t>
  </si>
  <si>
    <t xml:space="preserve">SMART CLINIC PACKAGE-SIAMALA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</si>
  <si>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</si>
  <si>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214-ALPS     (4023)</t>
  </si>
  <si>
    <t>SR NO:36 - INV: 4087</t>
  </si>
  <si>
    <r>
      <rPr>
        <rFont val="Arial"/>
        <color rgb="FF000000"/>
      </rPr>
      <t>230(PIGEON</t>
    </r>
    <r>
      <rPr>
        <rFont val="Arial"/>
        <color rgb="FF000000"/>
        <sz val="9.0"/>
      </rPr>
      <t xml:space="preserve">)   </t>
    </r>
    <r>
      <rPr>
        <rFont val="Arial"/>
        <color rgb="FF000000"/>
      </rPr>
      <t>4029</t>
    </r>
  </si>
  <si>
    <t>DONE BY SANA</t>
  </si>
  <si>
    <t>45 SALES RETURN - 4087</t>
  </si>
  <si>
    <t>CARD PAYMENT</t>
  </si>
  <si>
    <t>UPI PAYMENT</t>
  </si>
  <si>
    <t>COMBI PAYMENT</t>
  </si>
  <si>
    <t>2441 CARD -4103</t>
  </si>
  <si>
    <t>2441 CARD -  4109</t>
  </si>
  <si>
    <t>28 GILLETE GUARD RAZOR - 4129</t>
  </si>
  <si>
    <t xml:space="preserve">                                                               NATURAL FEEL NIPPLE SHIELD-PIGEON</t>
  </si>
  <si>
    <t>BUS PURCHASE</t>
  </si>
  <si>
    <r>
      <rPr>
        <rFont val="Arial"/>
        <b/>
        <color rgb="FF000000"/>
        <sz val="10.0"/>
      </rPr>
      <t>BILLED ON DEC-6 (ARIF</t>
    </r>
    <r>
      <rPr>
        <rFont val="Arial"/>
        <b/>
        <color rgb="FF000000"/>
        <sz val="8.0"/>
      </rPr>
      <t>)</t>
    </r>
    <r>
      <rPr>
        <rFont val="Arial"/>
        <color rgb="FF000000"/>
      </rPr>
      <t>4150</t>
    </r>
  </si>
  <si>
    <r>
      <rPr>
        <rFont val="Arial"/>
        <b/>
        <color rgb="FF000000"/>
        <sz val="10.0"/>
      </rPr>
      <t xml:space="preserve">  BELLA MAMMA MATERNITY (179)</t>
    </r>
    <r>
      <rPr>
        <rFont val="Arial"/>
        <color rgb="FF000000"/>
      </rPr>
      <t xml:space="preserve"> 4158</t>
    </r>
  </si>
  <si>
    <t>CARD              4178</t>
  </si>
  <si>
    <t>CARD              4184</t>
  </si>
  <si>
    <r>
      <rPr>
        <rFont val="Arial"/>
        <color rgb="FF000000"/>
      </rPr>
      <t xml:space="preserve">smr czn ( upi </t>
    </r>
    <r>
      <rPr>
        <rFont val="Arial"/>
        <b/>
        <color rgb="FF000000"/>
      </rPr>
      <t>1317</t>
    </r>
    <r>
      <rPr>
        <rFont val="Arial"/>
        <color rgb="FF000000"/>
      </rPr>
      <t>)  DEC- 3  4208</t>
    </r>
  </si>
  <si>
    <t>SANA</t>
  </si>
  <si>
    <t>1335-SEBAMED MULTIPROTECT SUN LOTION 4228</t>
  </si>
  <si>
    <t>NIFLA  SAHAKAR              4232</t>
  </si>
  <si>
    <t>CARD                                  4234</t>
  </si>
  <si>
    <t>NIFLA SAHAKR                  4237</t>
  </si>
  <si>
    <t>CARD                                 4256</t>
  </si>
  <si>
    <t>639 - 3XALPS ROSEMARRY 100ML 4262</t>
  </si>
  <si>
    <t>CARD                                  4270</t>
  </si>
  <si>
    <t>CARD                                  4271</t>
  </si>
  <si>
    <t>3XALPS ROSEMARRY 100ML 4262</t>
  </si>
  <si>
    <t>SEBAMED MULTIPROTECT SUN LOTION 4228</t>
  </si>
  <si>
    <t xml:space="preserve">                             </t>
  </si>
  <si>
    <t xml:space="preserve">                                                                                          BELLA MAMMA COMFORT PLUS MATERNITY      4158                           </t>
  </si>
  <si>
    <t xml:space="preserve">                                   </t>
  </si>
  <si>
    <t>zenith purchase</t>
  </si>
  <si>
    <t>MALABAR PURCHASE</t>
  </si>
  <si>
    <t>LANA               4289</t>
  </si>
  <si>
    <t>CORIER</t>
  </si>
  <si>
    <t>CARD               4293</t>
  </si>
  <si>
    <r>
      <rPr>
        <rFont val="Arial"/>
        <color rgb="FF000000"/>
        <sz val="9.0"/>
      </rPr>
      <t xml:space="preserve">RS.60 CORIER CHARGE BALANCE Rs 1050/-Paid on DEC- 6  </t>
    </r>
    <r>
      <rPr>
        <rFont val="Arial"/>
        <color rgb="FF000000"/>
      </rPr>
      <t>4311</t>
    </r>
  </si>
  <si>
    <r>
      <rPr>
        <rFont val="Arial"/>
        <color rgb="FF000000"/>
        <sz val="9.0"/>
      </rPr>
      <t>96 RS RETURNED ON (03/12/25</t>
    </r>
    <r>
      <rPr>
        <rFont val="Arial"/>
        <color rgb="FF000000"/>
      </rPr>
      <t xml:space="preserve">)4321  </t>
    </r>
  </si>
  <si>
    <t>30 RS IN 4403 -4326</t>
  </si>
  <si>
    <r>
      <rPr>
        <rFont val="Arial"/>
        <color rgb="FF000000"/>
        <sz val="9.0"/>
      </rPr>
      <t>UVEDGE GEL Rs 410/-</t>
    </r>
    <r>
      <rPr>
        <rFont val="Arial"/>
        <color rgb="FF000000"/>
      </rPr>
      <t>4354</t>
    </r>
  </si>
  <si>
    <t>CARD               4371</t>
  </si>
  <si>
    <t>218-ALPS ROSEMARRY WATER 4377</t>
  </si>
  <si>
    <t>89-meemee toothbrush 4385</t>
  </si>
  <si>
    <t>HABEEB PV     4394</t>
  </si>
  <si>
    <t>CORIER CHARGE</t>
  </si>
  <si>
    <t>CARD               4415</t>
  </si>
  <si>
    <t>CARD               4416</t>
  </si>
  <si>
    <t>154-balance</t>
  </si>
  <si>
    <t>SHAMNAS SAHAKAR  4446</t>
  </si>
  <si>
    <t>NIFLA SAHAKAR  4451</t>
  </si>
  <si>
    <t>BAVA TK         4452</t>
  </si>
  <si>
    <t>CARD              4454</t>
  </si>
  <si>
    <t>CARD  404-pigeon baby laundry detergent 4462</t>
  </si>
  <si>
    <t>ANUSHA           4467</t>
  </si>
  <si>
    <t>CARD              4471</t>
  </si>
  <si>
    <t>SHAMNAS SAHAKAR4496</t>
  </si>
  <si>
    <t>629 pigeon o+bottle IE31A 4502</t>
  </si>
  <si>
    <t>.</t>
  </si>
  <si>
    <t>CARD               4524</t>
  </si>
  <si>
    <t>CARD               4527</t>
  </si>
  <si>
    <t>CARD               4532</t>
  </si>
  <si>
    <t>SAMEER SIR STARLEX4534</t>
  </si>
  <si>
    <t>CARD               4543</t>
  </si>
  <si>
    <t>SIGN ASSOCIATES</t>
  </si>
  <si>
    <t>UNIVERSAL DRUG  LINES</t>
  </si>
  <si>
    <t>UNIVERSAL DRUG  LINES 2NS BILL</t>
  </si>
  <si>
    <t>SAMEER SIR</t>
  </si>
  <si>
    <t>CARD               4561</t>
  </si>
  <si>
    <t>SAMEER SIR STARLEX 4568</t>
  </si>
  <si>
    <t>CARD               4586</t>
  </si>
  <si>
    <t>CARD               4613</t>
  </si>
  <si>
    <t>CARD              4618</t>
  </si>
  <si>
    <t>CARD               4628</t>
  </si>
  <si>
    <t>CARD               4633</t>
  </si>
  <si>
    <t>LANA               4635</t>
  </si>
  <si>
    <t>SHBILI             4676</t>
  </si>
  <si>
    <t>rafikka starlex  4681</t>
  </si>
  <si>
    <t>MALABAR DRUNG</t>
  </si>
  <si>
    <t>CROWN DRUG LINES</t>
  </si>
  <si>
    <t>CARD              4697</t>
  </si>
  <si>
    <t>CARD               4698</t>
  </si>
  <si>
    <t>VEERAN HAJOI THEYY4711</t>
  </si>
  <si>
    <t>WAHID SAHAKAR 4728</t>
  </si>
  <si>
    <t>CARD               4729</t>
  </si>
  <si>
    <t>CARD                     4735</t>
  </si>
  <si>
    <t>AYISHA IRINGAVOOR 4753</t>
  </si>
  <si>
    <t>CARD               4758</t>
  </si>
  <si>
    <t>CARD               4762</t>
  </si>
  <si>
    <t>249-PALADAI BABY FEEDER 0+ PIGEON 4763</t>
  </si>
  <si>
    <t>MOIDHEEN     4770</t>
  </si>
  <si>
    <t>SHAFI                     4775</t>
  </si>
  <si>
    <t>CARD       2349</t>
  </si>
  <si>
    <t>CARD      4170</t>
  </si>
  <si>
    <t>CARD                     4798</t>
  </si>
  <si>
    <t>CARD              4799</t>
  </si>
  <si>
    <t>PALADAI BABY FEEDER 0+ PIGEON</t>
  </si>
  <si>
    <t xml:space="preserve">CARD     SMART CLINIC </t>
  </si>
  <si>
    <t>NATURE GLOW SMOOTH SKIN ROLL ON 25ML-ENTRY NO.;4744</t>
  </si>
  <si>
    <t>OREGELLO FACE WASH CHARCOAL 100ML</t>
  </si>
  <si>
    <t>MALABAR  DRUGS</t>
  </si>
  <si>
    <t>1938+2632</t>
  </si>
  <si>
    <t xml:space="preserve">food expense </t>
  </si>
  <si>
    <t>CARD               4826</t>
  </si>
  <si>
    <t>SAMEER SIR SCREL - 4905</t>
  </si>
  <si>
    <t>SHAHIRKKA     4845</t>
  </si>
  <si>
    <t>SAMEER SIR STARLEX 4850</t>
  </si>
  <si>
    <t>CARD                4861</t>
  </si>
  <si>
    <t>CARD               4866</t>
  </si>
  <si>
    <t>CARD              4874</t>
  </si>
  <si>
    <t>CARD              4875</t>
  </si>
  <si>
    <t>CARD              4876</t>
  </si>
  <si>
    <t>SAMEER SIR STARLEX 4882</t>
  </si>
  <si>
    <t>CARD               4896</t>
  </si>
  <si>
    <t>CARD              4906</t>
  </si>
  <si>
    <t>SAHIRKA STARLEX  4933</t>
  </si>
  <si>
    <t>DR. SAHAL SAHAKAR 4935</t>
  </si>
  <si>
    <t xml:space="preserve">I CAN PREGNANCY CARD </t>
  </si>
  <si>
    <t xml:space="preserve">WATER </t>
  </si>
  <si>
    <t>DONATION</t>
  </si>
  <si>
    <t>493-sebamed spf 30 lipdefense 4958</t>
  </si>
  <si>
    <t>SINO DEVASIA  5003</t>
  </si>
  <si>
    <t>SHAMNAS SAHAKAR 5055</t>
  </si>
  <si>
    <t>SULAIMAN C/O DR.SAHAL5058</t>
  </si>
  <si>
    <t>SULAIMAN C/O DR.SAHAL 5059</t>
  </si>
  <si>
    <t>SHIBLI             5061</t>
  </si>
  <si>
    <t>dettol plaster</t>
  </si>
  <si>
    <t>whole truth double choco</t>
  </si>
  <si>
    <t>sebamed spf 30 lipdefense</t>
  </si>
  <si>
    <t>DTDC</t>
  </si>
  <si>
    <t>KP &amp; KC</t>
  </si>
  <si>
    <t>donation</t>
  </si>
  <si>
    <t>CARD               5077</t>
  </si>
  <si>
    <t>1613 ASLAM</t>
  </si>
  <si>
    <t>CARD              5102</t>
  </si>
  <si>
    <t>2X90-THE WHOLE TRUTH PEANUT BUTTER 5109</t>
  </si>
  <si>
    <t>JIMSHAD        5132</t>
  </si>
  <si>
    <t>CARD              5138</t>
  </si>
  <si>
    <t>WAHID C         5157</t>
  </si>
  <si>
    <t>CARD              5181</t>
  </si>
  <si>
    <t>CARD              5196</t>
  </si>
  <si>
    <t>SHAMNAS SAHAKAR 5207</t>
  </si>
  <si>
    <t>2X90- THE WHOLE TRUTH (PEANUT BUTTER)</t>
  </si>
  <si>
    <t>dermaco 2% saLICYLIC ACID SERUM</t>
  </si>
  <si>
    <t xml:space="preserve">ACNETOR AD GEL </t>
  </si>
  <si>
    <t>ac beedy</t>
  </si>
  <si>
    <t>malabar drug</t>
  </si>
  <si>
    <t>CARD               5215</t>
  </si>
  <si>
    <t>CARD              5229</t>
  </si>
  <si>
    <t>ASHRAF 1282</t>
  </si>
  <si>
    <t>CARD               5264</t>
  </si>
  <si>
    <t>CARD              5266</t>
  </si>
  <si>
    <t>89 mm todd;ler brush5276</t>
  </si>
  <si>
    <t>rs 15  oxramet xe 10/10005321</t>
  </si>
  <si>
    <t xml:space="preserve">mms stage 1  200g tin </t>
  </si>
  <si>
    <t>830 LAB            5350</t>
  </si>
  <si>
    <t xml:space="preserve">MEDICARE PHARMA </t>
  </si>
  <si>
    <t>FOOD</t>
  </si>
  <si>
    <t xml:space="preserve">TK PHARMA </t>
  </si>
  <si>
    <t>FASION SWEETS</t>
  </si>
  <si>
    <t>KP AND KC</t>
  </si>
  <si>
    <t xml:space="preserve">UNIVERSAL DRUGLINE </t>
  </si>
  <si>
    <t xml:space="preserve">ZOEYA </t>
  </si>
  <si>
    <t>CONTROLL ACCOUNT</t>
  </si>
  <si>
    <t>card                  5394</t>
  </si>
  <si>
    <t>CARD              5414</t>
  </si>
  <si>
    <t>CARD               5427</t>
  </si>
  <si>
    <t>CARD               5429</t>
  </si>
  <si>
    <t>FAROOQ V       5438</t>
  </si>
  <si>
    <t>CARD                5458</t>
  </si>
  <si>
    <t>OVULATION KIT</t>
  </si>
  <si>
    <t>SMART CLINIC</t>
  </si>
  <si>
    <t>KP&amp;KC ENTERPRISES</t>
  </si>
  <si>
    <t>MOHAMED FARIS 5494</t>
  </si>
  <si>
    <t>(NEWS ADV)KPR NEWS AGENCIES</t>
  </si>
  <si>
    <t>POTTER CHARGE 2 BOX</t>
  </si>
  <si>
    <t>CARD                5498</t>
  </si>
  <si>
    <t>CARD                5536</t>
  </si>
  <si>
    <t>SHABIN SIR STARLEX5542</t>
  </si>
  <si>
    <t>SIDHEEQUE P TANALUR-DLVRY 5596</t>
  </si>
  <si>
    <t>CARD                5606</t>
  </si>
  <si>
    <t>NEW MAS</t>
  </si>
  <si>
    <t>CLINIC PRINT</t>
  </si>
  <si>
    <t>COURIER</t>
  </si>
  <si>
    <t>CARD               5618</t>
  </si>
  <si>
    <t xml:space="preserve">   </t>
  </si>
  <si>
    <t xml:space="preserve">FAYIS  1311/- 11.17    </t>
  </si>
  <si>
    <t>KADEEJA VANIYANNUR 5658</t>
  </si>
  <si>
    <t>ECOSPRIN 150/205699</t>
  </si>
  <si>
    <t>RS90 CANBERRY THE WHOLE 5703</t>
  </si>
  <si>
    <t>2 KARIKKU RS 120 5713</t>
  </si>
  <si>
    <t>ASHIKKA       5726</t>
  </si>
  <si>
    <t>CARD                5729</t>
  </si>
  <si>
    <t>CARD                5731</t>
  </si>
  <si>
    <t>FAROOQ V       5738</t>
  </si>
  <si>
    <t>SHIBLI              5747</t>
  </si>
  <si>
    <t>clinic</t>
  </si>
  <si>
    <t>senior business</t>
  </si>
  <si>
    <t>porter</t>
  </si>
  <si>
    <t>podithatty</t>
  </si>
  <si>
    <t>kenotine sheet purchase</t>
  </si>
  <si>
    <r>
      <rPr>
        <rFont val="Arial"/>
        <color rgb="FF000000"/>
        <sz val="8.0"/>
      </rPr>
      <t>SAMEER SIR STARLEX</t>
    </r>
    <r>
      <rPr>
        <rFont val="Arial"/>
        <color rgb="FF000000"/>
      </rPr>
      <t>5758</t>
    </r>
  </si>
  <si>
    <r>
      <rPr>
        <rFont val="Arial"/>
        <color rgb="FF000000"/>
        <sz val="10.0"/>
      </rPr>
      <t>CARD SHAHIR SIR</t>
    </r>
    <r>
      <rPr>
        <rFont val="Arial"/>
        <color rgb="FF000000"/>
      </rPr>
      <t>5763</t>
    </r>
  </si>
  <si>
    <r>
      <rPr>
        <rFont val="Arial"/>
        <color rgb="FF000000"/>
        <sz val="8.0"/>
      </rPr>
      <t>SHAHIR SIR STARLEX</t>
    </r>
    <r>
      <rPr>
        <rFont val="Arial"/>
        <color rgb="FF000000"/>
      </rPr>
      <t>5768</t>
    </r>
  </si>
  <si>
    <t>CARD               5778</t>
  </si>
  <si>
    <t>CARD              5779</t>
  </si>
  <si>
    <t>CARD              5783</t>
  </si>
  <si>
    <t xml:space="preserve">     sana 100took away</t>
  </si>
  <si>
    <t>CARD               5802</t>
  </si>
  <si>
    <t>CARD               5838</t>
  </si>
  <si>
    <t>CARD               5840</t>
  </si>
  <si>
    <t>rs 60 karikku    5846</t>
  </si>
  <si>
    <t>SHIBLI             5882</t>
  </si>
  <si>
    <t>CARD               5898</t>
  </si>
  <si>
    <t>water bill</t>
  </si>
  <si>
    <t>print</t>
  </si>
  <si>
    <t>80LAB</t>
  </si>
  <si>
    <t>card                 5916</t>
  </si>
  <si>
    <t xml:space="preserve">                   </t>
  </si>
  <si>
    <t>CARD                 5934</t>
  </si>
  <si>
    <t>CARD           5954</t>
  </si>
  <si>
    <t>CARD                5983</t>
  </si>
  <si>
    <t>OB RS 60 EXTRA SOFT 6004</t>
  </si>
  <si>
    <t>BT522685870D2</t>
  </si>
  <si>
    <t>MAMAEARTH FACE WASH  6008</t>
  </si>
  <si>
    <t>OB RS 60 EXTRA SOFT</t>
  </si>
  <si>
    <t>MAMAEARTH FACE WASH</t>
  </si>
  <si>
    <t>GLYCERIN 100ML</t>
  </si>
  <si>
    <t>PIGEON-NIPPLE CARE CREAM</t>
  </si>
  <si>
    <t>TARGET</t>
  </si>
  <si>
    <t>shamnaskka 6049</t>
  </si>
  <si>
    <t>64 TO FARZEEN</t>
  </si>
  <si>
    <t>KARIKKU</t>
  </si>
  <si>
    <t>60 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</si>
</sst>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5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  <font>
      <sz val="9.0"/>
      <color rgb="FF000000"/>
      <name val="Arial"/>
    </font>
    <font>
      <b/>
      <sz val="11.0"/>
      <color rgb="FFFF0000"/>
      <name val="Arial"/>
    </font>
    <font>
      <sz val="11.0"/>
      <color rgb="FFFFFFFF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11" fillId="5" fontId="17" numFmtId="4" xfId="0" applyAlignment="1" applyBorder="1" applyFont="1" applyNumberFormat="1">
      <alignment horizontal="center" readingOrder="0" shrinkToFit="0" vertical="bottom" wrapText="0"/>
    </xf>
    <xf borderId="2" fillId="4" fontId="17" numFmtId="0" xfId="0" applyAlignment="1" applyBorder="1" applyFont="1">
      <alignment readingOrder="0" shrinkToFit="0" vertical="bottom" wrapText="0"/>
    </xf>
    <xf borderId="2" fillId="11" fontId="15" numFmtId="0" xfId="0" applyAlignment="1" applyBorder="1" applyFill="1" applyFont="1">
      <alignment horizontal="center" readingOrder="0" shrinkToFit="0" wrapText="0"/>
    </xf>
    <xf borderId="9" fillId="5" fontId="18" numFmtId="4" xfId="0" applyAlignment="1" applyBorder="1" applyFont="1" applyNumberFormat="1">
      <alignment horizontal="center" readingOrder="0" shrinkToFit="0" wrapText="0"/>
    </xf>
    <xf borderId="9" fillId="7" fontId="21" numFmtId="4" xfId="0" applyAlignment="1" applyBorder="1" applyFont="1" applyNumberFormat="1">
      <alignment horizontal="right" readingOrder="0" shrinkToFit="0" wrapText="0"/>
    </xf>
    <xf borderId="9" fillId="3" fontId="24" numFmtId="0" xfId="0" applyAlignment="1" applyBorder="1" applyFont="1">
      <alignment horizontal="right" readingOrder="0" shrinkToFit="0" wrapText="0"/>
    </xf>
    <xf borderId="9" fillId="5" fontId="17" numFmtId="4" xfId="0" applyAlignment="1" applyBorder="1" applyFont="1" applyNumberFormat="1">
      <alignment horizontal="center" readingOrder="0" shrinkToFit="0" wrapText="0"/>
    </xf>
    <xf borderId="9" fillId="12" fontId="17" numFmtId="4" xfId="0" applyAlignment="1" applyBorder="1" applyFill="1" applyFont="1" applyNumberFormat="1">
      <alignment horizontal="center" readingOrder="0" shrinkToFit="0" wrapText="0"/>
    </xf>
    <xf borderId="0" fillId="3" fontId="11" numFmtId="0" xfId="0" applyAlignment="1" applyFont="1">
      <alignment horizontal="right" shrinkToFit="0" wrapText="0"/>
    </xf>
    <xf borderId="8" fillId="0" fontId="18" numFmtId="4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11" fillId="3" fontId="17" numFmtId="4" xfId="0" applyAlignment="1" applyBorder="1" applyFont="1" applyNumberFormat="1">
      <alignment horizontal="center" readingOrder="0" shrinkToFit="0" vertical="bottom" wrapText="0"/>
    </xf>
    <xf borderId="11" fillId="13" fontId="17" numFmtId="4" xfId="0" applyAlignment="1" applyBorder="1" applyFill="1" applyFont="1" applyNumberFormat="1">
      <alignment horizontal="center" readingOrder="0" shrinkToFit="0" vertical="bottom" wrapText="0"/>
    </xf>
    <xf borderId="2" fillId="13" fontId="17" numFmtId="0" xfId="0" applyAlignment="1" applyBorder="1" applyFont="1">
      <alignment readingOrder="0" shrinkToFit="0" vertical="bottom" wrapText="0"/>
    </xf>
    <xf borderId="2" fillId="13" fontId="15" numFmtId="0" xfId="0" applyAlignment="1" applyBorder="1" applyFont="1">
      <alignment horizontal="center" readingOrder="0" shrinkToFit="0" wrapText="0"/>
    </xf>
    <xf borderId="4" fillId="3" fontId="18" numFmtId="4" xfId="0" applyAlignment="1" applyBorder="1" applyFont="1" applyNumberFormat="1">
      <alignment horizontal="center" readingOrder="0" shrinkToFit="0" wrapText="0"/>
    </xf>
    <xf borderId="4" fillId="5" fontId="17" numFmtId="4" xfId="0" applyAlignment="1" applyBorder="1" applyFont="1" applyNumberFormat="1">
      <alignment horizontal="center" readingOrder="0" shrinkToFit="0" wrapText="0"/>
    </xf>
    <xf borderId="9" fillId="3" fontId="18" numFmtId="4" xfId="0" applyAlignment="1" applyBorder="1" applyFont="1" applyNumberFormat="1">
      <alignment horizontal="center" readingOrder="0" shrinkToFit="0" wrapText="0"/>
    </xf>
    <xf borderId="9" fillId="13" fontId="18" numFmtId="4" xfId="0" applyAlignment="1" applyBorder="1" applyFont="1" applyNumberFormat="1">
      <alignment horizontal="center" readingOrder="0" shrinkToFit="0" wrapText="0"/>
    </xf>
    <xf borderId="9" fillId="3" fontId="19" numFmtId="4" xfId="0" applyAlignment="1" applyBorder="1" applyFont="1" applyNumberFormat="1">
      <alignment horizontal="center" shrinkToFit="0" wrapText="0"/>
    </xf>
    <xf borderId="9" fillId="3" fontId="17" numFmtId="4" xfId="0" applyAlignment="1" applyBorder="1" applyFont="1" applyNumberFormat="1">
      <alignment horizontal="center" readingOrder="0" shrinkToFit="0" wrapText="0"/>
    </xf>
    <xf borderId="9" fillId="3" fontId="11" numFmtId="4" xfId="0" applyAlignment="1" applyBorder="1" applyFont="1" applyNumberFormat="1">
      <alignment horizontal="center" shrinkToFit="0" wrapText="0"/>
    </xf>
    <xf borderId="0" fillId="13" fontId="11" numFmtId="0" xfId="0" applyAlignment="1" applyFont="1">
      <alignment horizontal="right" shrinkToFit="0" wrapText="0"/>
    </xf>
    <xf borderId="2" fillId="12" fontId="17" numFmtId="0" xfId="0" applyAlignment="1" applyBorder="1" applyFont="1">
      <alignment readingOrder="0" shrinkToFit="0" vertical="bottom" wrapText="0"/>
    </xf>
    <xf borderId="9" fillId="5" fontId="11" numFmtId="4" xfId="0" applyAlignment="1" applyBorder="1" applyFont="1" applyNumberFormat="1">
      <alignment horizontal="center" shrinkToFit="0" wrapText="0"/>
    </xf>
    <xf borderId="9" fillId="13" fontId="17" numFmtId="4" xfId="0" applyAlignment="1" applyBorder="1" applyFont="1" applyNumberFormat="1">
      <alignment horizontal="center" readingOrder="0" shrinkToFit="0" wrapText="0"/>
    </xf>
    <xf borderId="12" fillId="0" fontId="17" numFmtId="0" xfId="0" applyAlignment="1" applyBorder="1" applyFont="1">
      <alignment horizontal="center" readingOrder="0" shrinkToFit="0" wrapText="0"/>
    </xf>
    <xf borderId="11" fillId="14" fontId="17" numFmtId="4" xfId="0" applyAlignment="1" applyBorder="1" applyFill="1" applyFont="1" applyNumberFormat="1">
      <alignment horizontal="center" readingOrder="0" shrinkToFit="0" vertical="bottom" wrapText="0"/>
    </xf>
    <xf borderId="4" fillId="14" fontId="17" numFmtId="4" xfId="0" applyAlignment="1" applyBorder="1" applyFont="1" applyNumberFormat="1">
      <alignment horizontal="center" readingOrder="0" shrinkToFit="0" wrapText="0"/>
    </xf>
    <xf borderId="2" fillId="5" fontId="15" numFmtId="0" xfId="0" applyAlignment="1" applyBorder="1" applyFont="1">
      <alignment horizontal="center" readingOrder="0" shrinkToFit="0" wrapText="0"/>
    </xf>
    <xf borderId="8" fillId="13" fontId="17" numFmtId="0" xfId="0" applyAlignment="1" applyBorder="1" applyFont="1">
      <alignment horizontal="left" readingOrder="0" shrinkToFit="0" wrapText="0"/>
    </xf>
    <xf borderId="9" fillId="13" fontId="17" numFmtId="4" xfId="0" applyAlignment="1" applyBorder="1" applyFont="1" applyNumberFormat="1">
      <alignment readingOrder="0" shrinkToFit="0" vertical="bottom" wrapText="0"/>
    </xf>
    <xf borderId="9" fillId="14" fontId="18" numFmtId="4" xfId="0" applyAlignment="1" applyBorder="1" applyFont="1" applyNumberFormat="1">
      <alignment horizontal="center" readingOrder="0" shrinkToFit="0" wrapText="0"/>
    </xf>
    <xf borderId="2" fillId="12" fontId="15" numFmtId="0" xfId="0" applyAlignment="1" applyBorder="1" applyFont="1">
      <alignment horizontal="center" readingOrder="0" shrinkToFit="0" wrapText="0"/>
    </xf>
    <xf borderId="2" fillId="15" fontId="15" numFmtId="0" xfId="0" applyAlignment="1" applyBorder="1" applyFill="1" applyFont="1">
      <alignment horizontal="center" readingOrder="0" shrinkToFit="0" wrapText="0"/>
    </xf>
    <xf borderId="2" fillId="3" fontId="15" numFmtId="0" xfId="0" applyAlignment="1" applyBorder="1" applyFont="1">
      <alignment horizontal="center" readingOrder="0" shrinkToFit="0" wrapText="0"/>
    </xf>
    <xf borderId="2" fillId="15" fontId="17" numFmtId="0" xfId="0" applyAlignment="1" applyBorder="1" applyFont="1">
      <alignment readingOrder="0" shrinkToFit="0" vertical="bottom" wrapText="0"/>
    </xf>
    <xf borderId="9" fillId="12" fontId="19" numFmtId="4" xfId="0" applyAlignment="1" applyBorder="1" applyFont="1" applyNumberFormat="1">
      <alignment horizontal="center" shrinkToFit="0" wrapText="0"/>
    </xf>
    <xf borderId="9" fillId="14" fontId="17" numFmtId="4" xfId="0" applyAlignment="1" applyBorder="1" applyFont="1" applyNumberFormat="1">
      <alignment horizontal="center" readingOrder="0" shrinkToFit="0" wrapText="0"/>
    </xf>
    <xf borderId="9" fillId="16" fontId="11" numFmtId="4" xfId="0" applyAlignment="1" applyBorder="1" applyFill="1" applyFont="1" applyNumberFormat="1">
      <alignment horizontal="center" shrinkToFit="0" wrapText="0"/>
    </xf>
    <xf borderId="2" fillId="16" fontId="17" numFmtId="0" xfId="0" applyAlignment="1" applyBorder="1" applyFont="1">
      <alignment readingOrder="0" shrinkToFit="0" vertical="bottom" wrapText="0"/>
    </xf>
    <xf borderId="9" fillId="12" fontId="11" numFmtId="4" xfId="0" applyAlignment="1" applyBorder="1" applyFont="1" applyNumberFormat="1">
      <alignment horizontal="center" shrinkToFit="0" wrapText="0"/>
    </xf>
    <xf borderId="0" fillId="12" fontId="11" numFmtId="0" xfId="0" applyAlignment="1" applyFont="1">
      <alignment shrinkToFit="0" vertical="bottom" wrapText="0"/>
    </xf>
    <xf borderId="0" fillId="12" fontId="11" numFmtId="0" xfId="0" applyAlignment="1" applyFont="1">
      <alignment horizontal="right" shrinkToFit="0" wrapText="0"/>
    </xf>
    <xf borderId="8" fillId="15" fontId="18" numFmtId="4" xfId="0" applyAlignment="1" applyBorder="1" applyFont="1" applyNumberFormat="1">
      <alignment horizontal="center" readingOrder="0" shrinkToFit="0" wrapText="0"/>
    </xf>
    <xf borderId="9" fillId="15" fontId="17" numFmtId="4" xfId="0" applyAlignment="1" applyBorder="1" applyFont="1" applyNumberFormat="1">
      <alignment horizontal="center" readingOrder="0" shrinkToFit="0" wrapText="0"/>
    </xf>
    <xf borderId="9" fillId="15" fontId="11" numFmtId="4" xfId="0" applyAlignment="1" applyBorder="1" applyFont="1" applyNumberFormat="1">
      <alignment horizontal="center" shrinkToFit="0" wrapText="0"/>
    </xf>
    <xf borderId="2" fillId="9" fontId="17" numFmtId="0" xfId="0" applyAlignment="1" applyBorder="1" applyFont="1">
      <alignment readingOrder="0" shrinkToFit="0" vertical="bottom" wrapText="0"/>
    </xf>
    <xf borderId="11" fillId="7" fontId="17" numFmtId="4" xfId="0" applyAlignment="1" applyBorder="1" applyFont="1" applyNumberFormat="1">
      <alignment horizontal="center" readingOrder="0" shrinkToFit="0" vertical="bottom" wrapText="0"/>
    </xf>
    <xf borderId="4" fillId="17" fontId="17" numFmtId="4" xfId="0" applyAlignment="1" applyBorder="1" applyFill="1" applyFont="1" applyNumberFormat="1">
      <alignment horizontal="center" readingOrder="0" shrinkToFit="0" wrapText="0"/>
    </xf>
    <xf borderId="9" fillId="12" fontId="18" numFmtId="4" xfId="0" applyAlignment="1" applyBorder="1" applyFont="1" applyNumberFormat="1">
      <alignment horizontal="center" readingOrder="0" shrinkToFit="0" wrapText="0"/>
    </xf>
    <xf borderId="9" fillId="7" fontId="18" numFmtId="4" xfId="0" applyAlignment="1" applyBorder="1" applyFont="1" applyNumberFormat="1">
      <alignment horizontal="center" readingOrder="0" shrinkToFit="0" wrapText="0"/>
    </xf>
    <xf borderId="9" fillId="16" fontId="17" numFmtId="4" xfId="0" applyAlignment="1" applyBorder="1" applyFont="1" applyNumberFormat="1">
      <alignment horizontal="center" readingOrder="0" shrinkToFit="0" wrapText="0"/>
    </xf>
    <xf borderId="9" fillId="9" fontId="17" numFmtId="4" xfId="0" applyAlignment="1" applyBorder="1" applyFont="1" applyNumberFormat="1">
      <alignment horizontal="center" readingOrder="0" shrinkToFit="0" wrapText="0"/>
    </xf>
    <xf borderId="2" fillId="15" fontId="17" numFmtId="4" xfId="0" applyAlignment="1" applyBorder="1" applyFont="1" applyNumberFormat="1">
      <alignment horizontal="center" readingOrder="0" shrinkToFit="0" wrapText="0"/>
    </xf>
    <xf borderId="11" fillId="15" fontId="17" numFmtId="4" xfId="0" applyAlignment="1" applyBorder="1" applyFont="1" applyNumberFormat="1">
      <alignment horizontal="center" readingOrder="0" shrinkToFit="0" vertical="bottom" wrapText="0"/>
    </xf>
    <xf borderId="4" fillId="18" fontId="17" numFmtId="4" xfId="0" applyAlignment="1" applyBorder="1" applyFill="1" applyFont="1" applyNumberFormat="1">
      <alignment horizontal="center" readingOrder="0" shrinkToFit="0" wrapText="0"/>
    </xf>
    <xf borderId="9" fillId="18" fontId="18" numFmtId="4" xfId="0" applyAlignment="1" applyBorder="1" applyFont="1" applyNumberFormat="1">
      <alignment horizontal="center" readingOrder="0" shrinkToFit="0" wrapText="0"/>
    </xf>
    <xf borderId="9" fillId="18" fontId="17" numFmtId="4" xfId="0" applyAlignment="1" applyBorder="1" applyFont="1" applyNumberFormat="1">
      <alignment horizontal="center" readingOrder="0" shrinkToFit="0" wrapText="0"/>
    </xf>
    <xf borderId="12" fillId="14" fontId="11" numFmtId="0" xfId="0" applyAlignment="1" applyBorder="1" applyFont="1">
      <alignment horizontal="center" readingOrder="0" shrinkToFit="0" wrapText="0"/>
    </xf>
    <xf borderId="8" fillId="14" fontId="18" numFmtId="4" xfId="0" applyAlignment="1" applyBorder="1" applyFont="1" applyNumberFormat="1">
      <alignment horizontal="center" readingOrder="0" shrinkToFit="0" wrapText="0"/>
    </xf>
    <xf borderId="9" fillId="14" fontId="11" numFmtId="4" xfId="0" applyAlignment="1" applyBorder="1" applyFont="1" applyNumberFormat="1">
      <alignment horizontal="center" shrinkToFit="0" wrapText="0"/>
    </xf>
    <xf borderId="2" fillId="14" fontId="17" numFmtId="0" xfId="0" applyAlignment="1" applyBorder="1" applyFont="1">
      <alignment readingOrder="0" shrinkToFit="0" vertical="bottom" wrapText="0"/>
    </xf>
    <xf borderId="2" fillId="14" fontId="17" numFmtId="4" xfId="0" applyAlignment="1" applyBorder="1" applyFont="1" applyNumberFormat="1">
      <alignment horizontal="center" readingOrder="0" shrinkToFit="0" wrapText="0"/>
    </xf>
    <xf borderId="2" fillId="18" fontId="15" numFmtId="0" xfId="0" applyAlignment="1" applyBorder="1" applyFont="1">
      <alignment horizontal="center" readingOrder="0" shrinkToFit="0" wrapText="0"/>
    </xf>
    <xf borderId="8" fillId="3" fontId="17" numFmtId="0" xfId="0" applyAlignment="1" applyBorder="1" applyFont="1">
      <alignment horizontal="left" readingOrder="0" shrinkToFit="0" wrapText="0"/>
    </xf>
    <xf borderId="9" fillId="3" fontId="11" numFmtId="0" xfId="0" applyAlignment="1" applyBorder="1" applyFont="1">
      <alignment shrinkToFit="0" vertical="bottom" wrapText="0"/>
    </xf>
    <xf borderId="9" fillId="3" fontId="17" numFmtId="4" xfId="0" applyAlignment="1" applyBorder="1" applyFont="1" applyNumberFormat="1">
      <alignment readingOrder="0" shrinkToFit="0" vertical="bottom" wrapText="0"/>
    </xf>
    <xf borderId="9" fillId="19" fontId="17" numFmtId="4" xfId="0" applyAlignment="1" applyBorder="1" applyFill="1" applyFont="1" applyNumberFormat="1">
      <alignment horizontal="center" readingOrder="0" shrinkToFit="0" wrapText="0"/>
    </xf>
    <xf borderId="9" fillId="20" fontId="17" numFmtId="4" xfId="0" applyAlignment="1" applyBorder="1" applyFill="1" applyFont="1" applyNumberFormat="1">
      <alignment horizontal="center" readingOrder="0" shrinkToFit="0" wrapText="0"/>
    </xf>
    <xf borderId="9" fillId="20" fontId="11" numFmtId="4" xfId="0" applyAlignment="1" applyBorder="1" applyFont="1" applyNumberFormat="1">
      <alignment horizontal="center" shrinkToFit="0" wrapText="0"/>
    </xf>
    <xf borderId="2" fillId="20" fontId="17" numFmtId="0" xfId="0" applyAlignment="1" applyBorder="1" applyFont="1">
      <alignment readingOrder="0" shrinkToFit="0" vertical="bottom" wrapText="0"/>
    </xf>
    <xf borderId="9" fillId="21" fontId="17" numFmtId="4" xfId="0" applyAlignment="1" applyBorder="1" applyFill="1" applyFont="1" applyNumberFormat="1">
      <alignment horizontal="center" readingOrder="0" shrinkToFit="0" wrapText="0"/>
    </xf>
    <xf borderId="2" fillId="21" fontId="17" numFmtId="0" xfId="0" applyAlignment="1" applyBorder="1" applyFont="1">
      <alignment readingOrder="0" shrinkToFit="0" vertical="bottom" wrapText="0"/>
    </xf>
    <xf borderId="0" fillId="3" fontId="11" numFmtId="4" xfId="0" applyAlignment="1" applyFont="1" applyNumberFormat="1">
      <alignment horizontal="center" shrinkToFit="0" wrapText="0"/>
    </xf>
    <xf borderId="9" fillId="22" fontId="17" numFmtId="4" xfId="0" applyAlignment="1" applyBorder="1" applyFill="1" applyFont="1" applyNumberFormat="1">
      <alignment horizontal="center" readingOrder="0" shrinkToFit="0" wrapText="0"/>
    </xf>
    <xf borderId="9" fillId="23" fontId="17" numFmtId="4" xfId="0" applyAlignment="1" applyBorder="1" applyFill="1" applyFont="1" applyNumberFormat="1">
      <alignment horizontal="center" readingOrder="0" shrinkToFit="0" wrapText="0"/>
    </xf>
    <xf borderId="0" fillId="21" fontId="11" numFmtId="0" xfId="0" applyAlignment="1" applyFont="1">
      <alignment horizontal="right" shrinkToFit="0" wrapText="0"/>
    </xf>
    <xf borderId="0" fillId="15" fontId="11" numFmtId="0" xfId="0" applyAlignment="1" applyFont="1">
      <alignment horizontal="right" shrinkToFit="0" wrapText="0"/>
    </xf>
    <xf borderId="0" fillId="24" fontId="11" numFmtId="0" xfId="0" applyAlignment="1" applyFill="1" applyFont="1">
      <alignment horizontal="right" shrinkToFit="0" wrapText="0"/>
    </xf>
    <xf borderId="2" fillId="14" fontId="32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3" fontId="17" numFmtId="0" xfId="0" applyAlignment="1" applyFont="1">
      <alignment horizontal="right" readingOrder="0" shrinkToFit="0" wrapText="0"/>
    </xf>
    <xf borderId="8" fillId="12" fontId="18" numFmtId="4" xfId="0" applyAlignment="1" applyBorder="1" applyFont="1" applyNumberFormat="1">
      <alignment horizontal="center" readingOrder="0" shrinkToFit="0" wrapText="0"/>
    </xf>
    <xf borderId="2" fillId="7" fontId="17" numFmtId="0" xfId="0" applyAlignment="1" applyBorder="1" applyFont="1">
      <alignment readingOrder="0" shrinkToFit="0" vertical="bottom" wrapText="0"/>
    </xf>
    <xf borderId="0" fillId="7" fontId="11" numFmtId="0" xfId="0" applyAlignment="1" applyFont="1">
      <alignment shrinkToFit="0" vertical="bottom" wrapText="0"/>
    </xf>
    <xf borderId="0" fillId="7" fontId="11" numFmtId="0" xfId="0" applyAlignment="1" applyFont="1">
      <alignment horizontal="right" shrinkToFit="0" wrapText="0"/>
    </xf>
    <xf borderId="8" fillId="3" fontId="18" numFmtId="4" xfId="0" applyAlignment="1" applyBorder="1" applyFont="1" applyNumberFormat="1">
      <alignment horizontal="center" readingOrder="0" shrinkToFit="0" wrapText="0"/>
    </xf>
    <xf borderId="9" fillId="25" fontId="11" numFmtId="4" xfId="0" applyAlignment="1" applyBorder="1" applyFill="1" applyFont="1" applyNumberFormat="1">
      <alignment horizontal="center" shrinkToFit="0" wrapText="0"/>
    </xf>
    <xf borderId="2" fillId="25" fontId="17" numFmtId="0" xfId="0" applyAlignment="1" applyBorder="1" applyFont="1">
      <alignment readingOrder="0" shrinkToFit="0" vertical="bottom" wrapText="0"/>
    </xf>
    <xf borderId="8" fillId="26" fontId="18" numFmtId="4" xfId="0" applyAlignment="1" applyBorder="1" applyFill="1" applyFont="1" applyNumberFormat="1">
      <alignment horizontal="center" readingOrder="0" shrinkToFit="0" wrapText="0"/>
    </xf>
    <xf borderId="9" fillId="26" fontId="11" numFmtId="4" xfId="0" applyAlignment="1" applyBorder="1" applyFont="1" applyNumberFormat="1">
      <alignment horizontal="center" shrinkToFit="0" wrapText="0"/>
    </xf>
    <xf borderId="2" fillId="26" fontId="17" numFmtId="0" xfId="0" applyAlignment="1" applyBorder="1" applyFont="1">
      <alignment readingOrder="0" shrinkToFit="0" vertical="bottom" wrapText="0"/>
    </xf>
    <xf borderId="12" fillId="15" fontId="11" numFmtId="0" xfId="0" applyAlignment="1" applyBorder="1" applyFont="1">
      <alignment horizontal="center" readingOrder="0" shrinkToFit="0" wrapText="0"/>
    </xf>
    <xf borderId="2" fillId="27" fontId="17" numFmtId="0" xfId="0" applyAlignment="1" applyBorder="1" applyFill="1" applyFont="1">
      <alignment readingOrder="0" shrinkToFit="0" vertical="bottom" wrapText="0"/>
    </xf>
    <xf borderId="0" fillId="27" fontId="11" numFmtId="0" xfId="0" applyAlignment="1" applyFont="1">
      <alignment shrinkToFit="0" vertical="bottom" wrapText="0"/>
    </xf>
    <xf borderId="0" fillId="27" fontId="11" numFmtId="0" xfId="0" applyAlignment="1" applyFont="1">
      <alignment horizontal="right" shrinkToFit="0" wrapText="0"/>
    </xf>
    <xf borderId="4" fillId="3" fontId="17" numFmtId="4" xfId="0" applyAlignment="1" applyBorder="1" applyFont="1" applyNumberFormat="1">
      <alignment horizontal="center" readingOrder="0" shrinkToFit="0" wrapText="0"/>
    </xf>
    <xf borderId="9" fillId="25" fontId="17" numFmtId="4" xfId="0" applyAlignment="1" applyBorder="1" applyFont="1" applyNumberFormat="1">
      <alignment horizontal="center" readingOrder="0" shrinkToFit="0" wrapText="0"/>
    </xf>
    <xf borderId="9" fillId="26" fontId="17" numFmtId="4" xfId="0" applyAlignment="1" applyBorder="1" applyFont="1" applyNumberFormat="1">
      <alignment horizontal="center" readingOrder="0" shrinkToFit="0" wrapText="0"/>
    </xf>
    <xf borderId="0" fillId="28" fontId="17" numFmtId="0" xfId="0" applyAlignment="1" applyFill="1" applyFont="1">
      <alignment readingOrder="0" shrinkToFit="0" vertical="bottom" wrapText="0"/>
    </xf>
    <xf borderId="0" fillId="28" fontId="11" numFmtId="0" xfId="0" applyAlignment="1" applyFont="1">
      <alignment horizontal="right" shrinkToFit="0" wrapText="0"/>
    </xf>
    <xf borderId="2" fillId="13" fontId="11" numFmtId="0" xfId="0" applyAlignment="1" applyBorder="1" applyFont="1">
      <alignment horizontal="right" shrinkToFit="0" wrapText="0"/>
    </xf>
    <xf borderId="2" fillId="0" fontId="17" numFmtId="0" xfId="0" applyAlignment="1" applyBorder="1" applyFont="1">
      <alignment horizontal="right" readingOrder="0" shrinkToFit="0" wrapText="0"/>
    </xf>
    <xf borderId="2" fillId="18" fontId="11" numFmtId="0" xfId="0" applyAlignment="1" applyBorder="1" applyFont="1">
      <alignment horizontal="right" shrinkToFit="0" wrapText="0"/>
    </xf>
    <xf borderId="2" fillId="14" fontId="11" numFmtId="0" xfId="0" applyAlignment="1" applyBorder="1" applyFont="1">
      <alignment horizontal="right" shrinkToFit="0" wrapText="0"/>
    </xf>
    <xf borderId="9" fillId="0" fontId="32" numFmtId="4" xfId="0" applyAlignment="1" applyBorder="1" applyFont="1" applyNumberFormat="1">
      <alignment horizontal="center" readingOrder="0" shrinkToFit="0" wrapText="0"/>
    </xf>
    <xf borderId="4" fillId="7" fontId="17" numFmtId="4" xfId="0" applyAlignment="1" applyBorder="1" applyFont="1" applyNumberFormat="1">
      <alignment horizontal="center" readingOrder="0" shrinkToFit="0" wrapText="0"/>
    </xf>
    <xf borderId="8" fillId="18" fontId="18" numFmtId="4" xfId="0" applyAlignment="1" applyBorder="1" applyFont="1" applyNumberFormat="1">
      <alignment horizontal="center" readingOrder="0" shrinkToFit="0" wrapText="0"/>
    </xf>
    <xf borderId="9" fillId="18" fontId="19" numFmtId="4" xfId="0" applyAlignment="1" applyBorder="1" applyFont="1" applyNumberFormat="1">
      <alignment horizontal="center" shrinkToFit="0" wrapText="0"/>
    </xf>
    <xf borderId="2" fillId="18" fontId="17" numFmtId="0" xfId="0" applyAlignment="1" applyBorder="1" applyFont="1">
      <alignment readingOrder="0" shrinkToFit="0" vertical="bottom" wrapText="0"/>
    </xf>
    <xf borderId="9" fillId="17" fontId="18" numFmtId="4" xfId="0" applyAlignment="1" applyBorder="1" applyFont="1" applyNumberFormat="1">
      <alignment horizontal="center" readingOrder="0" shrinkToFit="0" wrapText="0"/>
    </xf>
    <xf borderId="9" fillId="18" fontId="11" numFmtId="4" xfId="0" applyAlignment="1" applyBorder="1" applyFont="1" applyNumberFormat="1">
      <alignment horizontal="center" shrinkToFit="0" wrapText="0"/>
    </xf>
    <xf borderId="0" fillId="29" fontId="17" numFmtId="0" xfId="0" applyAlignment="1" applyFill="1" applyFont="1">
      <alignment readingOrder="0" shrinkToFit="0" vertical="bottom" wrapText="0"/>
    </xf>
    <xf borderId="13" fillId="0" fontId="11" numFmtId="4" xfId="0" applyAlignment="1" applyBorder="1" applyFont="1" applyNumberFormat="1">
      <alignment horizontal="center" readingOrder="0" shrinkToFit="0" wrapText="0"/>
    </xf>
    <xf borderId="9" fillId="5" fontId="19" numFmtId="4" xfId="0" applyAlignment="1" applyBorder="1" applyFont="1" applyNumberFormat="1">
      <alignment horizontal="center" shrinkToFit="0" wrapText="0"/>
    </xf>
    <xf borderId="0" fillId="13" fontId="17" numFmtId="0" xfId="0" applyAlignment="1" applyFont="1">
      <alignment horizontal="right" readingOrder="0" shrinkToFit="0" wrapText="0"/>
    </xf>
    <xf borderId="9" fillId="30" fontId="11" numFmtId="4" xfId="0" applyAlignment="1" applyBorder="1" applyFill="1" applyFont="1" applyNumberFormat="1">
      <alignment horizontal="center" shrinkToFit="0" wrapText="0"/>
    </xf>
    <xf borderId="2" fillId="30" fontId="17" numFmtId="0" xfId="0" applyAlignment="1" applyBorder="1" applyFont="1">
      <alignment readingOrder="0" shrinkToFit="0" vertical="bottom" wrapText="0"/>
    </xf>
    <xf borderId="0" fillId="17" fontId="17" numFmtId="0" xfId="0" applyAlignment="1" applyFont="1">
      <alignment horizontal="right" readingOrder="0" shrinkToFit="0" wrapText="0"/>
    </xf>
    <xf borderId="0" fillId="31" fontId="17" numFmtId="0" xfId="0" applyAlignment="1" applyFill="1" applyFont="1">
      <alignment readingOrder="0" shrinkToFit="0" vertical="bottom" wrapText="0"/>
    </xf>
    <xf borderId="12" fillId="12" fontId="11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9" fillId="32" fontId="17" numFmtId="4" xfId="0" applyAlignment="1" applyBorder="1" applyFill="1" applyFont="1" applyNumberFormat="1">
      <alignment horizontal="center" readingOrder="0" shrinkToFit="0" wrapText="0"/>
    </xf>
    <xf borderId="12" fillId="13" fontId="11" numFmtId="0" xfId="0" applyAlignment="1" applyBorder="1" applyFont="1">
      <alignment horizontal="center" readingOrder="0" shrinkToFit="0" wrapText="0"/>
    </xf>
    <xf borderId="8" fillId="13" fontId="18" numFmtId="4" xfId="0" applyAlignment="1" applyBorder="1" applyFont="1" applyNumberFormat="1">
      <alignment horizontal="center" readingOrder="0" shrinkToFit="0" wrapText="0"/>
    </xf>
    <xf borderId="9" fillId="13" fontId="11" numFmtId="4" xfId="0" applyAlignment="1" applyBorder="1" applyFont="1" applyNumberFormat="1">
      <alignment horizontal="center" shrinkToFit="0" wrapText="0"/>
    </xf>
    <xf borderId="0" fillId="12" fontId="31" numFmtId="0" xfId="0" applyAlignment="1" applyFont="1">
      <alignment readingOrder="0"/>
    </xf>
    <xf borderId="12" fillId="17" fontId="11" numFmtId="0" xfId="0" applyAlignment="1" applyBorder="1" applyFont="1">
      <alignment horizontal="center" readingOrder="0" shrinkToFit="0" wrapText="0"/>
    </xf>
    <xf borderId="8" fillId="17" fontId="18" numFmtId="4" xfId="0" applyAlignment="1" applyBorder="1" applyFont="1" applyNumberFormat="1">
      <alignment horizontal="center" readingOrder="0" shrinkToFit="0" wrapText="0"/>
    </xf>
    <xf borderId="9" fillId="17" fontId="11" numFmtId="4" xfId="0" applyAlignment="1" applyBorder="1" applyFont="1" applyNumberFormat="1">
      <alignment horizontal="center" shrinkToFit="0" wrapText="0"/>
    </xf>
    <xf borderId="9" fillId="17" fontId="17" numFmtId="4" xfId="0" applyAlignment="1" applyBorder="1" applyFont="1" applyNumberFormat="1">
      <alignment horizontal="center" readingOrder="0" shrinkToFit="0" wrapText="0"/>
    </xf>
    <xf borderId="2" fillId="17" fontId="17" numFmtId="0" xfId="0" applyAlignment="1" applyBorder="1" applyFont="1">
      <alignment readingOrder="0" shrinkToFit="0" vertical="bottom" wrapText="0"/>
    </xf>
    <xf borderId="9" fillId="7" fontId="17" numFmtId="4" xfId="0" applyAlignment="1" applyBorder="1" applyFont="1" applyNumberFormat="1">
      <alignment horizontal="center" readingOrder="0" shrinkToFit="0" wrapText="0"/>
    </xf>
    <xf borderId="9" fillId="7" fontId="11" numFmtId="4" xfId="0" applyAlignment="1" applyBorder="1" applyFont="1" applyNumberFormat="1">
      <alignment horizontal="center" shrinkToFit="0" wrapText="0"/>
    </xf>
    <xf borderId="0" fillId="3" fontId="31" numFmtId="0" xfId="0" applyAlignment="1" applyFont="1">
      <alignment readingOrder="0"/>
    </xf>
    <xf borderId="0" fillId="33" fontId="17" numFmtId="0" xfId="0" applyAlignment="1" applyFill="1" applyFont="1">
      <alignment horizontal="right" readingOrder="0" shrinkToFit="0" wrapText="0"/>
    </xf>
    <xf borderId="12" fillId="33" fontId="11" numFmtId="0" xfId="0" applyAlignment="1" applyBorder="1" applyFont="1">
      <alignment horizontal="center" readingOrder="0" shrinkToFit="0" wrapText="0"/>
    </xf>
    <xf borderId="8" fillId="33" fontId="18" numFmtId="4" xfId="0" applyAlignment="1" applyBorder="1" applyFont="1" applyNumberFormat="1">
      <alignment horizontal="center" readingOrder="0" shrinkToFit="0" wrapText="0"/>
    </xf>
    <xf borderId="9" fillId="33" fontId="11" numFmtId="4" xfId="0" applyAlignment="1" applyBorder="1" applyFont="1" applyNumberFormat="1">
      <alignment horizontal="center" shrinkToFit="0" wrapText="0"/>
    </xf>
    <xf borderId="9" fillId="33" fontId="17" numFmtId="4" xfId="0" applyAlignment="1" applyBorder="1" applyFont="1" applyNumberFormat="1">
      <alignment horizontal="center" readingOrder="0" shrinkToFit="0" wrapText="0"/>
    </xf>
    <xf borderId="0" fillId="33" fontId="31" numFmtId="0" xfId="0" applyAlignment="1" applyFont="1">
      <alignment readingOrder="0"/>
    </xf>
    <xf borderId="2" fillId="33" fontId="17" numFmtId="0" xfId="0" applyAlignment="1" applyBorder="1" applyFont="1">
      <alignment readingOrder="0" shrinkToFit="0" vertical="bottom" wrapText="0"/>
    </xf>
    <xf borderId="12" fillId="5" fontId="11" numFmtId="0" xfId="0" applyAlignment="1" applyBorder="1" applyFont="1">
      <alignment horizontal="center" readingOrder="0" shrinkToFit="0" wrapText="0"/>
    </xf>
    <xf borderId="8" fillId="5" fontId="18" numFmtId="4" xfId="0" applyAlignment="1" applyBorder="1" applyFont="1" applyNumberFormat="1">
      <alignment horizontal="center" readingOrder="0" shrinkToFit="0" wrapText="0"/>
    </xf>
    <xf borderId="2" fillId="5" fontId="17" numFmtId="0" xfId="0" applyAlignment="1" applyBorder="1" applyFont="1">
      <alignment readingOrder="0" shrinkToFit="0" vertical="bottom" wrapText="0"/>
    </xf>
    <xf borderId="9" fillId="34" fontId="17" numFmtId="4" xfId="0" applyAlignment="1" applyBorder="1" applyFill="1" applyFont="1" applyNumberFormat="1">
      <alignment horizontal="center" readingOrder="0" shrinkToFit="0" wrapText="0"/>
    </xf>
    <xf borderId="9" fillId="34" fontId="11" numFmtId="4" xfId="0" applyAlignment="1" applyBorder="1" applyFont="1" applyNumberFormat="1">
      <alignment horizontal="center" shrinkToFit="0" wrapText="0"/>
    </xf>
    <xf borderId="2" fillId="34" fontId="11" numFmtId="0" xfId="0" applyAlignment="1" applyBorder="1" applyFont="1">
      <alignment readingOrder="0" shrinkToFit="0" vertical="bottom" wrapText="0"/>
    </xf>
    <xf borderId="0" fillId="34" fontId="11" numFmtId="0" xfId="0" applyAlignment="1" applyFont="1">
      <alignment shrinkToFit="0" vertical="bottom" wrapText="0"/>
    </xf>
    <xf borderId="0" fillId="34" fontId="11" numFmtId="0" xfId="0" applyAlignment="1" applyFont="1">
      <alignment horizontal="right" shrinkToFit="0" wrapText="0"/>
    </xf>
    <xf borderId="2" fillId="33" fontId="15" numFmtId="0" xfId="0" applyAlignment="1" applyBorder="1" applyFont="1">
      <alignment horizontal="center" readingOrder="0" shrinkToFit="0" wrapText="0"/>
    </xf>
    <xf borderId="0" fillId="18" fontId="17" numFmtId="0" xfId="0" applyAlignment="1" applyFont="1">
      <alignment horizontal="right" readingOrder="0" shrinkToFit="0" wrapText="0"/>
    </xf>
    <xf borderId="12" fillId="15" fontId="17" numFmtId="0" xfId="0" applyAlignment="1" applyBorder="1" applyFont="1">
      <alignment horizontal="center" readingOrder="0" shrinkToFit="0" wrapText="0"/>
    </xf>
    <xf borderId="4" fillId="15" fontId="18" numFmtId="4" xfId="0" applyAlignment="1" applyBorder="1" applyFont="1" applyNumberFormat="1">
      <alignment horizontal="center" readingOrder="0" shrinkToFit="0" wrapText="0"/>
    </xf>
    <xf borderId="4" fillId="15" fontId="17" numFmtId="4" xfId="0" applyAlignment="1" applyBorder="1" applyFont="1" applyNumberFormat="1">
      <alignment horizontal="center" readingOrder="0" shrinkToFit="0" wrapText="0"/>
    </xf>
    <xf borderId="4" fillId="15" fontId="19" numFmtId="4" xfId="0" applyAlignment="1" applyBorder="1" applyFont="1" applyNumberFormat="1">
      <alignment horizontal="center" shrinkToFit="0" wrapText="0"/>
    </xf>
    <xf borderId="0" fillId="18" fontId="11" numFmtId="0" xfId="0" applyAlignment="1" applyFont="1">
      <alignment shrinkToFit="0" vertical="bottom" wrapText="0"/>
    </xf>
    <xf borderId="0" fillId="18" fontId="11" numFmtId="0" xfId="0" applyAlignment="1" applyFont="1">
      <alignment horizontal="right" shrinkToFit="0" wrapText="0"/>
    </xf>
    <xf borderId="0" fillId="35" fontId="17" numFmtId="0" xfId="0" applyAlignment="1" applyFill="1" applyFont="1">
      <alignment horizontal="right" readingOrder="0" shrinkToFit="0" wrapText="0"/>
    </xf>
    <xf borderId="9" fillId="35" fontId="17" numFmtId="4" xfId="0" applyAlignment="1" applyBorder="1" applyFont="1" applyNumberFormat="1">
      <alignment horizontal="center" readingOrder="0" shrinkToFit="0" wrapText="0"/>
    </xf>
    <xf borderId="2" fillId="35" fontId="17" numFmtId="0" xfId="0" applyAlignment="1" applyBorder="1" applyFont="1">
      <alignment readingOrder="0" shrinkToFit="0" vertical="bottom" wrapText="0"/>
    </xf>
    <xf borderId="0" fillId="13" fontId="31" numFmtId="0" xfId="0" applyFont="1"/>
    <xf borderId="9" fillId="18" fontId="17" numFmtId="4" xfId="0" applyAlignment="1" applyBorder="1" applyFont="1" applyNumberFormat="1">
      <alignment readingOrder="0" shrinkToFit="0" vertical="bottom" wrapText="0"/>
    </xf>
    <xf borderId="0" fillId="15" fontId="17" numFmtId="0" xfId="0" applyAlignment="1" applyFont="1">
      <alignment horizontal="right" readingOrder="0" shrinkToFit="0" wrapText="0"/>
    </xf>
    <xf borderId="11" fillId="18" fontId="17" numFmtId="4" xfId="0" applyAlignment="1" applyBorder="1" applyFont="1" applyNumberFormat="1">
      <alignment horizontal="center" readingOrder="0" shrinkToFit="0" vertical="bottom" wrapText="0"/>
    </xf>
    <xf borderId="4" fillId="13" fontId="17" numFmtId="4" xfId="0" applyAlignment="1" applyBorder="1" applyFont="1" applyNumberFormat="1">
      <alignment horizontal="center" readingOrder="0" shrinkToFit="0" wrapText="0"/>
    </xf>
    <xf borderId="0" fillId="5" fontId="11" numFmtId="4" xfId="0" applyAlignment="1" applyFont="1" applyNumberFormat="1">
      <alignment horizontal="center" shrinkToFit="0" wrapText="0"/>
    </xf>
    <xf borderId="8" fillId="17" fontId="17" numFmtId="0" xfId="0" applyAlignment="1" applyBorder="1" applyFont="1">
      <alignment horizontal="left" readingOrder="0" shrinkToFit="0" wrapText="0"/>
    </xf>
    <xf borderId="9" fillId="17" fontId="11" numFmtId="0" xfId="0" applyAlignment="1" applyBorder="1" applyFont="1">
      <alignment shrinkToFit="0" vertical="bottom" wrapText="0"/>
    </xf>
    <xf borderId="0" fillId="0" fontId="11" numFmtId="0" xfId="0" applyAlignment="1" applyFont="1">
      <alignment horizontal="right" readingOrder="0" shrinkToFit="0" wrapText="0"/>
    </xf>
    <xf borderId="12" fillId="3" fontId="11" numFmtId="0" xfId="0" applyAlignment="1" applyBorder="1" applyFont="1">
      <alignment horizontal="center" readingOrder="0" shrinkToFit="0" wrapText="0"/>
    </xf>
    <xf borderId="8" fillId="3" fontId="21" numFmtId="0" xfId="0" applyAlignment="1" applyBorder="1" applyFont="1">
      <alignment horizontal="left" readingOrder="0" shrinkToFit="0" wrapText="0"/>
    </xf>
    <xf borderId="0" fillId="14" fontId="17" numFmtId="0" xfId="0" applyAlignment="1" applyFont="1">
      <alignment horizontal="right" readingOrder="0" shrinkToFit="0" wrapText="0"/>
    </xf>
    <xf borderId="9" fillId="3" fontId="33" numFmtId="0" xfId="0" applyAlignment="1" applyBorder="1" applyFont="1">
      <alignment horizontal="right" readingOrder="0" shrinkToFit="0" wrapText="0"/>
    </xf>
    <xf borderId="9" fillId="36" fontId="17" numFmtId="4" xfId="0" applyAlignment="1" applyBorder="1" applyFill="1" applyFont="1" applyNumberFormat="1">
      <alignment horizontal="center" readingOrder="0" shrinkToFit="0" wrapText="0"/>
    </xf>
    <xf borderId="0" fillId="36" fontId="17" numFmtId="0" xfId="0" applyAlignment="1" applyFont="1">
      <alignment horizontal="right" readingOrder="0" shrinkToFit="0" wrapText="0"/>
    </xf>
    <xf borderId="9" fillId="37" fontId="17" numFmtId="4" xfId="0" applyAlignment="1" applyBorder="1" applyFill="1" applyFont="1" applyNumberFormat="1">
      <alignment horizontal="center" readingOrder="0" shrinkToFit="0" wrapText="0"/>
    </xf>
    <xf borderId="0" fillId="37" fontId="17" numFmtId="0" xfId="0" applyAlignment="1" applyFont="1">
      <alignment horizontal="right" readingOrder="0" shrinkToFit="0" wrapText="0"/>
    </xf>
    <xf borderId="2" fillId="9" fontId="34" numFmtId="4" xfId="0" applyAlignment="1" applyBorder="1" applyFont="1" applyNumberFormat="1">
      <alignment horizontal="right" readingOrder="0" shrinkToFit="0" vertical="bottom" wrapText="0"/>
    </xf>
    <xf borderId="0" fillId="38" fontId="17" numFmtId="0" xfId="0" applyAlignment="1" applyFill="1" applyFont="1">
      <alignment horizontal="right" readingOrder="0" shrinkToFit="0" wrapText="0"/>
    </xf>
    <xf borderId="3" fillId="2" fontId="3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414493472"/>
        <c:axId val="1956669825"/>
      </c:barChart>
      <c:catAx>
        <c:axId val="41449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669825"/>
      </c:catAx>
      <c:valAx>
        <c:axId val="19566698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4493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117910.0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21017.0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40607.0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F140-C15</f>
        <v>48049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G140-W33</f>
        <v>21057</v>
      </c>
      <c r="D10" s="24"/>
      <c r="E10" s="43">
        <v>1.0</v>
      </c>
      <c r="F10" s="44">
        <v>325.0</v>
      </c>
      <c r="G10" s="45"/>
      <c r="H10" s="129">
        <v>325.0</v>
      </c>
      <c r="I10" s="45"/>
      <c r="J10" s="130">
        <v>3259.0</v>
      </c>
      <c r="K10" s="24"/>
      <c r="L10" s="47">
        <v>215.0</v>
      </c>
      <c r="M10" s="47"/>
      <c r="N10" s="47">
        <v>3045.0</v>
      </c>
      <c r="O10" s="49"/>
      <c r="P10" s="85" t="s">
        <v>42</v>
      </c>
      <c r="Q10" s="51"/>
      <c r="R10" s="52">
        <v>150.0</v>
      </c>
      <c r="S10" s="53"/>
      <c r="T10" s="54"/>
      <c r="U10" s="55"/>
      <c r="V10" s="24"/>
      <c r="W10" s="47">
        <v>332.0</v>
      </c>
      <c r="X10" s="47"/>
      <c r="Y10" s="47">
        <v>27.0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H140-X33</f>
        <v>24099</v>
      </c>
      <c r="D11" s="24"/>
      <c r="E11" s="43">
        <v>2.0</v>
      </c>
      <c r="F11" s="56">
        <v>132.0</v>
      </c>
      <c r="G11" s="57">
        <v>132.0</v>
      </c>
      <c r="H11" s="58"/>
      <c r="I11" s="59"/>
      <c r="J11" s="130">
        <v>3260.0</v>
      </c>
      <c r="K11" s="24"/>
      <c r="L11" s="48"/>
      <c r="M11" s="131">
        <v>257.0</v>
      </c>
      <c r="N11" s="131" t="s">
        <v>43</v>
      </c>
      <c r="O11" s="49"/>
      <c r="P11" s="72" t="s">
        <v>44</v>
      </c>
      <c r="Q11" s="51"/>
      <c r="R11" s="52">
        <v>395.0</v>
      </c>
      <c r="S11" s="53"/>
      <c r="T11" s="61"/>
      <c r="U11" s="62"/>
      <c r="V11" s="24"/>
      <c r="W11" s="47">
        <v>1999.0</v>
      </c>
      <c r="X11" s="47"/>
      <c r="Y11" s="47">
        <v>26.0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I140</f>
        <v>5645</v>
      </c>
      <c r="D12" s="24"/>
      <c r="E12" s="43">
        <v>3.0</v>
      </c>
      <c r="F12" s="63">
        <v>154.0</v>
      </c>
      <c r="G12" s="64"/>
      <c r="H12" s="132">
        <v>154.0</v>
      </c>
      <c r="I12" s="65"/>
      <c r="J12" s="130">
        <v>3261.0</v>
      </c>
      <c r="K12" s="24"/>
      <c r="L12" s="48"/>
      <c r="M12" s="131">
        <v>208.0</v>
      </c>
      <c r="N12" s="131" t="s">
        <v>45</v>
      </c>
      <c r="O12" s="49"/>
      <c r="P12" s="72" t="s">
        <v>46</v>
      </c>
      <c r="Q12" s="51"/>
      <c r="R12" s="52">
        <v>717.0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6013</v>
      </c>
      <c r="D13" s="24"/>
      <c r="E13" s="43">
        <v>4.0</v>
      </c>
      <c r="F13" s="56">
        <v>40.0</v>
      </c>
      <c r="G13" s="64"/>
      <c r="H13" s="132">
        <v>40.0</v>
      </c>
      <c r="I13" s="65"/>
      <c r="J13" s="130">
        <v>3262.0</v>
      </c>
      <c r="K13" s="24"/>
      <c r="L13" s="47">
        <v>4570.0</v>
      </c>
      <c r="M13" s="48"/>
      <c r="N13" s="47">
        <v>3187.0</v>
      </c>
      <c r="O13" s="49"/>
      <c r="P13" s="72" t="s">
        <v>47</v>
      </c>
      <c r="Q13" s="51"/>
      <c r="R13" s="52">
        <v>80.0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465</v>
      </c>
      <c r="D14" s="24"/>
      <c r="E14" s="43">
        <v>5.0</v>
      </c>
      <c r="F14" s="56">
        <v>12.0</v>
      </c>
      <c r="G14" s="64">
        <v>12.0</v>
      </c>
      <c r="H14" s="65"/>
      <c r="I14" s="65"/>
      <c r="J14" s="130">
        <v>3263.0</v>
      </c>
      <c r="K14" s="24"/>
      <c r="L14" s="47">
        <v>1228.0</v>
      </c>
      <c r="M14" s="48"/>
      <c r="N14" s="47">
        <v>3008.0</v>
      </c>
      <c r="O14" s="49"/>
      <c r="P14" s="72" t="s">
        <v>48</v>
      </c>
      <c r="Q14" s="51"/>
      <c r="R14" s="52">
        <v>250.0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2331</v>
      </c>
      <c r="D15" s="24"/>
      <c r="E15" s="43">
        <v>6.0</v>
      </c>
      <c r="F15" s="56">
        <v>56.0</v>
      </c>
      <c r="G15" s="64"/>
      <c r="H15" s="132">
        <v>56.0</v>
      </c>
      <c r="I15" s="65"/>
      <c r="J15" s="130">
        <v>3264.0</v>
      </c>
      <c r="K15" s="24"/>
      <c r="L15" s="47"/>
      <c r="M15" s="48"/>
      <c r="N15" s="47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1592</v>
      </c>
      <c r="D16" s="24"/>
      <c r="E16" s="43">
        <v>7.0</v>
      </c>
      <c r="F16" s="56">
        <v>4912.0</v>
      </c>
      <c r="G16" s="64"/>
      <c r="H16" s="64"/>
      <c r="I16" s="64">
        <v>4912.0</v>
      </c>
      <c r="J16" s="130">
        <v>3265.0</v>
      </c>
      <c r="K16" s="24"/>
      <c r="L16" s="47"/>
      <c r="M16" s="48"/>
      <c r="N16" s="47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1592</v>
      </c>
      <c r="D17" s="24"/>
      <c r="E17" s="43">
        <v>8.0</v>
      </c>
      <c r="F17" s="56">
        <v>940.0</v>
      </c>
      <c r="G17" s="64">
        <v>940.0</v>
      </c>
      <c r="H17" s="64"/>
      <c r="I17" s="65"/>
      <c r="J17" s="130">
        <v>3266.0</v>
      </c>
      <c r="K17" s="24"/>
      <c r="L17" s="47"/>
      <c r="M17" s="48"/>
      <c r="N17" s="47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312.0</v>
      </c>
      <c r="G18" s="64">
        <v>312.0</v>
      </c>
      <c r="H18" s="64"/>
      <c r="I18" s="65"/>
      <c r="J18" s="130">
        <v>3267.0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1045.0</v>
      </c>
      <c r="G19" s="64"/>
      <c r="H19" s="132">
        <v>1045.0</v>
      </c>
      <c r="I19" s="65"/>
      <c r="J19" s="130">
        <v>3268.0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39774</v>
      </c>
      <c r="D20" s="24"/>
      <c r="E20" s="43">
        <v>11.0</v>
      </c>
      <c r="F20" s="56">
        <v>302.0</v>
      </c>
      <c r="G20" s="64">
        <v>302.0</v>
      </c>
      <c r="H20" s="64"/>
      <c r="I20" s="65"/>
      <c r="J20" s="130">
        <v>3269.0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24564</v>
      </c>
      <c r="D21" s="24"/>
      <c r="E21" s="43">
        <v>12.0</v>
      </c>
      <c r="F21" s="56">
        <v>1084.0</v>
      </c>
      <c r="G21" s="65"/>
      <c r="H21" s="132">
        <v>1084.0</v>
      </c>
      <c r="I21" s="65"/>
      <c r="J21" s="130">
        <v>3270.0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143388</v>
      </c>
      <c r="D22" s="24"/>
      <c r="E22" s="43">
        <v>13.0</v>
      </c>
      <c r="F22" s="56">
        <v>263.0</v>
      </c>
      <c r="G22" s="64">
        <v>263.0</v>
      </c>
      <c r="H22" s="64"/>
      <c r="I22" s="65"/>
      <c r="J22" s="130">
        <v>3271.0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148901.0</v>
      </c>
      <c r="D23" s="24"/>
      <c r="E23" s="43">
        <v>14.0</v>
      </c>
      <c r="F23" s="56">
        <v>81.0</v>
      </c>
      <c r="G23" s="64">
        <v>81.0</v>
      </c>
      <c r="H23" s="65"/>
      <c r="I23" s="65"/>
      <c r="J23" s="130">
        <v>3272.0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134"/>
      <c r="D24" s="24"/>
      <c r="E24" s="43">
        <v>15.0</v>
      </c>
      <c r="F24" s="56">
        <v>697.0</v>
      </c>
      <c r="G24" s="64">
        <v>697.0</v>
      </c>
      <c r="H24" s="65"/>
      <c r="I24" s="65"/>
      <c r="J24" s="130">
        <v>3273.0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993.0</v>
      </c>
      <c r="G25" s="64"/>
      <c r="H25" s="132">
        <v>993.0</v>
      </c>
      <c r="I25" s="65"/>
      <c r="J25" s="130">
        <v>3274.0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F140</f>
        <v>50380</v>
      </c>
      <c r="D26" s="24"/>
      <c r="E26" s="43">
        <v>17.0</v>
      </c>
      <c r="F26" s="56">
        <v>39.0</v>
      </c>
      <c r="G26" s="64">
        <v>39.0</v>
      </c>
      <c r="H26" s="65"/>
      <c r="I26" s="65"/>
      <c r="J26" s="130">
        <v>3275.0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115.0</v>
      </c>
      <c r="D27" s="24"/>
      <c r="E27" s="43">
        <v>18.0</v>
      </c>
      <c r="F27" s="56">
        <v>241.0</v>
      </c>
      <c r="G27" s="64">
        <v>241.0</v>
      </c>
      <c r="H27" s="65"/>
      <c r="I27" s="65"/>
      <c r="J27" s="130">
        <v>3276.0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438.0869565</v>
      </c>
      <c r="D28" s="24"/>
      <c r="E28" s="43">
        <v>19.0</v>
      </c>
      <c r="F28" s="56">
        <v>219.0</v>
      </c>
      <c r="G28" s="64">
        <v>219.0</v>
      </c>
      <c r="H28" s="65"/>
      <c r="I28" s="65"/>
      <c r="J28" s="130">
        <v>3277.0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41.0</v>
      </c>
      <c r="G29" s="64"/>
      <c r="H29" s="132">
        <v>41.0</v>
      </c>
      <c r="I29" s="65"/>
      <c r="J29" s="130">
        <v>3278.0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457.0</v>
      </c>
      <c r="G30" s="93">
        <v>457.0</v>
      </c>
      <c r="H30" s="92"/>
      <c r="I30" s="93"/>
      <c r="J30" s="130">
        <v>3279.0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21017</v>
      </c>
      <c r="D31" s="24"/>
      <c r="E31" s="43">
        <v>22.0</v>
      </c>
      <c r="F31" s="56">
        <v>275.0</v>
      </c>
      <c r="G31" s="93">
        <v>275.0</v>
      </c>
      <c r="H31" s="92"/>
      <c r="I31" s="92"/>
      <c r="J31" s="130">
        <v>3280.0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1592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710.0</v>
      </c>
      <c r="G32" s="93">
        <v>710.0</v>
      </c>
      <c r="H32" s="92"/>
      <c r="I32" s="92"/>
      <c r="J32" s="130">
        <v>3281.0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910.0</v>
      </c>
      <c r="G33" s="93"/>
      <c r="H33" s="135">
        <v>910.0</v>
      </c>
      <c r="I33" s="92"/>
      <c r="J33" s="130">
        <v>3282.0</v>
      </c>
      <c r="K33" s="24"/>
      <c r="L33" s="104">
        <f t="shared" ref="L33:M33" si="2">sum(L10:L32)</f>
        <v>6013</v>
      </c>
      <c r="M33" s="104">
        <f t="shared" si="2"/>
        <v>465</v>
      </c>
      <c r="N33" s="104"/>
      <c r="O33" s="105"/>
      <c r="P33" s="85" t="s">
        <v>38</v>
      </c>
      <c r="Q33" s="51"/>
      <c r="R33" s="100"/>
      <c r="S33" s="52">
        <v>21017.0</v>
      </c>
      <c r="T33" s="101"/>
      <c r="U33" s="55"/>
      <c r="V33" s="24"/>
      <c r="W33" s="104">
        <f t="shared" ref="W33:X33" si="3">sum(W10:W32)</f>
        <v>2331</v>
      </c>
      <c r="X33" s="104">
        <f t="shared" si="3"/>
        <v>0</v>
      </c>
      <c r="Y33" s="104">
        <f>W33+X33</f>
        <v>2331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792.0</v>
      </c>
      <c r="G34" s="93"/>
      <c r="H34" s="135">
        <v>792.0</v>
      </c>
      <c r="I34" s="92"/>
      <c r="J34" s="130">
        <v>3283.0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424.0</v>
      </c>
      <c r="G35" s="93">
        <v>424.0</v>
      </c>
      <c r="H35" s="93"/>
      <c r="I35" s="92"/>
      <c r="J35" s="130">
        <v>3284.0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150.0</v>
      </c>
      <c r="G36" s="93">
        <v>150.0</v>
      </c>
      <c r="H36" s="93"/>
      <c r="I36" s="92"/>
      <c r="J36" s="130">
        <v>3285.0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443.0</v>
      </c>
      <c r="G37" s="93">
        <v>443.0</v>
      </c>
      <c r="H37" s="92"/>
      <c r="I37" s="92"/>
      <c r="J37" s="130">
        <v>3286.0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303.0</v>
      </c>
      <c r="G38" s="93"/>
      <c r="H38" s="135">
        <v>303.0</v>
      </c>
      <c r="I38" s="92"/>
      <c r="J38" s="130">
        <v>3287.0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746.0</v>
      </c>
      <c r="G39" s="93"/>
      <c r="H39" s="136">
        <v>746.0</v>
      </c>
      <c r="I39" s="92"/>
      <c r="J39" s="130">
        <v>3288.0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270.0</v>
      </c>
      <c r="G40" s="92"/>
      <c r="H40" s="135">
        <v>270.0</v>
      </c>
      <c r="I40" s="92"/>
      <c r="J40" s="130">
        <v>3289.0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470.0</v>
      </c>
      <c r="G41" s="93">
        <v>470.0</v>
      </c>
      <c r="H41" s="93"/>
      <c r="I41" s="92"/>
      <c r="J41" s="130">
        <v>3290.0</v>
      </c>
      <c r="K41" s="24"/>
      <c r="L41" s="112"/>
      <c r="M41" s="112"/>
      <c r="N41" s="137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826.0</v>
      </c>
      <c r="G42" s="93">
        <v>826.0</v>
      </c>
      <c r="H42" s="93"/>
      <c r="I42" s="92"/>
      <c r="J42" s="130">
        <v>3291.0</v>
      </c>
      <c r="K42" s="24"/>
      <c r="L42" s="112"/>
      <c r="M42" s="117"/>
      <c r="N42" s="137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317.0</v>
      </c>
      <c r="G43" s="93">
        <v>300.0</v>
      </c>
      <c r="H43" s="135">
        <v>17.0</v>
      </c>
      <c r="I43" s="92"/>
      <c r="J43" s="130">
        <v>3292.0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412.0</v>
      </c>
      <c r="G44" s="93">
        <v>412.0</v>
      </c>
      <c r="H44" s="93"/>
      <c r="I44" s="92"/>
      <c r="J44" s="130">
        <v>3293.0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69.0</v>
      </c>
      <c r="G45" s="93">
        <v>69.0</v>
      </c>
      <c r="H45" s="92"/>
      <c r="I45" s="92"/>
      <c r="J45" s="130">
        <v>3294.0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683.0</v>
      </c>
      <c r="G46" s="93">
        <v>683.0</v>
      </c>
      <c r="H46" s="92"/>
      <c r="I46" s="92"/>
      <c r="J46" s="130">
        <v>3295.0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311.0</v>
      </c>
      <c r="G47" s="93">
        <v>311.0</v>
      </c>
      <c r="H47" s="93"/>
      <c r="I47" s="92"/>
      <c r="J47" s="130">
        <v>3296.0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826.0</v>
      </c>
      <c r="G48" s="93">
        <v>826.0</v>
      </c>
      <c r="H48" s="92"/>
      <c r="I48" s="92"/>
      <c r="J48" s="130">
        <v>3297.0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300.0</v>
      </c>
      <c r="G49" s="93">
        <v>300.0</v>
      </c>
      <c r="H49" s="92"/>
      <c r="I49" s="92"/>
      <c r="J49" s="130">
        <v>3298.0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369.0</v>
      </c>
      <c r="G50" s="93">
        <v>369.0</v>
      </c>
      <c r="H50" s="93"/>
      <c r="I50" s="92"/>
      <c r="J50" s="130">
        <v>3299.0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533.0</v>
      </c>
      <c r="G51" s="92"/>
      <c r="H51" s="135">
        <v>568.0</v>
      </c>
      <c r="I51" s="92"/>
      <c r="J51" s="130" t="s">
        <v>49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351.0</v>
      </c>
      <c r="G52" s="93">
        <v>351.0</v>
      </c>
      <c r="H52" s="92"/>
      <c r="I52" s="92"/>
      <c r="J52" s="130">
        <v>3301.0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180.0</v>
      </c>
      <c r="G53" s="93">
        <v>180.0</v>
      </c>
      <c r="H53" s="92"/>
      <c r="I53" s="92"/>
      <c r="J53" s="130">
        <v>3302.0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18.0</v>
      </c>
      <c r="G54" s="92"/>
      <c r="H54" s="135">
        <v>18.0</v>
      </c>
      <c r="I54" s="92"/>
      <c r="J54" s="130">
        <v>3303.0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35.0</v>
      </c>
      <c r="G55" s="92"/>
      <c r="H55" s="135">
        <v>35.0</v>
      </c>
      <c r="I55" s="92"/>
      <c r="J55" s="130">
        <v>3304.0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589.0</v>
      </c>
      <c r="G56" s="93">
        <v>589.0</v>
      </c>
      <c r="H56" s="92"/>
      <c r="I56" s="92"/>
      <c r="J56" s="130">
        <v>3305.0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579.0</v>
      </c>
      <c r="G57" s="93">
        <v>579.0</v>
      </c>
      <c r="H57" s="92"/>
      <c r="I57" s="92"/>
      <c r="J57" s="130">
        <v>3306.0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99.0</v>
      </c>
      <c r="G58" s="93">
        <v>99.0</v>
      </c>
      <c r="H58" s="92"/>
      <c r="I58" s="92"/>
      <c r="J58" s="130">
        <v>3307.0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219.0</v>
      </c>
      <c r="G59" s="93">
        <v>219.0</v>
      </c>
      <c r="H59" s="92"/>
      <c r="I59" s="92"/>
      <c r="J59" s="130">
        <v>3308.0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435.0</v>
      </c>
      <c r="G60" s="93">
        <v>435.0</v>
      </c>
      <c r="H60" s="92"/>
      <c r="I60" s="92"/>
      <c r="J60" s="130">
        <v>3309.0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225.0</v>
      </c>
      <c r="G61" s="93">
        <v>225.0</v>
      </c>
      <c r="H61" s="92"/>
      <c r="I61" s="92"/>
      <c r="J61" s="130">
        <v>3310.0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106.0</v>
      </c>
      <c r="G62" s="93">
        <v>106.0</v>
      </c>
      <c r="H62" s="92"/>
      <c r="I62" s="92"/>
      <c r="J62" s="130">
        <v>3311.0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180.0</v>
      </c>
      <c r="G63" s="92"/>
      <c r="H63" s="135">
        <v>180.0</v>
      </c>
      <c r="I63" s="92"/>
      <c r="J63" s="130">
        <v>3312.0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247.0</v>
      </c>
      <c r="G64" s="92"/>
      <c r="H64" s="135">
        <v>247.0</v>
      </c>
      <c r="I64" s="92"/>
      <c r="J64" s="130">
        <v>3313.0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105.0</v>
      </c>
      <c r="G65" s="93">
        <v>105.0</v>
      </c>
      <c r="H65" s="92"/>
      <c r="I65" s="92"/>
      <c r="J65" s="130">
        <v>3314.0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1260.0</v>
      </c>
      <c r="G66" s="93">
        <v>1260.0</v>
      </c>
      <c r="H66" s="92"/>
      <c r="I66" s="92"/>
      <c r="J66" s="130">
        <v>3315.0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270.0</v>
      </c>
      <c r="G67" s="93">
        <v>270.0</v>
      </c>
      <c r="H67" s="92"/>
      <c r="I67" s="92"/>
      <c r="J67" s="130">
        <v>3316.0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166.0</v>
      </c>
      <c r="G68" s="93">
        <v>166.0</v>
      </c>
      <c r="H68" s="92"/>
      <c r="I68" s="92"/>
      <c r="J68" s="130">
        <v>3317.0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133.0</v>
      </c>
      <c r="G69" s="92"/>
      <c r="H69" s="135">
        <v>133.0</v>
      </c>
      <c r="I69" s="92"/>
      <c r="J69" s="130">
        <v>3318.0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7.0</v>
      </c>
      <c r="G70" s="93">
        <v>7.0</v>
      </c>
      <c r="H70" s="92"/>
      <c r="I70" s="92"/>
      <c r="J70" s="130">
        <v>3319.0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146.0</v>
      </c>
      <c r="G71" s="92"/>
      <c r="H71" s="136">
        <v>146.0</v>
      </c>
      <c r="I71" s="92"/>
      <c r="J71" s="130">
        <v>3320.0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33.0</v>
      </c>
      <c r="G72" s="93">
        <v>33.0</v>
      </c>
      <c r="H72" s="92"/>
      <c r="I72" s="92"/>
      <c r="J72" s="130">
        <v>3321.0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835.0</v>
      </c>
      <c r="G73" s="93">
        <v>835.0</v>
      </c>
      <c r="H73" s="92"/>
      <c r="I73" s="92"/>
      <c r="J73" s="130">
        <v>3322.0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319.0</v>
      </c>
      <c r="G74" s="92"/>
      <c r="H74" s="136">
        <v>319.0</v>
      </c>
      <c r="I74" s="92"/>
      <c r="J74" s="130">
        <v>3323.0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1268.0</v>
      </c>
      <c r="G75" s="92"/>
      <c r="H75" s="135">
        <v>1268.0</v>
      </c>
      <c r="I75" s="92"/>
      <c r="J75" s="130">
        <v>3324.0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244.0</v>
      </c>
      <c r="G76" s="93">
        <v>244.0</v>
      </c>
      <c r="H76" s="92"/>
      <c r="I76" s="92"/>
      <c r="J76" s="130">
        <v>3325.0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946.0</v>
      </c>
      <c r="G77" s="93">
        <v>946.0</v>
      </c>
      <c r="H77" s="92"/>
      <c r="I77" s="92"/>
      <c r="J77" s="130">
        <v>3326.0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130.0</v>
      </c>
      <c r="G78" s="92"/>
      <c r="H78" s="135">
        <v>130.0</v>
      </c>
      <c r="I78" s="92"/>
      <c r="J78" s="130">
        <v>3327.0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93.0</v>
      </c>
      <c r="G79" s="93">
        <v>93.0</v>
      </c>
      <c r="H79" s="92"/>
      <c r="I79" s="92"/>
      <c r="J79" s="130">
        <v>3328.0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424.0</v>
      </c>
      <c r="G80" s="93">
        <v>424.0</v>
      </c>
      <c r="H80" s="92"/>
      <c r="I80" s="92"/>
      <c r="J80" s="130">
        <v>3329.0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539.0</v>
      </c>
      <c r="G81" s="92"/>
      <c r="H81" s="135">
        <v>539.0</v>
      </c>
      <c r="I81" s="92"/>
      <c r="J81" s="130">
        <v>3330.0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99.0</v>
      </c>
      <c r="G82" s="54">
        <v>99.0</v>
      </c>
      <c r="H82" s="61"/>
      <c r="I82" s="61"/>
      <c r="J82" s="130">
        <v>3331.0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35.0</v>
      </c>
      <c r="G83" s="54">
        <v>35.0</v>
      </c>
      <c r="H83" s="61"/>
      <c r="I83" s="61"/>
      <c r="J83" s="130">
        <v>3332.0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3.0</v>
      </c>
      <c r="G84" s="54">
        <v>3.0</v>
      </c>
      <c r="H84" s="61"/>
      <c r="I84" s="61"/>
      <c r="J84" s="130">
        <v>3333.0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597.0</v>
      </c>
      <c r="G85" s="54">
        <v>597.0</v>
      </c>
      <c r="H85" s="61"/>
      <c r="I85" s="61"/>
      <c r="J85" s="130">
        <v>3334.0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523.0</v>
      </c>
      <c r="G86" s="61"/>
      <c r="H86" s="135">
        <v>523.0</v>
      </c>
      <c r="I86" s="61"/>
      <c r="J86" s="130">
        <v>3335.0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219.0</v>
      </c>
      <c r="G87" s="54">
        <v>219.0</v>
      </c>
      <c r="H87" s="61"/>
      <c r="I87" s="61"/>
      <c r="J87" s="130">
        <v>3336.0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313.0</v>
      </c>
      <c r="G88" s="54">
        <v>313.0</v>
      </c>
      <c r="H88" s="61"/>
      <c r="I88" s="61"/>
      <c r="J88" s="130">
        <v>3337.0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1128.0</v>
      </c>
      <c r="G89" s="61"/>
      <c r="H89" s="135">
        <v>1128.0</v>
      </c>
      <c r="I89" s="61"/>
      <c r="J89" s="130">
        <v>3338.0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109.0</v>
      </c>
      <c r="G90" s="54">
        <v>109.0</v>
      </c>
      <c r="H90" s="61"/>
      <c r="I90" s="61"/>
      <c r="J90" s="130">
        <v>3339.0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116.0</v>
      </c>
      <c r="G91" s="54">
        <v>100.0</v>
      </c>
      <c r="H91" s="135">
        <v>16.0</v>
      </c>
      <c r="I91" s="61"/>
      <c r="J91" s="130">
        <v>3340.0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250.0</v>
      </c>
      <c r="G92" s="54">
        <v>250.0</v>
      </c>
      <c r="H92" s="61"/>
      <c r="I92" s="61"/>
      <c r="J92" s="130">
        <v>3341.0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534.0</v>
      </c>
      <c r="G93" s="54">
        <v>534.0</v>
      </c>
      <c r="H93" s="61"/>
      <c r="I93" s="61"/>
      <c r="J93" s="130">
        <v>3342.0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116.0</v>
      </c>
      <c r="G94" s="61"/>
      <c r="H94" s="135">
        <v>116.0</v>
      </c>
      <c r="I94" s="61"/>
      <c r="J94" s="130">
        <v>3343.0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267.0</v>
      </c>
      <c r="G95" s="54">
        <v>267.0</v>
      </c>
      <c r="H95" s="61"/>
      <c r="I95" s="61"/>
      <c r="J95" s="130">
        <v>3344.0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324.0</v>
      </c>
      <c r="G96" s="54">
        <v>324.0</v>
      </c>
      <c r="H96" s="61"/>
      <c r="I96" s="61"/>
      <c r="J96" s="130">
        <v>3345.0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295.0</v>
      </c>
      <c r="G97" s="54"/>
      <c r="H97" s="135">
        <v>295.0</v>
      </c>
      <c r="I97" s="61"/>
      <c r="J97" s="130">
        <v>3346.0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5.0</v>
      </c>
      <c r="G98" s="54"/>
      <c r="H98" s="135">
        <v>5.0</v>
      </c>
      <c r="I98" s="61"/>
      <c r="J98" s="130">
        <v>3347.0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159.0</v>
      </c>
      <c r="G99" s="54">
        <v>159.0</v>
      </c>
      <c r="H99" s="61"/>
      <c r="I99" s="61"/>
      <c r="J99" s="130">
        <v>3348.0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254.0</v>
      </c>
      <c r="G100" s="54"/>
      <c r="H100" s="135">
        <v>254.0</v>
      </c>
      <c r="I100" s="61"/>
      <c r="J100" s="130">
        <v>3349.0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199.0</v>
      </c>
      <c r="G101" s="54">
        <v>199.0</v>
      </c>
      <c r="H101" s="61"/>
      <c r="I101" s="61"/>
      <c r="J101" s="130">
        <v>3350.0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815.0</v>
      </c>
      <c r="G102" s="54"/>
      <c r="H102" s="135">
        <v>815.0</v>
      </c>
      <c r="I102" s="61"/>
      <c r="J102" s="130">
        <v>3351.0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45.0</v>
      </c>
      <c r="G103" s="54"/>
      <c r="H103" s="135">
        <v>45.0</v>
      </c>
      <c r="I103" s="61"/>
      <c r="J103" s="130">
        <v>3352.0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177.0</v>
      </c>
      <c r="G104" s="54"/>
      <c r="H104" s="136">
        <v>177.0</v>
      </c>
      <c r="I104" s="61"/>
      <c r="J104" s="130">
        <v>3353.0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124.0</v>
      </c>
      <c r="G105" s="54"/>
      <c r="H105" s="135">
        <v>124.0</v>
      </c>
      <c r="I105" s="61"/>
      <c r="J105" s="130">
        <v>3354.0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30.0</v>
      </c>
      <c r="G106" s="54">
        <v>30.0</v>
      </c>
      <c r="H106" s="61"/>
      <c r="I106" s="61"/>
      <c r="J106" s="130">
        <v>3355.0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265.0</v>
      </c>
      <c r="G107" s="54">
        <v>260.0</v>
      </c>
      <c r="H107" s="135">
        <v>5.0</v>
      </c>
      <c r="I107" s="61"/>
      <c r="J107" s="130">
        <v>3356.0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718.0</v>
      </c>
      <c r="G108" s="54">
        <v>718.0</v>
      </c>
      <c r="H108" s="54"/>
      <c r="I108" s="61"/>
      <c r="J108" s="130">
        <v>3357.0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772.0</v>
      </c>
      <c r="G109" s="54">
        <v>622.0</v>
      </c>
      <c r="H109" s="135">
        <v>150.0</v>
      </c>
      <c r="I109" s="61"/>
      <c r="J109" s="130">
        <v>3358.0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2552.0</v>
      </c>
      <c r="G110" s="54"/>
      <c r="H110" s="136">
        <v>2552.0</v>
      </c>
      <c r="I110" s="61"/>
      <c r="J110" s="130">
        <v>3359.0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308.0</v>
      </c>
      <c r="G111" s="54"/>
      <c r="H111" s="135">
        <v>308.0</v>
      </c>
      <c r="I111" s="61"/>
      <c r="J111" s="130">
        <v>3360.0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207.0</v>
      </c>
      <c r="G112" s="54">
        <v>207.0</v>
      </c>
      <c r="H112" s="61"/>
      <c r="I112" s="61"/>
      <c r="J112" s="130">
        <v>3361.0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107.0</v>
      </c>
      <c r="G113" s="54">
        <v>107.0</v>
      </c>
      <c r="H113" s="61"/>
      <c r="I113" s="61"/>
      <c r="J113" s="130">
        <v>3362.0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95.0</v>
      </c>
      <c r="G114" s="54"/>
      <c r="H114" s="135">
        <v>95.0</v>
      </c>
      <c r="I114" s="61"/>
      <c r="J114" s="130">
        <v>3363.0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224.0</v>
      </c>
      <c r="G115" s="54">
        <v>224.0</v>
      </c>
      <c r="H115" s="61"/>
      <c r="I115" s="61"/>
      <c r="J115" s="130">
        <v>3364.0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40.0</v>
      </c>
      <c r="G116" s="54"/>
      <c r="H116" s="135">
        <v>40.0</v>
      </c>
      <c r="I116" s="61"/>
      <c r="J116" s="130">
        <v>3365.0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254.0</v>
      </c>
      <c r="G117" s="54">
        <v>254.0</v>
      </c>
      <c r="H117" s="61"/>
      <c r="I117" s="61"/>
      <c r="J117" s="130">
        <v>3366.0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2560.0</v>
      </c>
      <c r="G118" s="54"/>
      <c r="H118" s="136">
        <v>2560.0</v>
      </c>
      <c r="I118" s="61"/>
      <c r="J118" s="130">
        <v>3367.0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10.0</v>
      </c>
      <c r="G119" s="54">
        <v>10.0</v>
      </c>
      <c r="H119" s="61"/>
      <c r="I119" s="61"/>
      <c r="J119" s="130">
        <v>3368.0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1650.0</v>
      </c>
      <c r="G120" s="54">
        <v>150.0</v>
      </c>
      <c r="H120" s="135">
        <v>1500.0</v>
      </c>
      <c r="I120" s="61"/>
      <c r="J120" s="130">
        <v>3369.0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63.0</v>
      </c>
      <c r="G121" s="54">
        <v>63.0</v>
      </c>
      <c r="H121" s="61"/>
      <c r="I121" s="61"/>
      <c r="J121" s="130">
        <v>3370.0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315.0</v>
      </c>
      <c r="G122" s="54"/>
      <c r="H122" s="135">
        <v>315.0</v>
      </c>
      <c r="I122" s="61"/>
      <c r="J122" s="130">
        <v>3371.0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106.0</v>
      </c>
      <c r="G123" s="54">
        <v>106.0</v>
      </c>
      <c r="H123" s="61"/>
      <c r="I123" s="61"/>
      <c r="J123" s="130">
        <v>3372.0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733.0</v>
      </c>
      <c r="G124" s="54"/>
      <c r="H124" s="61"/>
      <c r="I124" s="54">
        <v>733.0</v>
      </c>
      <c r="J124" s="130" t="s">
        <v>50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/>
      <c r="G125" s="54"/>
      <c r="H125" s="61"/>
      <c r="I125" s="61"/>
      <c r="J125" s="130">
        <v>3374.0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/>
      <c r="F126" s="138"/>
      <c r="G126" s="54"/>
      <c r="H126" s="61"/>
      <c r="I126" s="61"/>
      <c r="J126" s="130"/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/>
      <c r="F127" s="138"/>
      <c r="G127" s="54"/>
      <c r="H127" s="61"/>
      <c r="I127" s="61"/>
      <c r="J127" s="130"/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/>
      <c r="F128" s="138"/>
      <c r="G128" s="54"/>
      <c r="H128" s="61"/>
      <c r="I128" s="61"/>
      <c r="J128" s="130"/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/>
      <c r="F129" s="138"/>
      <c r="G129" s="54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/>
      <c r="F130" s="138"/>
      <c r="G130" s="54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/>
      <c r="F131" s="138"/>
      <c r="G131" s="54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/>
      <c r="F132" s="138"/>
      <c r="G132" s="54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/>
      <c r="F133" s="138"/>
      <c r="G133" s="54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117.0</v>
      </c>
      <c r="F134" s="138"/>
      <c r="G134" s="54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/>
      <c r="F135" s="138"/>
      <c r="G135" s="54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/>
      <c r="F136" s="138"/>
      <c r="G136" s="54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38"/>
      <c r="G137" s="54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38"/>
      <c r="G138" s="54"/>
      <c r="H138" s="135">
        <v>717.0</v>
      </c>
      <c r="I138" s="61"/>
      <c r="J138" s="130" t="s">
        <v>51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38"/>
      <c r="G139" s="61"/>
      <c r="H139" s="135">
        <v>2000.0</v>
      </c>
      <c r="I139" s="61"/>
      <c r="J139" s="130" t="s">
        <v>52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1"/>
      <c r="E140" s="122"/>
      <c r="F140" s="123">
        <f t="shared" ref="F140:I140" si="4">SUM(F10:F139)</f>
        <v>50380</v>
      </c>
      <c r="G140" s="123">
        <f t="shared" si="4"/>
        <v>23388</v>
      </c>
      <c r="H140" s="123">
        <f t="shared" si="4"/>
        <v>24099</v>
      </c>
      <c r="I140" s="123">
        <f t="shared" si="4"/>
        <v>5645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18"/>
      <c r="C141" s="118"/>
      <c r="D141" s="1"/>
      <c r="E141" s="124"/>
      <c r="F141" s="124"/>
      <c r="G141" s="124"/>
      <c r="H141" s="124"/>
      <c r="I141" s="12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18"/>
      <c r="C142" s="1"/>
      <c r="D142" s="1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26"/>
      <c r="H153" s="12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122445.0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605418.0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39982.0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F140-C15</f>
        <v>48049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G140-W33</f>
        <v>20339</v>
      </c>
      <c r="D10" s="24"/>
      <c r="E10" s="43">
        <v>1.0</v>
      </c>
      <c r="F10" s="44">
        <v>325.0</v>
      </c>
      <c r="G10" s="45"/>
      <c r="H10" s="129">
        <v>325.0</v>
      </c>
      <c r="I10" s="45"/>
      <c r="J10" s="130">
        <v>3259.0</v>
      </c>
      <c r="K10" s="24"/>
      <c r="L10" s="47">
        <v>215.0</v>
      </c>
      <c r="M10" s="47"/>
      <c r="N10" s="47">
        <v>3045.0</v>
      </c>
      <c r="O10" s="49"/>
      <c r="P10" s="85" t="s">
        <v>42</v>
      </c>
      <c r="Q10" s="51"/>
      <c r="R10" s="52">
        <v>150.0</v>
      </c>
      <c r="S10" s="53"/>
      <c r="T10" s="54"/>
      <c r="U10" s="55"/>
      <c r="V10" s="24"/>
      <c r="W10" s="47">
        <v>332.0</v>
      </c>
      <c r="X10" s="47"/>
      <c r="Y10" s="47">
        <v>27.0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H140-X33</f>
        <v>24817</v>
      </c>
      <c r="D11" s="24"/>
      <c r="E11" s="43">
        <v>2.0</v>
      </c>
      <c r="F11" s="56">
        <v>132.0</v>
      </c>
      <c r="G11" s="57">
        <v>132.0</v>
      </c>
      <c r="H11" s="58"/>
      <c r="I11" s="59"/>
      <c r="J11" s="130">
        <v>3260.0</v>
      </c>
      <c r="K11" s="24"/>
      <c r="L11" s="48"/>
      <c r="M11" s="131">
        <v>257.0</v>
      </c>
      <c r="N11" s="131" t="s">
        <v>43</v>
      </c>
      <c r="O11" s="49"/>
      <c r="P11" s="72" t="s">
        <v>44</v>
      </c>
      <c r="Q11" s="51"/>
      <c r="R11" s="52">
        <v>395.0</v>
      </c>
      <c r="S11" s="53"/>
      <c r="T11" s="61"/>
      <c r="U11" s="62"/>
      <c r="V11" s="24"/>
      <c r="W11" s="47">
        <v>1999.0</v>
      </c>
      <c r="X11" s="47"/>
      <c r="Y11" s="47">
        <v>26.0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I140</f>
        <v>5645</v>
      </c>
      <c r="D12" s="24"/>
      <c r="E12" s="43">
        <v>3.0</v>
      </c>
      <c r="F12" s="63">
        <v>154.0</v>
      </c>
      <c r="G12" s="64"/>
      <c r="H12" s="132">
        <v>154.0</v>
      </c>
      <c r="I12" s="65"/>
      <c r="J12" s="130">
        <v>3261.0</v>
      </c>
      <c r="K12" s="24"/>
      <c r="L12" s="48"/>
      <c r="M12" s="131">
        <v>208.0</v>
      </c>
      <c r="N12" s="131" t="s">
        <v>45</v>
      </c>
      <c r="O12" s="49"/>
      <c r="P12" s="72" t="s">
        <v>46</v>
      </c>
      <c r="Q12" s="51"/>
      <c r="R12" s="52">
        <v>717.0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6991</v>
      </c>
      <c r="D13" s="24"/>
      <c r="E13" s="43">
        <v>4.0</v>
      </c>
      <c r="F13" s="56">
        <v>40.0</v>
      </c>
      <c r="G13" s="64"/>
      <c r="H13" s="132">
        <v>40.0</v>
      </c>
      <c r="I13" s="65"/>
      <c r="J13" s="130">
        <v>3262.0</v>
      </c>
      <c r="K13" s="24"/>
      <c r="L13" s="47">
        <v>4570.0</v>
      </c>
      <c r="M13" s="48"/>
      <c r="N13" s="47">
        <v>3187.0</v>
      </c>
      <c r="O13" s="49"/>
      <c r="P13" s="72" t="s">
        <v>47</v>
      </c>
      <c r="Q13" s="51"/>
      <c r="R13" s="52">
        <v>80.0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465</v>
      </c>
      <c r="D14" s="24"/>
      <c r="E14" s="43">
        <v>5.0</v>
      </c>
      <c r="F14" s="56">
        <v>12.0</v>
      </c>
      <c r="G14" s="64">
        <v>12.0</v>
      </c>
      <c r="H14" s="65"/>
      <c r="I14" s="65"/>
      <c r="J14" s="130">
        <v>3263.0</v>
      </c>
      <c r="K14" s="24"/>
      <c r="L14" s="47">
        <v>1228.0</v>
      </c>
      <c r="M14" s="48"/>
      <c r="N14" s="47">
        <v>3008.0</v>
      </c>
      <c r="O14" s="49"/>
      <c r="P14" s="72" t="s">
        <v>48</v>
      </c>
      <c r="Q14" s="51"/>
      <c r="R14" s="52">
        <v>250.0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2331</v>
      </c>
      <c r="D15" s="24"/>
      <c r="E15" s="43">
        <v>6.0</v>
      </c>
      <c r="F15" s="56">
        <v>56.0</v>
      </c>
      <c r="G15" s="64"/>
      <c r="H15" s="132">
        <v>56.0</v>
      </c>
      <c r="I15" s="65"/>
      <c r="J15" s="130">
        <v>3264.0</v>
      </c>
      <c r="K15" s="24"/>
      <c r="L15" s="47">
        <v>219.0</v>
      </c>
      <c r="M15" s="48"/>
      <c r="N15" s="47">
        <v>3308.0</v>
      </c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1592</v>
      </c>
      <c r="D16" s="24"/>
      <c r="E16" s="43">
        <v>7.0</v>
      </c>
      <c r="F16" s="56">
        <v>4912.0</v>
      </c>
      <c r="G16" s="64"/>
      <c r="H16" s="64"/>
      <c r="I16" s="64">
        <v>4912.0</v>
      </c>
      <c r="J16" s="130">
        <v>3265.0</v>
      </c>
      <c r="K16" s="24"/>
      <c r="L16" s="47">
        <v>435.0</v>
      </c>
      <c r="M16" s="48"/>
      <c r="N16" s="47">
        <v>3309.0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1592</v>
      </c>
      <c r="D17" s="24"/>
      <c r="E17" s="43">
        <v>8.0</v>
      </c>
      <c r="F17" s="56">
        <v>940.0</v>
      </c>
      <c r="G17" s="64">
        <v>940.0</v>
      </c>
      <c r="H17" s="64"/>
      <c r="I17" s="65"/>
      <c r="J17" s="130">
        <v>3266.0</v>
      </c>
      <c r="K17" s="24"/>
      <c r="L17" s="47">
        <v>324.0</v>
      </c>
      <c r="M17" s="48"/>
      <c r="N17" s="47">
        <v>3345.0</v>
      </c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312.0</v>
      </c>
      <c r="G18" s="64">
        <v>312.0</v>
      </c>
      <c r="H18" s="64"/>
      <c r="I18" s="65"/>
      <c r="J18" s="130">
        <v>3267.0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1045.0</v>
      </c>
      <c r="G19" s="64"/>
      <c r="H19" s="132">
        <v>1045.0</v>
      </c>
      <c r="I19" s="65"/>
      <c r="J19" s="130">
        <v>3268.0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38171</v>
      </c>
      <c r="D20" s="24"/>
      <c r="E20" s="43">
        <v>11.0</v>
      </c>
      <c r="F20" s="56">
        <v>302.0</v>
      </c>
      <c r="G20" s="64">
        <v>302.0</v>
      </c>
      <c r="H20" s="64"/>
      <c r="I20" s="65"/>
      <c r="J20" s="130">
        <v>3269.0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630700</v>
      </c>
      <c r="D21" s="24"/>
      <c r="E21" s="43">
        <v>12.0</v>
      </c>
      <c r="F21" s="56">
        <v>1084.0</v>
      </c>
      <c r="G21" s="65"/>
      <c r="H21" s="132">
        <v>1084.0</v>
      </c>
      <c r="I21" s="65"/>
      <c r="J21" s="130">
        <v>3270.0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148183</v>
      </c>
      <c r="D22" s="24"/>
      <c r="E22" s="43">
        <v>13.0</v>
      </c>
      <c r="F22" s="56">
        <v>263.0</v>
      </c>
      <c r="G22" s="64">
        <v>263.0</v>
      </c>
      <c r="H22" s="64"/>
      <c r="I22" s="65"/>
      <c r="J22" s="130">
        <v>3271.0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148901.0</v>
      </c>
      <c r="D23" s="24"/>
      <c r="E23" s="43">
        <v>14.0</v>
      </c>
      <c r="F23" s="56">
        <v>81.0</v>
      </c>
      <c r="G23" s="64">
        <v>81.0</v>
      </c>
      <c r="H23" s="65"/>
      <c r="I23" s="65"/>
      <c r="J23" s="130">
        <v>3272.0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-718</v>
      </c>
      <c r="D24" s="24"/>
      <c r="E24" s="43">
        <v>15.0</v>
      </c>
      <c r="F24" s="56">
        <v>697.0</v>
      </c>
      <c r="G24" s="64">
        <v>697.0</v>
      </c>
      <c r="H24" s="65"/>
      <c r="I24" s="65"/>
      <c r="J24" s="130">
        <v>3273.0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993.0</v>
      </c>
      <c r="G25" s="64"/>
      <c r="H25" s="132">
        <v>993.0</v>
      </c>
      <c r="I25" s="65"/>
      <c r="J25" s="130">
        <v>3274.0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F140</f>
        <v>50380</v>
      </c>
      <c r="D26" s="24"/>
      <c r="E26" s="43">
        <v>17.0</v>
      </c>
      <c r="F26" s="56">
        <v>39.0</v>
      </c>
      <c r="G26" s="64">
        <v>39.0</v>
      </c>
      <c r="H26" s="65"/>
      <c r="I26" s="65"/>
      <c r="J26" s="130">
        <v>3275.0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115.0</v>
      </c>
      <c r="D27" s="24"/>
      <c r="E27" s="43">
        <v>18.0</v>
      </c>
      <c r="F27" s="56">
        <v>241.0</v>
      </c>
      <c r="G27" s="64">
        <v>241.0</v>
      </c>
      <c r="H27" s="65"/>
      <c r="I27" s="65"/>
      <c r="J27" s="130">
        <v>3276.0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438.0869565</v>
      </c>
      <c r="D28" s="24"/>
      <c r="E28" s="43">
        <v>19.0</v>
      </c>
      <c r="F28" s="56">
        <v>219.0</v>
      </c>
      <c r="G28" s="64">
        <v>219.0</v>
      </c>
      <c r="H28" s="65"/>
      <c r="I28" s="65"/>
      <c r="J28" s="130">
        <v>3277.0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41.0</v>
      </c>
      <c r="G29" s="64"/>
      <c r="H29" s="132">
        <v>41.0</v>
      </c>
      <c r="I29" s="65"/>
      <c r="J29" s="130">
        <v>3278.0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457.0</v>
      </c>
      <c r="G30" s="93">
        <v>457.0</v>
      </c>
      <c r="H30" s="92"/>
      <c r="I30" s="93"/>
      <c r="J30" s="130">
        <v>3279.0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275.0</v>
      </c>
      <c r="G31" s="93">
        <v>275.0</v>
      </c>
      <c r="H31" s="92"/>
      <c r="I31" s="92"/>
      <c r="J31" s="130">
        <v>3280.0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1592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710.0</v>
      </c>
      <c r="G32" s="93">
        <v>710.0</v>
      </c>
      <c r="H32" s="92"/>
      <c r="I32" s="92"/>
      <c r="J32" s="130">
        <v>3281.0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910.0</v>
      </c>
      <c r="G33" s="93"/>
      <c r="H33" s="135">
        <v>910.0</v>
      </c>
      <c r="I33" s="92"/>
      <c r="J33" s="130">
        <v>3282.0</v>
      </c>
      <c r="K33" s="24"/>
      <c r="L33" s="104">
        <f t="shared" ref="L33:M33" si="2">sum(L10:L32)</f>
        <v>6991</v>
      </c>
      <c r="M33" s="104">
        <f t="shared" si="2"/>
        <v>465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2331</v>
      </c>
      <c r="X33" s="104">
        <f t="shared" si="3"/>
        <v>0</v>
      </c>
      <c r="Y33" s="104">
        <f>W33+X33</f>
        <v>2331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792.0</v>
      </c>
      <c r="G34" s="93"/>
      <c r="H34" s="135">
        <v>792.0</v>
      </c>
      <c r="I34" s="92"/>
      <c r="J34" s="130">
        <v>3283.0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424.0</v>
      </c>
      <c r="G35" s="93">
        <v>424.0</v>
      </c>
      <c r="H35" s="93"/>
      <c r="I35" s="92"/>
      <c r="J35" s="130">
        <v>3284.0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150.0</v>
      </c>
      <c r="G36" s="93">
        <v>150.0</v>
      </c>
      <c r="H36" s="93"/>
      <c r="I36" s="92"/>
      <c r="J36" s="130">
        <v>3285.0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443.0</v>
      </c>
      <c r="G37" s="93">
        <v>443.0</v>
      </c>
      <c r="H37" s="92"/>
      <c r="I37" s="92"/>
      <c r="J37" s="130">
        <v>3286.0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303.0</v>
      </c>
      <c r="G38" s="93"/>
      <c r="H38" s="135">
        <v>303.0</v>
      </c>
      <c r="I38" s="92"/>
      <c r="J38" s="130">
        <v>3287.0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746.0</v>
      </c>
      <c r="G39" s="93"/>
      <c r="H39" s="136">
        <v>746.0</v>
      </c>
      <c r="I39" s="92"/>
      <c r="J39" s="130">
        <v>3288.0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270.0</v>
      </c>
      <c r="G40" s="92"/>
      <c r="H40" s="135">
        <v>270.0</v>
      </c>
      <c r="I40" s="92"/>
      <c r="J40" s="130">
        <v>3289.0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470.0</v>
      </c>
      <c r="G41" s="93">
        <v>470.0</v>
      </c>
      <c r="H41" s="93"/>
      <c r="I41" s="92"/>
      <c r="J41" s="130">
        <v>3290.0</v>
      </c>
      <c r="K41" s="24"/>
      <c r="L41" s="112"/>
      <c r="M41" s="112"/>
      <c r="N41" s="137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826.0</v>
      </c>
      <c r="G42" s="93">
        <v>826.0</v>
      </c>
      <c r="H42" s="93"/>
      <c r="I42" s="92"/>
      <c r="J42" s="130">
        <v>3291.0</v>
      </c>
      <c r="K42" s="24"/>
      <c r="L42" s="112"/>
      <c r="M42" s="117"/>
      <c r="N42" s="137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317.0</v>
      </c>
      <c r="G43" s="93">
        <v>300.0</v>
      </c>
      <c r="H43" s="135">
        <v>17.0</v>
      </c>
      <c r="I43" s="92"/>
      <c r="J43" s="130">
        <v>3292.0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412.0</v>
      </c>
      <c r="G44" s="93">
        <v>412.0</v>
      </c>
      <c r="H44" s="93"/>
      <c r="I44" s="92"/>
      <c r="J44" s="130">
        <v>3293.0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69.0</v>
      </c>
      <c r="G45" s="93">
        <v>69.0</v>
      </c>
      <c r="H45" s="92"/>
      <c r="I45" s="92"/>
      <c r="J45" s="130">
        <v>3294.0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683.0</v>
      </c>
      <c r="G46" s="93">
        <v>683.0</v>
      </c>
      <c r="H46" s="92"/>
      <c r="I46" s="92"/>
      <c r="J46" s="130">
        <v>3295.0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311.0</v>
      </c>
      <c r="G47" s="93">
        <v>311.0</v>
      </c>
      <c r="H47" s="93"/>
      <c r="I47" s="92"/>
      <c r="J47" s="130">
        <v>3296.0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826.0</v>
      </c>
      <c r="G48" s="93">
        <v>826.0</v>
      </c>
      <c r="H48" s="92"/>
      <c r="I48" s="92"/>
      <c r="J48" s="130">
        <v>3297.0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300.0</v>
      </c>
      <c r="G49" s="93">
        <v>300.0</v>
      </c>
      <c r="H49" s="92"/>
      <c r="I49" s="92"/>
      <c r="J49" s="130">
        <v>3298.0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369.0</v>
      </c>
      <c r="G50" s="93">
        <v>369.0</v>
      </c>
      <c r="H50" s="93"/>
      <c r="I50" s="92"/>
      <c r="J50" s="130">
        <v>3299.0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533.0</v>
      </c>
      <c r="G51" s="92"/>
      <c r="H51" s="135">
        <v>568.0</v>
      </c>
      <c r="I51" s="92"/>
      <c r="J51" s="130" t="s">
        <v>49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351.0</v>
      </c>
      <c r="G52" s="93">
        <v>351.0</v>
      </c>
      <c r="H52" s="92"/>
      <c r="I52" s="92"/>
      <c r="J52" s="130">
        <v>3301.0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180.0</v>
      </c>
      <c r="G53" s="93">
        <v>180.0</v>
      </c>
      <c r="H53" s="92"/>
      <c r="I53" s="92"/>
      <c r="J53" s="130">
        <v>3302.0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18.0</v>
      </c>
      <c r="G54" s="92"/>
      <c r="H54" s="135">
        <v>18.0</v>
      </c>
      <c r="I54" s="92"/>
      <c r="J54" s="130">
        <v>3303.0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35.0</v>
      </c>
      <c r="G55" s="92"/>
      <c r="H55" s="135">
        <v>35.0</v>
      </c>
      <c r="I55" s="92"/>
      <c r="J55" s="130">
        <v>3304.0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589.0</v>
      </c>
      <c r="G56" s="93">
        <v>589.0</v>
      </c>
      <c r="H56" s="92"/>
      <c r="I56" s="92"/>
      <c r="J56" s="130">
        <v>3305.0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579.0</v>
      </c>
      <c r="G57" s="93">
        <v>579.0</v>
      </c>
      <c r="H57" s="92"/>
      <c r="I57" s="92"/>
      <c r="J57" s="130">
        <v>3306.0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99.0</v>
      </c>
      <c r="G58" s="93">
        <v>99.0</v>
      </c>
      <c r="H58" s="92"/>
      <c r="I58" s="92"/>
      <c r="J58" s="130">
        <v>3307.0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219.0</v>
      </c>
      <c r="G59" s="93">
        <v>219.0</v>
      </c>
      <c r="H59" s="92"/>
      <c r="I59" s="92"/>
      <c r="J59" s="130">
        <v>3308.0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435.0</v>
      </c>
      <c r="G60" s="93">
        <v>435.0</v>
      </c>
      <c r="H60" s="92"/>
      <c r="I60" s="92"/>
      <c r="J60" s="130">
        <v>3309.0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225.0</v>
      </c>
      <c r="G61" s="93">
        <v>225.0</v>
      </c>
      <c r="H61" s="92"/>
      <c r="I61" s="92"/>
      <c r="J61" s="130">
        <v>3310.0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106.0</v>
      </c>
      <c r="G62" s="93">
        <v>106.0</v>
      </c>
      <c r="H62" s="92"/>
      <c r="I62" s="92"/>
      <c r="J62" s="130">
        <v>3311.0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180.0</v>
      </c>
      <c r="G63" s="92"/>
      <c r="H63" s="135">
        <v>180.0</v>
      </c>
      <c r="I63" s="92"/>
      <c r="J63" s="130">
        <v>3312.0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247.0</v>
      </c>
      <c r="G64" s="92"/>
      <c r="H64" s="135">
        <v>247.0</v>
      </c>
      <c r="I64" s="92"/>
      <c r="J64" s="130">
        <v>3313.0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105.0</v>
      </c>
      <c r="G65" s="93">
        <v>105.0</v>
      </c>
      <c r="H65" s="92"/>
      <c r="I65" s="92"/>
      <c r="J65" s="130">
        <v>3314.0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1260.0</v>
      </c>
      <c r="G66" s="93">
        <v>1260.0</v>
      </c>
      <c r="H66" s="92"/>
      <c r="I66" s="92"/>
      <c r="J66" s="130">
        <v>3315.0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270.0</v>
      </c>
      <c r="G67" s="93">
        <v>270.0</v>
      </c>
      <c r="H67" s="92"/>
      <c r="I67" s="92"/>
      <c r="J67" s="130">
        <v>3316.0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166.0</v>
      </c>
      <c r="G68" s="93">
        <v>166.0</v>
      </c>
      <c r="H68" s="92"/>
      <c r="I68" s="92"/>
      <c r="J68" s="130">
        <v>3317.0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133.0</v>
      </c>
      <c r="G69" s="92"/>
      <c r="H69" s="135">
        <v>133.0</v>
      </c>
      <c r="I69" s="92"/>
      <c r="J69" s="130">
        <v>3318.0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7.0</v>
      </c>
      <c r="G70" s="93">
        <v>7.0</v>
      </c>
      <c r="H70" s="92"/>
      <c r="I70" s="92"/>
      <c r="J70" s="130">
        <v>3319.0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146.0</v>
      </c>
      <c r="G71" s="92"/>
      <c r="H71" s="136">
        <v>146.0</v>
      </c>
      <c r="I71" s="92"/>
      <c r="J71" s="130">
        <v>3320.0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33.0</v>
      </c>
      <c r="G72" s="93">
        <v>33.0</v>
      </c>
      <c r="H72" s="92"/>
      <c r="I72" s="92"/>
      <c r="J72" s="130">
        <v>3321.0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835.0</v>
      </c>
      <c r="G73" s="93">
        <v>835.0</v>
      </c>
      <c r="H73" s="92"/>
      <c r="I73" s="92"/>
      <c r="J73" s="130">
        <v>3322.0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319.0</v>
      </c>
      <c r="G74" s="92"/>
      <c r="H74" s="136">
        <v>319.0</v>
      </c>
      <c r="I74" s="92"/>
      <c r="J74" s="130">
        <v>3323.0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1268.0</v>
      </c>
      <c r="G75" s="92"/>
      <c r="H75" s="135">
        <v>1268.0</v>
      </c>
      <c r="I75" s="92"/>
      <c r="J75" s="130">
        <v>3324.0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244.0</v>
      </c>
      <c r="G76" s="93">
        <v>244.0</v>
      </c>
      <c r="H76" s="92"/>
      <c r="I76" s="92"/>
      <c r="J76" s="130">
        <v>3325.0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946.0</v>
      </c>
      <c r="G77" s="93">
        <v>946.0</v>
      </c>
      <c r="H77" s="92"/>
      <c r="I77" s="92"/>
      <c r="J77" s="130">
        <v>3326.0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130.0</v>
      </c>
      <c r="G78" s="92"/>
      <c r="H78" s="135">
        <v>130.0</v>
      </c>
      <c r="I78" s="92"/>
      <c r="J78" s="130">
        <v>3327.0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93.0</v>
      </c>
      <c r="G79" s="93">
        <v>93.0</v>
      </c>
      <c r="H79" s="92"/>
      <c r="I79" s="92"/>
      <c r="J79" s="130">
        <v>3328.0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424.0</v>
      </c>
      <c r="G80" s="93">
        <v>424.0</v>
      </c>
      <c r="H80" s="92"/>
      <c r="I80" s="92"/>
      <c r="J80" s="130">
        <v>3329.0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539.0</v>
      </c>
      <c r="G81" s="92"/>
      <c r="H81" s="135">
        <v>539.0</v>
      </c>
      <c r="I81" s="92"/>
      <c r="J81" s="130">
        <v>3330.0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99.0</v>
      </c>
      <c r="G82" s="54">
        <v>99.0</v>
      </c>
      <c r="H82" s="61"/>
      <c r="I82" s="61"/>
      <c r="J82" s="130">
        <v>3331.0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35.0</v>
      </c>
      <c r="G83" s="54">
        <v>35.0</v>
      </c>
      <c r="H83" s="61"/>
      <c r="I83" s="61"/>
      <c r="J83" s="130">
        <v>3332.0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3.0</v>
      </c>
      <c r="G84" s="54">
        <v>3.0</v>
      </c>
      <c r="H84" s="61"/>
      <c r="I84" s="61"/>
      <c r="J84" s="130">
        <v>3333.0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597.0</v>
      </c>
      <c r="G85" s="54">
        <v>597.0</v>
      </c>
      <c r="H85" s="61"/>
      <c r="I85" s="61"/>
      <c r="J85" s="130">
        <v>3334.0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523.0</v>
      </c>
      <c r="G86" s="61"/>
      <c r="H86" s="135">
        <v>523.0</v>
      </c>
      <c r="I86" s="61"/>
      <c r="J86" s="130">
        <v>3335.0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219.0</v>
      </c>
      <c r="G87" s="54">
        <v>219.0</v>
      </c>
      <c r="H87" s="61"/>
      <c r="I87" s="61"/>
      <c r="J87" s="130">
        <v>3336.0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313.0</v>
      </c>
      <c r="G88" s="54">
        <v>313.0</v>
      </c>
      <c r="H88" s="61"/>
      <c r="I88" s="61"/>
      <c r="J88" s="130">
        <v>3337.0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1128.0</v>
      </c>
      <c r="G89" s="61"/>
      <c r="H89" s="135">
        <v>1128.0</v>
      </c>
      <c r="I89" s="61"/>
      <c r="J89" s="130">
        <v>3338.0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109.0</v>
      </c>
      <c r="G90" s="54">
        <v>109.0</v>
      </c>
      <c r="H90" s="61"/>
      <c r="I90" s="61"/>
      <c r="J90" s="130">
        <v>3339.0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116.0</v>
      </c>
      <c r="G91" s="54">
        <v>100.0</v>
      </c>
      <c r="H91" s="135">
        <v>16.0</v>
      </c>
      <c r="I91" s="61"/>
      <c r="J91" s="130">
        <v>3340.0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250.0</v>
      </c>
      <c r="G92" s="54">
        <v>250.0</v>
      </c>
      <c r="H92" s="61"/>
      <c r="I92" s="61"/>
      <c r="J92" s="130">
        <v>3341.0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534.0</v>
      </c>
      <c r="G93" s="54">
        <v>534.0</v>
      </c>
      <c r="H93" s="61"/>
      <c r="I93" s="61"/>
      <c r="J93" s="130">
        <v>3342.0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116.0</v>
      </c>
      <c r="G94" s="61"/>
      <c r="H94" s="135">
        <v>116.0</v>
      </c>
      <c r="I94" s="61"/>
      <c r="J94" s="130">
        <v>3343.0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267.0</v>
      </c>
      <c r="G95" s="54">
        <v>267.0</v>
      </c>
      <c r="H95" s="61"/>
      <c r="I95" s="61"/>
      <c r="J95" s="130">
        <v>3344.0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324.0</v>
      </c>
      <c r="G96" s="54">
        <v>324.0</v>
      </c>
      <c r="H96" s="61"/>
      <c r="I96" s="61"/>
      <c r="J96" s="130">
        <v>3345.0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295.0</v>
      </c>
      <c r="G97" s="54"/>
      <c r="H97" s="135">
        <v>295.0</v>
      </c>
      <c r="I97" s="61"/>
      <c r="J97" s="130">
        <v>3346.0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5.0</v>
      </c>
      <c r="G98" s="54"/>
      <c r="H98" s="135">
        <v>5.0</v>
      </c>
      <c r="I98" s="61"/>
      <c r="J98" s="130">
        <v>3347.0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159.0</v>
      </c>
      <c r="G99" s="54">
        <v>159.0</v>
      </c>
      <c r="H99" s="61"/>
      <c r="I99" s="61"/>
      <c r="J99" s="130">
        <v>3348.0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254.0</v>
      </c>
      <c r="G100" s="54"/>
      <c r="H100" s="135">
        <v>254.0</v>
      </c>
      <c r="I100" s="61"/>
      <c r="J100" s="130">
        <v>3349.0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199.0</v>
      </c>
      <c r="G101" s="54">
        <v>199.0</v>
      </c>
      <c r="H101" s="61"/>
      <c r="I101" s="61"/>
      <c r="J101" s="130">
        <v>3350.0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815.0</v>
      </c>
      <c r="G102" s="54"/>
      <c r="H102" s="135">
        <v>815.0</v>
      </c>
      <c r="I102" s="61"/>
      <c r="J102" s="130">
        <v>3351.0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45.0</v>
      </c>
      <c r="G103" s="54"/>
      <c r="H103" s="135">
        <v>45.0</v>
      </c>
      <c r="I103" s="61"/>
      <c r="J103" s="130">
        <v>3352.0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177.0</v>
      </c>
      <c r="G104" s="54"/>
      <c r="H104" s="136">
        <v>177.0</v>
      </c>
      <c r="I104" s="61"/>
      <c r="J104" s="130">
        <v>3353.0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124.0</v>
      </c>
      <c r="G105" s="54"/>
      <c r="H105" s="135">
        <v>124.0</v>
      </c>
      <c r="I105" s="61"/>
      <c r="J105" s="130">
        <v>3354.0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30.0</v>
      </c>
      <c r="G106" s="54">
        <v>30.0</v>
      </c>
      <c r="H106" s="61"/>
      <c r="I106" s="61"/>
      <c r="J106" s="130">
        <v>3355.0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265.0</v>
      </c>
      <c r="G107" s="54">
        <v>260.0</v>
      </c>
      <c r="H107" s="135">
        <v>5.0</v>
      </c>
      <c r="I107" s="61"/>
      <c r="J107" s="130">
        <v>3356.0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718.0</v>
      </c>
      <c r="G108" s="54"/>
      <c r="H108" s="54">
        <v>718.0</v>
      </c>
      <c r="I108" s="61"/>
      <c r="J108" s="130">
        <v>3357.0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772.0</v>
      </c>
      <c r="G109" s="54">
        <v>622.0</v>
      </c>
      <c r="H109" s="135">
        <v>150.0</v>
      </c>
      <c r="I109" s="61"/>
      <c r="J109" s="130">
        <v>3358.0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2552.0</v>
      </c>
      <c r="G110" s="54"/>
      <c r="H110" s="136">
        <v>2552.0</v>
      </c>
      <c r="I110" s="61"/>
      <c r="J110" s="130">
        <v>3359.0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308.0</v>
      </c>
      <c r="G111" s="54"/>
      <c r="H111" s="135">
        <v>308.0</v>
      </c>
      <c r="I111" s="61"/>
      <c r="J111" s="130">
        <v>3360.0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207.0</v>
      </c>
      <c r="G112" s="54">
        <v>207.0</v>
      </c>
      <c r="H112" s="61"/>
      <c r="I112" s="61"/>
      <c r="J112" s="130">
        <v>3361.0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107.0</v>
      </c>
      <c r="G113" s="54">
        <v>107.0</v>
      </c>
      <c r="H113" s="61"/>
      <c r="I113" s="61"/>
      <c r="J113" s="130">
        <v>3362.0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95.0</v>
      </c>
      <c r="G114" s="54"/>
      <c r="H114" s="135">
        <v>95.0</v>
      </c>
      <c r="I114" s="61"/>
      <c r="J114" s="130">
        <v>3363.0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224.0</v>
      </c>
      <c r="G115" s="54">
        <v>224.0</v>
      </c>
      <c r="H115" s="61"/>
      <c r="I115" s="61"/>
      <c r="J115" s="130">
        <v>3364.0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40.0</v>
      </c>
      <c r="G116" s="54"/>
      <c r="H116" s="135">
        <v>40.0</v>
      </c>
      <c r="I116" s="61"/>
      <c r="J116" s="130">
        <v>3365.0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254.0</v>
      </c>
      <c r="G117" s="54">
        <v>254.0</v>
      </c>
      <c r="H117" s="61"/>
      <c r="I117" s="61"/>
      <c r="J117" s="130">
        <v>3366.0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2560.0</v>
      </c>
      <c r="G118" s="54"/>
      <c r="H118" s="136">
        <v>2560.0</v>
      </c>
      <c r="I118" s="61"/>
      <c r="J118" s="130">
        <v>3367.0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10.0</v>
      </c>
      <c r="G119" s="54">
        <v>10.0</v>
      </c>
      <c r="H119" s="61"/>
      <c r="I119" s="61"/>
      <c r="J119" s="130">
        <v>3368.0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1650.0</v>
      </c>
      <c r="G120" s="54">
        <v>150.0</v>
      </c>
      <c r="H120" s="135">
        <v>1500.0</v>
      </c>
      <c r="I120" s="61"/>
      <c r="J120" s="130">
        <v>3369.0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63.0</v>
      </c>
      <c r="G121" s="54">
        <v>63.0</v>
      </c>
      <c r="H121" s="61"/>
      <c r="I121" s="61"/>
      <c r="J121" s="130">
        <v>3370.0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315.0</v>
      </c>
      <c r="G122" s="54"/>
      <c r="H122" s="135">
        <v>315.0</v>
      </c>
      <c r="I122" s="61"/>
      <c r="J122" s="130">
        <v>3371.0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106.0</v>
      </c>
      <c r="G123" s="54">
        <v>106.0</v>
      </c>
      <c r="H123" s="61"/>
      <c r="I123" s="61"/>
      <c r="J123" s="130">
        <v>3372.0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733.0</v>
      </c>
      <c r="G124" s="54"/>
      <c r="H124" s="61"/>
      <c r="I124" s="54">
        <v>733.0</v>
      </c>
      <c r="J124" s="130" t="s">
        <v>50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/>
      <c r="G125" s="54"/>
      <c r="H125" s="61"/>
      <c r="I125" s="61"/>
      <c r="J125" s="130">
        <v>3374.0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/>
      <c r="F126" s="138"/>
      <c r="G126" s="54"/>
      <c r="H126" s="61"/>
      <c r="I126" s="61"/>
      <c r="J126" s="130"/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/>
      <c r="F127" s="138"/>
      <c r="G127" s="54"/>
      <c r="H127" s="61"/>
      <c r="I127" s="61"/>
      <c r="J127" s="130"/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/>
      <c r="F128" s="138"/>
      <c r="G128" s="54"/>
      <c r="H128" s="61"/>
      <c r="I128" s="61"/>
      <c r="J128" s="130"/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/>
      <c r="F129" s="138"/>
      <c r="G129" s="54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/>
      <c r="F130" s="138"/>
      <c r="G130" s="54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/>
      <c r="F131" s="138"/>
      <c r="G131" s="54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/>
      <c r="F132" s="138"/>
      <c r="G132" s="54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/>
      <c r="F133" s="138"/>
      <c r="G133" s="54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117.0</v>
      </c>
      <c r="F134" s="138"/>
      <c r="G134" s="54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/>
      <c r="F135" s="138"/>
      <c r="G135" s="54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/>
      <c r="F136" s="138"/>
      <c r="G136" s="54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38"/>
      <c r="G137" s="54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38"/>
      <c r="G138" s="54"/>
      <c r="H138" s="135">
        <v>717.0</v>
      </c>
      <c r="I138" s="61"/>
      <c r="J138" s="130" t="s">
        <v>51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38"/>
      <c r="G139" s="61"/>
      <c r="H139" s="135">
        <v>2000.0</v>
      </c>
      <c r="I139" s="61"/>
      <c r="J139" s="130" t="s">
        <v>52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1"/>
      <c r="E140" s="122"/>
      <c r="F140" s="123">
        <f t="shared" ref="F140:I140" si="4">SUM(F10:F139)</f>
        <v>50380</v>
      </c>
      <c r="G140" s="123">
        <f t="shared" si="4"/>
        <v>22670</v>
      </c>
      <c r="H140" s="123">
        <f t="shared" si="4"/>
        <v>24817</v>
      </c>
      <c r="I140" s="123">
        <f t="shared" si="4"/>
        <v>5645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18"/>
      <c r="C141" s="118"/>
      <c r="D141" s="1"/>
      <c r="E141" s="124"/>
      <c r="F141" s="124"/>
      <c r="G141" s="124"/>
      <c r="H141" s="124"/>
      <c r="I141" s="12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18"/>
      <c r="C142" s="1"/>
      <c r="D142" s="1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26"/>
      <c r="H153" s="12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117910.0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21017.0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40607.0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F140-C15</f>
        <v>48049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G140-W33</f>
        <v>20339</v>
      </c>
      <c r="D10" s="24"/>
      <c r="E10" s="43">
        <v>1.0</v>
      </c>
      <c r="F10" s="44">
        <v>325.0</v>
      </c>
      <c r="G10" s="45"/>
      <c r="H10" s="129">
        <v>325.0</v>
      </c>
      <c r="I10" s="45"/>
      <c r="J10" s="130">
        <v>3259.0</v>
      </c>
      <c r="K10" s="24"/>
      <c r="L10" s="47">
        <v>215.0</v>
      </c>
      <c r="M10" s="47"/>
      <c r="N10" s="47">
        <v>3045.0</v>
      </c>
      <c r="O10" s="49"/>
      <c r="P10" s="85" t="s">
        <v>42</v>
      </c>
      <c r="Q10" s="51"/>
      <c r="R10" s="52">
        <v>150.0</v>
      </c>
      <c r="S10" s="53"/>
      <c r="T10" s="54"/>
      <c r="U10" s="55"/>
      <c r="V10" s="24"/>
      <c r="W10" s="47">
        <v>332.0</v>
      </c>
      <c r="X10" s="47"/>
      <c r="Y10" s="47">
        <v>27.0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H140-X33</f>
        <v>24817</v>
      </c>
      <c r="D11" s="24"/>
      <c r="E11" s="43">
        <v>2.0</v>
      </c>
      <c r="F11" s="56">
        <v>132.0</v>
      </c>
      <c r="G11" s="57">
        <v>132.0</v>
      </c>
      <c r="H11" s="58"/>
      <c r="I11" s="59"/>
      <c r="J11" s="130">
        <v>3260.0</v>
      </c>
      <c r="K11" s="24"/>
      <c r="L11" s="48"/>
      <c r="M11" s="131">
        <v>257.0</v>
      </c>
      <c r="N11" s="131" t="s">
        <v>43</v>
      </c>
      <c r="O11" s="49"/>
      <c r="P11" s="72" t="s">
        <v>44</v>
      </c>
      <c r="Q11" s="51"/>
      <c r="R11" s="52">
        <v>395.0</v>
      </c>
      <c r="S11" s="53"/>
      <c r="T11" s="61"/>
      <c r="U11" s="62"/>
      <c r="V11" s="24"/>
      <c r="W11" s="47">
        <v>1999.0</v>
      </c>
      <c r="X11" s="47"/>
      <c r="Y11" s="47">
        <v>26.0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I140</f>
        <v>5645</v>
      </c>
      <c r="D12" s="24"/>
      <c r="E12" s="43">
        <v>3.0</v>
      </c>
      <c r="F12" s="63">
        <v>154.0</v>
      </c>
      <c r="G12" s="64"/>
      <c r="H12" s="132">
        <v>154.0</v>
      </c>
      <c r="I12" s="65"/>
      <c r="J12" s="130">
        <v>3261.0</v>
      </c>
      <c r="K12" s="24"/>
      <c r="L12" s="48"/>
      <c r="M12" s="131">
        <v>208.0</v>
      </c>
      <c r="N12" s="131" t="s">
        <v>45</v>
      </c>
      <c r="O12" s="49"/>
      <c r="P12" s="72" t="s">
        <v>46</v>
      </c>
      <c r="Q12" s="51"/>
      <c r="R12" s="52">
        <v>717.0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6013</v>
      </c>
      <c r="D13" s="24"/>
      <c r="E13" s="43">
        <v>4.0</v>
      </c>
      <c r="F13" s="56">
        <v>40.0</v>
      </c>
      <c r="G13" s="64"/>
      <c r="H13" s="132">
        <v>40.0</v>
      </c>
      <c r="I13" s="65"/>
      <c r="J13" s="130">
        <v>3262.0</v>
      </c>
      <c r="K13" s="24"/>
      <c r="L13" s="47">
        <v>4570.0</v>
      </c>
      <c r="M13" s="48"/>
      <c r="N13" s="47">
        <v>3187.0</v>
      </c>
      <c r="O13" s="49"/>
      <c r="P13" s="72" t="s">
        <v>47</v>
      </c>
      <c r="Q13" s="51"/>
      <c r="R13" s="52">
        <v>80.0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465</v>
      </c>
      <c r="D14" s="24"/>
      <c r="E14" s="43">
        <v>5.0</v>
      </c>
      <c r="F14" s="56">
        <v>12.0</v>
      </c>
      <c r="G14" s="64">
        <v>12.0</v>
      </c>
      <c r="H14" s="65"/>
      <c r="I14" s="65"/>
      <c r="J14" s="130">
        <v>3263.0</v>
      </c>
      <c r="K14" s="24"/>
      <c r="L14" s="47">
        <v>1228.0</v>
      </c>
      <c r="M14" s="48"/>
      <c r="N14" s="47">
        <v>3008.0</v>
      </c>
      <c r="O14" s="49"/>
      <c r="P14" s="72" t="s">
        <v>48</v>
      </c>
      <c r="Q14" s="51"/>
      <c r="R14" s="52">
        <v>250.0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2331</v>
      </c>
      <c r="D15" s="24"/>
      <c r="E15" s="43">
        <v>6.0</v>
      </c>
      <c r="F15" s="56">
        <v>56.0</v>
      </c>
      <c r="G15" s="64"/>
      <c r="H15" s="132">
        <v>56.0</v>
      </c>
      <c r="I15" s="65"/>
      <c r="J15" s="130">
        <v>3264.0</v>
      </c>
      <c r="K15" s="24"/>
      <c r="L15" s="47"/>
      <c r="M15" s="48"/>
      <c r="N15" s="47"/>
      <c r="O15" s="49"/>
      <c r="P15" s="72" t="s">
        <v>44</v>
      </c>
      <c r="Q15" s="51"/>
      <c r="R15" s="52">
        <v>745.0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2337</v>
      </c>
      <c r="D16" s="24"/>
      <c r="E16" s="43">
        <v>7.0</v>
      </c>
      <c r="F16" s="56">
        <v>4912.0</v>
      </c>
      <c r="G16" s="64"/>
      <c r="H16" s="64"/>
      <c r="I16" s="64">
        <v>4912.0</v>
      </c>
      <c r="J16" s="130">
        <v>3265.0</v>
      </c>
      <c r="K16" s="24"/>
      <c r="L16" s="47"/>
      <c r="M16" s="48"/>
      <c r="N16" s="47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2337</v>
      </c>
      <c r="D17" s="24"/>
      <c r="E17" s="43">
        <v>8.0</v>
      </c>
      <c r="F17" s="56">
        <v>940.0</v>
      </c>
      <c r="G17" s="64">
        <v>940.0</v>
      </c>
      <c r="H17" s="64"/>
      <c r="I17" s="65"/>
      <c r="J17" s="130">
        <v>3266.0</v>
      </c>
      <c r="K17" s="24"/>
      <c r="L17" s="47"/>
      <c r="M17" s="48"/>
      <c r="N17" s="47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312.0</v>
      </c>
      <c r="G18" s="64">
        <v>312.0</v>
      </c>
      <c r="H18" s="64"/>
      <c r="I18" s="65"/>
      <c r="J18" s="130">
        <v>3267.0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1045.0</v>
      </c>
      <c r="G19" s="64"/>
      <c r="H19" s="132">
        <v>1045.0</v>
      </c>
      <c r="I19" s="65"/>
      <c r="J19" s="130">
        <v>3268.0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39774</v>
      </c>
      <c r="D20" s="24"/>
      <c r="E20" s="43">
        <v>11.0</v>
      </c>
      <c r="F20" s="56">
        <v>302.0</v>
      </c>
      <c r="G20" s="64">
        <v>302.0</v>
      </c>
      <c r="H20" s="64"/>
      <c r="I20" s="65"/>
      <c r="J20" s="130">
        <v>3269.0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25282</v>
      </c>
      <c r="D21" s="24"/>
      <c r="E21" s="43">
        <v>12.0</v>
      </c>
      <c r="F21" s="56">
        <v>1084.0</v>
      </c>
      <c r="G21" s="65"/>
      <c r="H21" s="132">
        <v>1084.0</v>
      </c>
      <c r="I21" s="65"/>
      <c r="J21" s="130">
        <v>3270.0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141925</v>
      </c>
      <c r="D22" s="24"/>
      <c r="E22" s="43">
        <v>13.0</v>
      </c>
      <c r="F22" s="56">
        <v>263.0</v>
      </c>
      <c r="G22" s="64">
        <v>263.0</v>
      </c>
      <c r="H22" s="64"/>
      <c r="I22" s="65"/>
      <c r="J22" s="130">
        <v>3271.0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148901.0</v>
      </c>
      <c r="D23" s="24"/>
      <c r="E23" s="43">
        <v>14.0</v>
      </c>
      <c r="F23" s="56">
        <v>81.0</v>
      </c>
      <c r="G23" s="64">
        <v>81.0</v>
      </c>
      <c r="H23" s="65"/>
      <c r="I23" s="65"/>
      <c r="J23" s="130">
        <v>3272.0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-6976</v>
      </c>
      <c r="D24" s="24"/>
      <c r="E24" s="43">
        <v>15.0</v>
      </c>
      <c r="F24" s="56">
        <v>697.0</v>
      </c>
      <c r="G24" s="64">
        <v>697.0</v>
      </c>
      <c r="H24" s="65"/>
      <c r="I24" s="65"/>
      <c r="J24" s="130">
        <v>3273.0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993.0</v>
      </c>
      <c r="G25" s="64"/>
      <c r="H25" s="132">
        <v>993.0</v>
      </c>
      <c r="I25" s="65"/>
      <c r="J25" s="130">
        <v>3274.0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F140</f>
        <v>50380</v>
      </c>
      <c r="D26" s="24"/>
      <c r="E26" s="43">
        <v>17.0</v>
      </c>
      <c r="F26" s="56">
        <v>39.0</v>
      </c>
      <c r="G26" s="64">
        <v>39.0</v>
      </c>
      <c r="H26" s="65"/>
      <c r="I26" s="65"/>
      <c r="J26" s="130">
        <v>3275.0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115.0</v>
      </c>
      <c r="D27" s="24"/>
      <c r="E27" s="43">
        <v>18.0</v>
      </c>
      <c r="F27" s="56">
        <v>241.0</v>
      </c>
      <c r="G27" s="64">
        <v>241.0</v>
      </c>
      <c r="H27" s="65"/>
      <c r="I27" s="65"/>
      <c r="J27" s="130">
        <v>3276.0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438.0869565</v>
      </c>
      <c r="D28" s="24"/>
      <c r="E28" s="43">
        <v>19.0</v>
      </c>
      <c r="F28" s="56">
        <v>219.0</v>
      </c>
      <c r="G28" s="64">
        <v>219.0</v>
      </c>
      <c r="H28" s="65"/>
      <c r="I28" s="65"/>
      <c r="J28" s="130">
        <v>3277.0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41.0</v>
      </c>
      <c r="G29" s="64"/>
      <c r="H29" s="132">
        <v>41.0</v>
      </c>
      <c r="I29" s="65"/>
      <c r="J29" s="130">
        <v>3278.0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457.0</v>
      </c>
      <c r="G30" s="93">
        <v>457.0</v>
      </c>
      <c r="H30" s="92"/>
      <c r="I30" s="93"/>
      <c r="J30" s="130">
        <v>3279.0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21017</v>
      </c>
      <c r="D31" s="24"/>
      <c r="E31" s="43">
        <v>22.0</v>
      </c>
      <c r="F31" s="56">
        <v>275.0</v>
      </c>
      <c r="G31" s="93">
        <v>275.0</v>
      </c>
      <c r="H31" s="92"/>
      <c r="I31" s="92"/>
      <c r="J31" s="130">
        <v>3280.0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2337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710.0</v>
      </c>
      <c r="G32" s="93">
        <v>710.0</v>
      </c>
      <c r="H32" s="92"/>
      <c r="I32" s="92"/>
      <c r="J32" s="130">
        <v>3281.0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910.0</v>
      </c>
      <c r="G33" s="93"/>
      <c r="H33" s="135">
        <v>910.0</v>
      </c>
      <c r="I33" s="92"/>
      <c r="J33" s="130">
        <v>3282.0</v>
      </c>
      <c r="K33" s="24"/>
      <c r="L33" s="104">
        <f t="shared" ref="L33:M33" si="2">sum(L10:L32)</f>
        <v>6013</v>
      </c>
      <c r="M33" s="104">
        <f t="shared" si="2"/>
        <v>465</v>
      </c>
      <c r="N33" s="104"/>
      <c r="O33" s="105"/>
      <c r="P33" s="85" t="s">
        <v>38</v>
      </c>
      <c r="Q33" s="51"/>
      <c r="R33" s="100"/>
      <c r="S33" s="52">
        <v>21017.0</v>
      </c>
      <c r="T33" s="101"/>
      <c r="U33" s="55"/>
      <c r="V33" s="24"/>
      <c r="W33" s="104">
        <f t="shared" ref="W33:X33" si="3">sum(W10:W32)</f>
        <v>2331</v>
      </c>
      <c r="X33" s="104">
        <f t="shared" si="3"/>
        <v>0</v>
      </c>
      <c r="Y33" s="104">
        <f>W33+X33</f>
        <v>2331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792.0</v>
      </c>
      <c r="G34" s="93"/>
      <c r="H34" s="135">
        <v>792.0</v>
      </c>
      <c r="I34" s="92"/>
      <c r="J34" s="130">
        <v>3283.0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424.0</v>
      </c>
      <c r="G35" s="93">
        <v>424.0</v>
      </c>
      <c r="H35" s="93"/>
      <c r="I35" s="92"/>
      <c r="J35" s="130">
        <v>3284.0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150.0</v>
      </c>
      <c r="G36" s="93">
        <v>150.0</v>
      </c>
      <c r="H36" s="93"/>
      <c r="I36" s="92"/>
      <c r="J36" s="130">
        <v>3285.0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443.0</v>
      </c>
      <c r="G37" s="93">
        <v>443.0</v>
      </c>
      <c r="H37" s="92"/>
      <c r="I37" s="92"/>
      <c r="J37" s="130">
        <v>3286.0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303.0</v>
      </c>
      <c r="G38" s="93"/>
      <c r="H38" s="135">
        <v>303.0</v>
      </c>
      <c r="I38" s="92"/>
      <c r="J38" s="130">
        <v>3287.0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746.0</v>
      </c>
      <c r="G39" s="93"/>
      <c r="H39" s="136">
        <v>746.0</v>
      </c>
      <c r="I39" s="92"/>
      <c r="J39" s="130">
        <v>3288.0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270.0</v>
      </c>
      <c r="G40" s="92"/>
      <c r="H40" s="135">
        <v>270.0</v>
      </c>
      <c r="I40" s="92"/>
      <c r="J40" s="130">
        <v>3289.0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470.0</v>
      </c>
      <c r="G41" s="93">
        <v>470.0</v>
      </c>
      <c r="H41" s="93"/>
      <c r="I41" s="92"/>
      <c r="J41" s="130">
        <v>3290.0</v>
      </c>
      <c r="K41" s="24"/>
      <c r="L41" s="112"/>
      <c r="M41" s="112"/>
      <c r="N41" s="137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826.0</v>
      </c>
      <c r="G42" s="93">
        <v>826.0</v>
      </c>
      <c r="H42" s="93"/>
      <c r="I42" s="92"/>
      <c r="J42" s="130">
        <v>3291.0</v>
      </c>
      <c r="K42" s="24"/>
      <c r="L42" s="112"/>
      <c r="M42" s="117"/>
      <c r="N42" s="137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317.0</v>
      </c>
      <c r="G43" s="93">
        <v>300.0</v>
      </c>
      <c r="H43" s="135">
        <v>17.0</v>
      </c>
      <c r="I43" s="92"/>
      <c r="J43" s="130">
        <v>3292.0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412.0</v>
      </c>
      <c r="G44" s="93">
        <v>412.0</v>
      </c>
      <c r="H44" s="93"/>
      <c r="I44" s="92"/>
      <c r="J44" s="130">
        <v>3293.0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69.0</v>
      </c>
      <c r="G45" s="93">
        <v>69.0</v>
      </c>
      <c r="H45" s="92"/>
      <c r="I45" s="92"/>
      <c r="J45" s="130">
        <v>3294.0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683.0</v>
      </c>
      <c r="G46" s="93">
        <v>683.0</v>
      </c>
      <c r="H46" s="92"/>
      <c r="I46" s="92"/>
      <c r="J46" s="130">
        <v>3295.0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311.0</v>
      </c>
      <c r="G47" s="93">
        <v>311.0</v>
      </c>
      <c r="H47" s="93"/>
      <c r="I47" s="92"/>
      <c r="J47" s="130">
        <v>3296.0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826.0</v>
      </c>
      <c r="G48" s="93">
        <v>826.0</v>
      </c>
      <c r="H48" s="92"/>
      <c r="I48" s="92"/>
      <c r="J48" s="130">
        <v>3297.0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300.0</v>
      </c>
      <c r="G49" s="93">
        <v>300.0</v>
      </c>
      <c r="H49" s="92"/>
      <c r="I49" s="92"/>
      <c r="J49" s="130">
        <v>3298.0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369.0</v>
      </c>
      <c r="G50" s="93">
        <v>369.0</v>
      </c>
      <c r="H50" s="93"/>
      <c r="I50" s="92"/>
      <c r="J50" s="130">
        <v>3299.0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533.0</v>
      </c>
      <c r="G51" s="92"/>
      <c r="H51" s="135">
        <v>568.0</v>
      </c>
      <c r="I51" s="92"/>
      <c r="J51" s="130" t="s">
        <v>49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351.0</v>
      </c>
      <c r="G52" s="93">
        <v>351.0</v>
      </c>
      <c r="H52" s="92"/>
      <c r="I52" s="92"/>
      <c r="J52" s="130">
        <v>3301.0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180.0</v>
      </c>
      <c r="G53" s="93">
        <v>180.0</v>
      </c>
      <c r="H53" s="92"/>
      <c r="I53" s="92"/>
      <c r="J53" s="130">
        <v>3302.0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18.0</v>
      </c>
      <c r="G54" s="92"/>
      <c r="H54" s="135">
        <v>18.0</v>
      </c>
      <c r="I54" s="92"/>
      <c r="J54" s="130">
        <v>3303.0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35.0</v>
      </c>
      <c r="G55" s="92"/>
      <c r="H55" s="135">
        <v>35.0</v>
      </c>
      <c r="I55" s="92"/>
      <c r="J55" s="130">
        <v>3304.0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589.0</v>
      </c>
      <c r="G56" s="93">
        <v>589.0</v>
      </c>
      <c r="H56" s="92"/>
      <c r="I56" s="92"/>
      <c r="J56" s="130">
        <v>3305.0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579.0</v>
      </c>
      <c r="G57" s="93">
        <v>579.0</v>
      </c>
      <c r="H57" s="92"/>
      <c r="I57" s="92"/>
      <c r="J57" s="130">
        <v>3306.0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99.0</v>
      </c>
      <c r="G58" s="93">
        <v>99.0</v>
      </c>
      <c r="H58" s="92"/>
      <c r="I58" s="92"/>
      <c r="J58" s="130">
        <v>3307.0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219.0</v>
      </c>
      <c r="G59" s="93">
        <v>219.0</v>
      </c>
      <c r="H59" s="92"/>
      <c r="I59" s="92"/>
      <c r="J59" s="130">
        <v>3308.0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435.0</v>
      </c>
      <c r="G60" s="93">
        <v>435.0</v>
      </c>
      <c r="H60" s="92"/>
      <c r="I60" s="92"/>
      <c r="J60" s="130">
        <v>3309.0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225.0</v>
      </c>
      <c r="G61" s="93">
        <v>225.0</v>
      </c>
      <c r="H61" s="92"/>
      <c r="I61" s="92"/>
      <c r="J61" s="130">
        <v>3310.0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106.0</v>
      </c>
      <c r="G62" s="93">
        <v>106.0</v>
      </c>
      <c r="H62" s="92"/>
      <c r="I62" s="92"/>
      <c r="J62" s="130">
        <v>3311.0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180.0</v>
      </c>
      <c r="G63" s="92"/>
      <c r="H63" s="135">
        <v>180.0</v>
      </c>
      <c r="I63" s="92"/>
      <c r="J63" s="130">
        <v>3312.0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247.0</v>
      </c>
      <c r="G64" s="92"/>
      <c r="H64" s="135">
        <v>247.0</v>
      </c>
      <c r="I64" s="92"/>
      <c r="J64" s="130">
        <v>3313.0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105.0</v>
      </c>
      <c r="G65" s="93">
        <v>105.0</v>
      </c>
      <c r="H65" s="92"/>
      <c r="I65" s="92"/>
      <c r="J65" s="130">
        <v>3314.0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1260.0</v>
      </c>
      <c r="G66" s="93">
        <v>1260.0</v>
      </c>
      <c r="H66" s="92"/>
      <c r="I66" s="92"/>
      <c r="J66" s="130">
        <v>3315.0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270.0</v>
      </c>
      <c r="G67" s="93">
        <v>270.0</v>
      </c>
      <c r="H67" s="92"/>
      <c r="I67" s="92"/>
      <c r="J67" s="130">
        <v>3316.0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166.0</v>
      </c>
      <c r="G68" s="93">
        <v>166.0</v>
      </c>
      <c r="H68" s="92"/>
      <c r="I68" s="92"/>
      <c r="J68" s="130">
        <v>3317.0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133.0</v>
      </c>
      <c r="G69" s="92"/>
      <c r="H69" s="135">
        <v>133.0</v>
      </c>
      <c r="I69" s="92"/>
      <c r="J69" s="130">
        <v>3318.0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7.0</v>
      </c>
      <c r="G70" s="93">
        <v>7.0</v>
      </c>
      <c r="H70" s="92"/>
      <c r="I70" s="92"/>
      <c r="J70" s="130">
        <v>3319.0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146.0</v>
      </c>
      <c r="G71" s="92"/>
      <c r="H71" s="136">
        <v>146.0</v>
      </c>
      <c r="I71" s="92"/>
      <c r="J71" s="130">
        <v>3320.0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33.0</v>
      </c>
      <c r="G72" s="93">
        <v>33.0</v>
      </c>
      <c r="H72" s="92"/>
      <c r="I72" s="92"/>
      <c r="J72" s="130">
        <v>3321.0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835.0</v>
      </c>
      <c r="G73" s="93">
        <v>835.0</v>
      </c>
      <c r="H73" s="92"/>
      <c r="I73" s="92"/>
      <c r="J73" s="130">
        <v>3322.0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319.0</v>
      </c>
      <c r="G74" s="92"/>
      <c r="H74" s="136">
        <v>319.0</v>
      </c>
      <c r="I74" s="92"/>
      <c r="J74" s="130">
        <v>3323.0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1268.0</v>
      </c>
      <c r="G75" s="92"/>
      <c r="H75" s="135">
        <v>1268.0</v>
      </c>
      <c r="I75" s="92"/>
      <c r="J75" s="130">
        <v>3324.0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244.0</v>
      </c>
      <c r="G76" s="93">
        <v>244.0</v>
      </c>
      <c r="H76" s="92"/>
      <c r="I76" s="92"/>
      <c r="J76" s="130">
        <v>3325.0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946.0</v>
      </c>
      <c r="G77" s="93">
        <v>946.0</v>
      </c>
      <c r="H77" s="92"/>
      <c r="I77" s="92"/>
      <c r="J77" s="130">
        <v>3326.0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130.0</v>
      </c>
      <c r="G78" s="92"/>
      <c r="H78" s="135">
        <v>130.0</v>
      </c>
      <c r="I78" s="92"/>
      <c r="J78" s="130">
        <v>3327.0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93.0</v>
      </c>
      <c r="G79" s="93">
        <v>93.0</v>
      </c>
      <c r="H79" s="92"/>
      <c r="I79" s="92"/>
      <c r="J79" s="130">
        <v>3328.0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424.0</v>
      </c>
      <c r="G80" s="93">
        <v>424.0</v>
      </c>
      <c r="H80" s="92"/>
      <c r="I80" s="92"/>
      <c r="J80" s="130">
        <v>3329.0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539.0</v>
      </c>
      <c r="G81" s="92"/>
      <c r="H81" s="135">
        <v>539.0</v>
      </c>
      <c r="I81" s="92"/>
      <c r="J81" s="130">
        <v>3330.0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99.0</v>
      </c>
      <c r="G82" s="54">
        <v>99.0</v>
      </c>
      <c r="H82" s="61"/>
      <c r="I82" s="61"/>
      <c r="J82" s="130">
        <v>3331.0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35.0</v>
      </c>
      <c r="G83" s="54">
        <v>35.0</v>
      </c>
      <c r="H83" s="61"/>
      <c r="I83" s="61"/>
      <c r="J83" s="130">
        <v>3332.0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3.0</v>
      </c>
      <c r="G84" s="54">
        <v>3.0</v>
      </c>
      <c r="H84" s="61"/>
      <c r="I84" s="61"/>
      <c r="J84" s="130">
        <v>3333.0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597.0</v>
      </c>
      <c r="G85" s="54">
        <v>597.0</v>
      </c>
      <c r="H85" s="61"/>
      <c r="I85" s="61"/>
      <c r="J85" s="130">
        <v>3334.0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523.0</v>
      </c>
      <c r="G86" s="61"/>
      <c r="H86" s="135">
        <v>523.0</v>
      </c>
      <c r="I86" s="61"/>
      <c r="J86" s="130">
        <v>3335.0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219.0</v>
      </c>
      <c r="G87" s="54">
        <v>219.0</v>
      </c>
      <c r="H87" s="61"/>
      <c r="I87" s="61"/>
      <c r="J87" s="130">
        <v>3336.0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313.0</v>
      </c>
      <c r="G88" s="54">
        <v>313.0</v>
      </c>
      <c r="H88" s="61"/>
      <c r="I88" s="61"/>
      <c r="J88" s="130">
        <v>3337.0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1128.0</v>
      </c>
      <c r="G89" s="61"/>
      <c r="H89" s="135">
        <v>1128.0</v>
      </c>
      <c r="I89" s="61"/>
      <c r="J89" s="130">
        <v>3338.0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109.0</v>
      </c>
      <c r="G90" s="54">
        <v>109.0</v>
      </c>
      <c r="H90" s="61"/>
      <c r="I90" s="61"/>
      <c r="J90" s="130">
        <v>3339.0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116.0</v>
      </c>
      <c r="G91" s="54">
        <v>100.0</v>
      </c>
      <c r="H91" s="135">
        <v>16.0</v>
      </c>
      <c r="I91" s="61"/>
      <c r="J91" s="130">
        <v>3340.0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250.0</v>
      </c>
      <c r="G92" s="54">
        <v>250.0</v>
      </c>
      <c r="H92" s="61"/>
      <c r="I92" s="61"/>
      <c r="J92" s="130">
        <v>3341.0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534.0</v>
      </c>
      <c r="G93" s="54">
        <v>534.0</v>
      </c>
      <c r="H93" s="61"/>
      <c r="I93" s="61"/>
      <c r="J93" s="130">
        <v>3342.0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116.0</v>
      </c>
      <c r="G94" s="61"/>
      <c r="H94" s="135">
        <v>116.0</v>
      </c>
      <c r="I94" s="61"/>
      <c r="J94" s="130">
        <v>3343.0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267.0</v>
      </c>
      <c r="G95" s="54">
        <v>267.0</v>
      </c>
      <c r="H95" s="61"/>
      <c r="I95" s="61"/>
      <c r="J95" s="130">
        <v>3344.0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324.0</v>
      </c>
      <c r="G96" s="54">
        <v>324.0</v>
      </c>
      <c r="H96" s="61"/>
      <c r="I96" s="61"/>
      <c r="J96" s="130">
        <v>3345.0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295.0</v>
      </c>
      <c r="G97" s="54"/>
      <c r="H97" s="135">
        <v>295.0</v>
      </c>
      <c r="I97" s="61"/>
      <c r="J97" s="130">
        <v>3346.0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5.0</v>
      </c>
      <c r="G98" s="54"/>
      <c r="H98" s="135">
        <v>5.0</v>
      </c>
      <c r="I98" s="61"/>
      <c r="J98" s="130">
        <v>3347.0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159.0</v>
      </c>
      <c r="G99" s="54">
        <v>159.0</v>
      </c>
      <c r="H99" s="61"/>
      <c r="I99" s="61"/>
      <c r="J99" s="130">
        <v>3348.0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254.0</v>
      </c>
      <c r="G100" s="54"/>
      <c r="H100" s="135">
        <v>254.0</v>
      </c>
      <c r="I100" s="61"/>
      <c r="J100" s="130">
        <v>3349.0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199.0</v>
      </c>
      <c r="G101" s="54">
        <v>199.0</v>
      </c>
      <c r="H101" s="61"/>
      <c r="I101" s="61"/>
      <c r="J101" s="130">
        <v>3350.0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815.0</v>
      </c>
      <c r="G102" s="54"/>
      <c r="H102" s="135">
        <v>815.0</v>
      </c>
      <c r="I102" s="61"/>
      <c r="J102" s="130">
        <v>3351.0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45.0</v>
      </c>
      <c r="G103" s="54"/>
      <c r="H103" s="135">
        <v>45.0</v>
      </c>
      <c r="I103" s="61"/>
      <c r="J103" s="130">
        <v>3352.0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177.0</v>
      </c>
      <c r="G104" s="54"/>
      <c r="H104" s="136">
        <v>177.0</v>
      </c>
      <c r="I104" s="61"/>
      <c r="J104" s="130">
        <v>3353.0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124.0</v>
      </c>
      <c r="G105" s="54"/>
      <c r="H105" s="135">
        <v>124.0</v>
      </c>
      <c r="I105" s="61"/>
      <c r="J105" s="130">
        <v>3354.0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30.0</v>
      </c>
      <c r="G106" s="54">
        <v>30.0</v>
      </c>
      <c r="H106" s="61"/>
      <c r="I106" s="61"/>
      <c r="J106" s="130">
        <v>3355.0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265.0</v>
      </c>
      <c r="G107" s="54">
        <v>260.0</v>
      </c>
      <c r="H107" s="135">
        <v>5.0</v>
      </c>
      <c r="I107" s="61"/>
      <c r="J107" s="130">
        <v>3356.0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718.0</v>
      </c>
      <c r="G108" s="54"/>
      <c r="H108" s="54">
        <v>718.0</v>
      </c>
      <c r="I108" s="61"/>
      <c r="J108" s="130">
        <v>3357.0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772.0</v>
      </c>
      <c r="G109" s="54">
        <v>622.0</v>
      </c>
      <c r="H109" s="135">
        <v>150.0</v>
      </c>
      <c r="I109" s="61"/>
      <c r="J109" s="130">
        <v>3358.0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2552.0</v>
      </c>
      <c r="G110" s="54"/>
      <c r="H110" s="136">
        <v>2552.0</v>
      </c>
      <c r="I110" s="61"/>
      <c r="J110" s="130">
        <v>3359.0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308.0</v>
      </c>
      <c r="G111" s="54"/>
      <c r="H111" s="135">
        <v>308.0</v>
      </c>
      <c r="I111" s="61"/>
      <c r="J111" s="130">
        <v>3360.0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207.0</v>
      </c>
      <c r="G112" s="54">
        <v>207.0</v>
      </c>
      <c r="H112" s="61"/>
      <c r="I112" s="61"/>
      <c r="J112" s="130">
        <v>3361.0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107.0</v>
      </c>
      <c r="G113" s="54">
        <v>107.0</v>
      </c>
      <c r="H113" s="61"/>
      <c r="I113" s="61"/>
      <c r="J113" s="130">
        <v>3362.0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95.0</v>
      </c>
      <c r="G114" s="54"/>
      <c r="H114" s="135">
        <v>95.0</v>
      </c>
      <c r="I114" s="61"/>
      <c r="J114" s="130">
        <v>3363.0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224.0</v>
      </c>
      <c r="G115" s="54">
        <v>224.0</v>
      </c>
      <c r="H115" s="61"/>
      <c r="I115" s="61"/>
      <c r="J115" s="130">
        <v>3364.0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40.0</v>
      </c>
      <c r="G116" s="54"/>
      <c r="H116" s="135">
        <v>40.0</v>
      </c>
      <c r="I116" s="61"/>
      <c r="J116" s="130">
        <v>3365.0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254.0</v>
      </c>
      <c r="G117" s="54">
        <v>254.0</v>
      </c>
      <c r="H117" s="61"/>
      <c r="I117" s="61"/>
      <c r="J117" s="130">
        <v>3366.0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2560.0</v>
      </c>
      <c r="G118" s="54"/>
      <c r="H118" s="136">
        <v>2560.0</v>
      </c>
      <c r="I118" s="61"/>
      <c r="J118" s="130">
        <v>3367.0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10.0</v>
      </c>
      <c r="G119" s="54">
        <v>10.0</v>
      </c>
      <c r="H119" s="61"/>
      <c r="I119" s="61"/>
      <c r="J119" s="130">
        <v>3368.0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1650.0</v>
      </c>
      <c r="G120" s="54">
        <v>150.0</v>
      </c>
      <c r="H120" s="135">
        <v>1500.0</v>
      </c>
      <c r="I120" s="61"/>
      <c r="J120" s="130">
        <v>3369.0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63.0</v>
      </c>
      <c r="G121" s="54">
        <v>63.0</v>
      </c>
      <c r="H121" s="61"/>
      <c r="I121" s="61"/>
      <c r="J121" s="130">
        <v>3370.0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315.0</v>
      </c>
      <c r="G122" s="54"/>
      <c r="H122" s="135">
        <v>315.0</v>
      </c>
      <c r="I122" s="61"/>
      <c r="J122" s="130">
        <v>3371.0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106.0</v>
      </c>
      <c r="G123" s="54">
        <v>106.0</v>
      </c>
      <c r="H123" s="61"/>
      <c r="I123" s="61"/>
      <c r="J123" s="130">
        <v>3372.0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733.0</v>
      </c>
      <c r="G124" s="54"/>
      <c r="H124" s="61"/>
      <c r="I124" s="54">
        <v>733.0</v>
      </c>
      <c r="J124" s="130" t="s">
        <v>50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/>
      <c r="G125" s="54"/>
      <c r="H125" s="61"/>
      <c r="I125" s="61"/>
      <c r="J125" s="130">
        <v>3374.0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/>
      <c r="F126" s="138"/>
      <c r="G126" s="54"/>
      <c r="H126" s="61"/>
      <c r="I126" s="61"/>
      <c r="J126" s="130"/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/>
      <c r="F127" s="138"/>
      <c r="G127" s="54"/>
      <c r="H127" s="61"/>
      <c r="I127" s="61"/>
      <c r="J127" s="130"/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/>
      <c r="F128" s="138"/>
      <c r="G128" s="54"/>
      <c r="H128" s="61"/>
      <c r="I128" s="61"/>
      <c r="J128" s="130"/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/>
      <c r="F129" s="138"/>
      <c r="G129" s="54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/>
      <c r="F130" s="138"/>
      <c r="G130" s="54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/>
      <c r="F131" s="138"/>
      <c r="G131" s="54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/>
      <c r="F132" s="138"/>
      <c r="G132" s="54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/>
      <c r="F133" s="138"/>
      <c r="G133" s="54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117.0</v>
      </c>
      <c r="F134" s="138"/>
      <c r="G134" s="54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/>
      <c r="F135" s="138"/>
      <c r="G135" s="54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/>
      <c r="F136" s="138"/>
      <c r="G136" s="54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38"/>
      <c r="G137" s="54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38"/>
      <c r="G138" s="54"/>
      <c r="H138" s="135">
        <v>717.0</v>
      </c>
      <c r="I138" s="61"/>
      <c r="J138" s="130" t="s">
        <v>51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38"/>
      <c r="G139" s="61"/>
      <c r="H139" s="135">
        <v>2000.0</v>
      </c>
      <c r="I139" s="61"/>
      <c r="J139" s="130" t="s">
        <v>52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1"/>
      <c r="E140" s="122"/>
      <c r="F140" s="123">
        <f t="shared" ref="F140:I140" si="4">SUM(F10:F139)</f>
        <v>50380</v>
      </c>
      <c r="G140" s="123">
        <f t="shared" si="4"/>
        <v>22670</v>
      </c>
      <c r="H140" s="123">
        <f t="shared" si="4"/>
        <v>24817</v>
      </c>
      <c r="I140" s="123">
        <f t="shared" si="4"/>
        <v>5645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18"/>
      <c r="C141" s="118"/>
      <c r="D141" s="1"/>
      <c r="E141" s="124"/>
      <c r="F141" s="124"/>
      <c r="G141" s="124"/>
      <c r="H141" s="124"/>
      <c r="I141" s="12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18"/>
      <c r="C142" s="1"/>
      <c r="D142" s="1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26"/>
      <c r="H153" s="12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9" t="s">
        <v>54</v>
      </c>
      <c r="B1" s="139" t="s">
        <v>55</v>
      </c>
    </row>
    <row r="2">
      <c r="A2" s="139" t="s">
        <v>56</v>
      </c>
      <c r="B2" s="139" t="s">
        <v>57</v>
      </c>
    </row>
    <row r="3">
      <c r="A3" s="139" t="s">
        <v>58</v>
      </c>
      <c r="B3" s="139" t="s">
        <v>59</v>
      </c>
    </row>
    <row r="4">
      <c r="A4" s="139" t="s">
        <v>60</v>
      </c>
      <c r="B4" s="140">
        <v>2025.0</v>
      </c>
    </row>
    <row r="5">
      <c r="A5" s="139" t="s">
        <v>61</v>
      </c>
      <c r="B5" s="139" t="s">
        <v>62</v>
      </c>
    </row>
    <row r="6">
      <c r="A6" s="139" t="s">
        <v>63</v>
      </c>
      <c r="B6" s="139" t="s">
        <v>64</v>
      </c>
    </row>
    <row r="7">
      <c r="A7" s="139" t="s">
        <v>65</v>
      </c>
      <c r="B7" s="139" t="s">
        <v>66</v>
      </c>
    </row>
    <row r="8">
      <c r="A8" s="139" t="s">
        <v>67</v>
      </c>
      <c r="B8" s="139" t="s">
        <v>68</v>
      </c>
    </row>
    <row r="9">
      <c r="A9" s="139" t="s">
        <v>69</v>
      </c>
      <c r="B9" s="139" t="s">
        <v>70</v>
      </c>
    </row>
    <row r="10">
      <c r="A10" s="139" t="s">
        <v>71</v>
      </c>
      <c r="B10" s="141">
        <v>45992.32777777778</v>
      </c>
    </row>
    <row r="11">
      <c r="A11" s="139" t="s">
        <v>72</v>
      </c>
      <c r="B11" s="139" t="s">
        <v>73</v>
      </c>
    </row>
    <row r="12">
      <c r="A12" s="139" t="s">
        <v>74</v>
      </c>
      <c r="B12" s="139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9" t="s">
        <v>76</v>
      </c>
      <c r="B1" s="139" t="s">
        <v>55</v>
      </c>
    </row>
    <row r="2">
      <c r="A2" s="139" t="s">
        <v>77</v>
      </c>
      <c r="B2" s="140">
        <v>31.0</v>
      </c>
    </row>
    <row r="3">
      <c r="A3" s="139" t="s">
        <v>61</v>
      </c>
      <c r="B3" s="139" t="s">
        <v>62</v>
      </c>
    </row>
    <row r="4">
      <c r="A4" s="139" t="s">
        <v>63</v>
      </c>
      <c r="B4" s="139" t="s">
        <v>64</v>
      </c>
    </row>
    <row r="5">
      <c r="A5" s="139" t="s">
        <v>65</v>
      </c>
      <c r="B5" s="139" t="s">
        <v>66</v>
      </c>
    </row>
    <row r="6">
      <c r="A6" s="139" t="s">
        <v>78</v>
      </c>
      <c r="B6" s="142">
        <v>45992.32822916667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142670.0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25282.0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39774.0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80241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23531</v>
      </c>
      <c r="D10" s="24"/>
      <c r="E10" s="43">
        <v>1.0</v>
      </c>
      <c r="F10" s="44">
        <v>387.0</v>
      </c>
      <c r="G10" s="143"/>
      <c r="H10" s="144">
        <v>387.0</v>
      </c>
      <c r="I10" s="45"/>
      <c r="J10" s="145" t="s">
        <v>79</v>
      </c>
      <c r="K10" s="24"/>
      <c r="L10" s="47"/>
      <c r="M10" s="146">
        <v>733.0</v>
      </c>
      <c r="N10" s="146">
        <v>3373.0</v>
      </c>
      <c r="O10" s="49"/>
      <c r="P10" s="85" t="s">
        <v>80</v>
      </c>
      <c r="Q10" s="51"/>
      <c r="R10" s="52">
        <v>79000.0</v>
      </c>
      <c r="S10" s="53"/>
      <c r="T10" s="54"/>
      <c r="U10" s="55"/>
      <c r="V10" s="24"/>
      <c r="W10" s="47">
        <v>219.0</v>
      </c>
      <c r="X10" s="47"/>
      <c r="Y10" s="47">
        <v>28.0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27518</v>
      </c>
      <c r="D11" s="24"/>
      <c r="E11" s="43">
        <v>2.0</v>
      </c>
      <c r="F11" s="56">
        <v>152.0</v>
      </c>
      <c r="G11" s="147"/>
      <c r="H11" s="148">
        <v>152.0</v>
      </c>
      <c r="I11" s="59"/>
      <c r="J11" s="130">
        <v>3375.0</v>
      </c>
      <c r="K11" s="24"/>
      <c r="L11" s="48"/>
      <c r="M11" s="48"/>
      <c r="N11" s="48"/>
      <c r="O11" s="49"/>
      <c r="P11" s="72" t="s">
        <v>81</v>
      </c>
      <c r="Q11" s="51"/>
      <c r="R11" s="52">
        <v>310.0</v>
      </c>
      <c r="S11" s="53"/>
      <c r="T11" s="61"/>
      <c r="U11" s="62"/>
      <c r="V11" s="24"/>
      <c r="W11" s="47">
        <v>88.0</v>
      </c>
      <c r="X11" s="47"/>
      <c r="Y11" s="47">
        <v>29.0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28877</v>
      </c>
      <c r="D12" s="24"/>
      <c r="E12" s="43">
        <v>3.0</v>
      </c>
      <c r="F12" s="63">
        <v>40.0</v>
      </c>
      <c r="G12" s="149"/>
      <c r="H12" s="150">
        <v>40.0</v>
      </c>
      <c r="I12" s="64"/>
      <c r="J12" s="145" t="s">
        <v>82</v>
      </c>
      <c r="K12" s="24"/>
      <c r="L12" s="48"/>
      <c r="M12" s="48"/>
      <c r="N12" s="48"/>
      <c r="O12" s="49"/>
      <c r="P12" s="72" t="s">
        <v>83</v>
      </c>
      <c r="Q12" s="51"/>
      <c r="R12" s="52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140.0</v>
      </c>
      <c r="G13" s="149"/>
      <c r="H13" s="150">
        <v>140.0</v>
      </c>
      <c r="I13" s="64"/>
      <c r="J13" s="145">
        <v>3377.0</v>
      </c>
      <c r="K13" s="24"/>
      <c r="L13" s="48"/>
      <c r="M13" s="48"/>
      <c r="N13" s="48"/>
      <c r="O13" s="49"/>
      <c r="P13" s="72" t="s">
        <v>84</v>
      </c>
      <c r="Q13" s="51"/>
      <c r="R13" s="52">
        <v>40.0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733</v>
      </c>
      <c r="D14" s="24"/>
      <c r="E14" s="43">
        <v>5.0</v>
      </c>
      <c r="F14" s="56">
        <v>3.0</v>
      </c>
      <c r="G14" s="149">
        <v>3.0</v>
      </c>
      <c r="H14" s="151"/>
      <c r="I14" s="65"/>
      <c r="J14" s="130">
        <v>3378.0</v>
      </c>
      <c r="K14" s="24"/>
      <c r="L14" s="48"/>
      <c r="M14" s="48"/>
      <c r="N14" s="48"/>
      <c r="O14" s="49"/>
      <c r="P14" s="72" t="s">
        <v>85</v>
      </c>
      <c r="Q14" s="51"/>
      <c r="R14" s="52">
        <v>40.0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307</v>
      </c>
      <c r="D15" s="24"/>
      <c r="E15" s="43">
        <v>6.0</v>
      </c>
      <c r="F15" s="56">
        <v>280.0</v>
      </c>
      <c r="G15" s="149"/>
      <c r="H15" s="132">
        <v>280.0</v>
      </c>
      <c r="I15" s="65"/>
      <c r="J15" s="130">
        <v>3379.0</v>
      </c>
      <c r="K15" s="24"/>
      <c r="L15" s="48"/>
      <c r="M15" s="48"/>
      <c r="N15" s="48"/>
      <c r="O15" s="49"/>
      <c r="P15" s="72" t="s">
        <v>86</v>
      </c>
      <c r="Q15" s="51"/>
      <c r="R15" s="52">
        <v>50.0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79710</v>
      </c>
      <c r="D16" s="24"/>
      <c r="E16" s="43">
        <v>7.0</v>
      </c>
      <c r="F16" s="56">
        <v>71.0</v>
      </c>
      <c r="G16" s="149">
        <v>71.0</v>
      </c>
      <c r="H16" s="149"/>
      <c r="I16" s="65"/>
      <c r="J16" s="130">
        <v>3380.0</v>
      </c>
      <c r="K16" s="24"/>
      <c r="L16" s="48"/>
      <c r="M16" s="48"/>
      <c r="N16" s="48"/>
      <c r="O16" s="49"/>
      <c r="P16" s="72" t="s">
        <v>87</v>
      </c>
      <c r="Q16" s="51"/>
      <c r="R16" s="52">
        <v>120.0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79710</v>
      </c>
      <c r="D17" s="24"/>
      <c r="E17" s="43">
        <v>8.0</v>
      </c>
      <c r="F17" s="56">
        <v>20.0</v>
      </c>
      <c r="G17" s="149">
        <v>20.0</v>
      </c>
      <c r="H17" s="149"/>
      <c r="I17" s="65"/>
      <c r="J17" s="130">
        <v>3381.0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19.0</v>
      </c>
      <c r="G18" s="149">
        <v>19.0</v>
      </c>
      <c r="H18" s="149"/>
      <c r="I18" s="65"/>
      <c r="J18" s="130">
        <v>3382.0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629.0</v>
      </c>
      <c r="G19" s="149"/>
      <c r="H19" s="132">
        <v>629.0</v>
      </c>
      <c r="I19" s="65"/>
      <c r="J19" s="130">
        <v>3383.0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67918</v>
      </c>
      <c r="D20" s="24"/>
      <c r="E20" s="43">
        <v>11.0</v>
      </c>
      <c r="F20" s="56">
        <v>1551.0</v>
      </c>
      <c r="G20" s="149">
        <v>1551.0</v>
      </c>
      <c r="H20" s="149"/>
      <c r="I20" s="65"/>
      <c r="J20" s="130">
        <v>3384.0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28969</v>
      </c>
      <c r="D21" s="24"/>
      <c r="E21" s="43">
        <v>12.0</v>
      </c>
      <c r="F21" s="56">
        <v>89.0</v>
      </c>
      <c r="G21" s="151"/>
      <c r="H21" s="132">
        <v>89.0</v>
      </c>
      <c r="I21" s="65"/>
      <c r="J21" s="130">
        <v>3385.0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86491</v>
      </c>
      <c r="D22" s="24"/>
      <c r="E22" s="43">
        <v>13.0</v>
      </c>
      <c r="F22" s="56">
        <v>489.0</v>
      </c>
      <c r="G22" s="149">
        <v>489.0</v>
      </c>
      <c r="H22" s="149"/>
      <c r="I22" s="65"/>
      <c r="J22" s="130">
        <v>3386.0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89566.0</v>
      </c>
      <c r="D23" s="24"/>
      <c r="E23" s="43">
        <v>14.0</v>
      </c>
      <c r="F23" s="56">
        <v>466.0</v>
      </c>
      <c r="G23" s="149"/>
      <c r="H23" s="151"/>
      <c r="I23" s="64">
        <v>466.0</v>
      </c>
      <c r="J23" s="130" t="s">
        <v>88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-3075</v>
      </c>
      <c r="D24" s="24"/>
      <c r="E24" s="43">
        <v>15.0</v>
      </c>
      <c r="F24" s="56">
        <v>4.0</v>
      </c>
      <c r="G24" s="149">
        <v>4.0</v>
      </c>
      <c r="H24" s="151"/>
      <c r="I24" s="65"/>
      <c r="J24" s="130">
        <v>3388.0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105.0</v>
      </c>
      <c r="G25" s="149">
        <v>105.0</v>
      </c>
      <c r="H25" s="151"/>
      <c r="I25" s="65"/>
      <c r="J25" s="130">
        <v>3389.0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80548</v>
      </c>
      <c r="D26" s="24"/>
      <c r="E26" s="43">
        <v>17.0</v>
      </c>
      <c r="F26" s="56">
        <v>493.0</v>
      </c>
      <c r="G26" s="149">
        <v>493.0</v>
      </c>
      <c r="H26" s="151"/>
      <c r="I26" s="65"/>
      <c r="J26" s="130">
        <v>3390.0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139.0</v>
      </c>
      <c r="D27" s="24"/>
      <c r="E27" s="43">
        <v>18.0</v>
      </c>
      <c r="F27" s="56">
        <v>6.0</v>
      </c>
      <c r="G27" s="149"/>
      <c r="H27" s="132">
        <v>6.0</v>
      </c>
      <c r="I27" s="65"/>
      <c r="J27" s="130">
        <v>3391.0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579.4820144</v>
      </c>
      <c r="D28" s="24"/>
      <c r="E28" s="43">
        <v>19.0</v>
      </c>
      <c r="F28" s="56">
        <v>250.0</v>
      </c>
      <c r="G28" s="149">
        <v>250.0</v>
      </c>
      <c r="H28" s="151"/>
      <c r="I28" s="65"/>
      <c r="J28" s="130">
        <v>3392.0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160.0</v>
      </c>
      <c r="G29" s="149">
        <v>160.0</v>
      </c>
      <c r="H29" s="151"/>
      <c r="I29" s="65"/>
      <c r="J29" s="130">
        <v>3393.0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688.0</v>
      </c>
      <c r="G30" s="152">
        <v>688.0</v>
      </c>
      <c r="H30" s="153"/>
      <c r="I30" s="93"/>
      <c r="J30" s="130">
        <v>3394.0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24564</v>
      </c>
      <c r="D31" s="24"/>
      <c r="E31" s="43">
        <v>22.0</v>
      </c>
      <c r="F31" s="56">
        <v>53.0</v>
      </c>
      <c r="G31" s="152">
        <v>53.0</v>
      </c>
      <c r="H31" s="153"/>
      <c r="I31" s="92"/>
      <c r="J31" s="130">
        <v>3395.0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79710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35.0</v>
      </c>
      <c r="G32" s="152">
        <v>35.0</v>
      </c>
      <c r="H32" s="153"/>
      <c r="I32" s="92"/>
      <c r="J32" s="130">
        <v>3396.0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529.0</v>
      </c>
      <c r="G33" s="152"/>
      <c r="H33" s="135">
        <v>529.0</v>
      </c>
      <c r="I33" s="92"/>
      <c r="J33" s="130">
        <v>3397.0</v>
      </c>
      <c r="K33" s="24"/>
      <c r="L33" s="104">
        <f t="shared" ref="L33:M33" si="2">sum(L10:L32)</f>
        <v>0</v>
      </c>
      <c r="M33" s="104">
        <f t="shared" si="2"/>
        <v>733</v>
      </c>
      <c r="N33" s="104"/>
      <c r="O33" s="105"/>
      <c r="P33" s="85" t="s">
        <v>38</v>
      </c>
      <c r="Q33" s="51"/>
      <c r="R33" s="100"/>
      <c r="S33" s="52">
        <v>24564.0</v>
      </c>
      <c r="T33" s="101"/>
      <c r="U33" s="55"/>
      <c r="V33" s="24"/>
      <c r="W33" s="104">
        <f t="shared" ref="W33:X33" si="3">sum(W10:W32)</f>
        <v>307</v>
      </c>
      <c r="X33" s="104">
        <f t="shared" si="3"/>
        <v>0</v>
      </c>
      <c r="Y33" s="104">
        <f>W33+X33</f>
        <v>307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272.0</v>
      </c>
      <c r="G34" s="152"/>
      <c r="H34" s="135">
        <v>272.0</v>
      </c>
      <c r="I34" s="92"/>
      <c r="J34" s="130">
        <v>3398.0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95.0</v>
      </c>
      <c r="G35" s="153"/>
      <c r="H35" s="135">
        <v>95.0</v>
      </c>
      <c r="I35" s="92"/>
      <c r="J35" s="130">
        <v>3399.0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92.0</v>
      </c>
      <c r="G36" s="153"/>
      <c r="H36" s="135">
        <v>92.0</v>
      </c>
      <c r="I36" s="92"/>
      <c r="J36" s="130">
        <v>3400.0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266.0</v>
      </c>
      <c r="G37" s="152">
        <v>219.0</v>
      </c>
      <c r="H37" s="135">
        <v>47.0</v>
      </c>
      <c r="I37" s="92"/>
      <c r="J37" s="130">
        <v>3401.0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1239.0</v>
      </c>
      <c r="G38" s="152"/>
      <c r="H38" s="153"/>
      <c r="I38" s="93">
        <v>1239.0</v>
      </c>
      <c r="J38" s="130" t="s">
        <v>89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63.0</v>
      </c>
      <c r="G39" s="152"/>
      <c r="H39" s="135">
        <v>63.0</v>
      </c>
      <c r="I39" s="92"/>
      <c r="J39" s="130">
        <v>3403.0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1075.0</v>
      </c>
      <c r="G40" s="152">
        <v>1075.0</v>
      </c>
      <c r="H40" s="152"/>
      <c r="I40" s="92"/>
      <c r="J40" s="130">
        <v>3404.0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150.0</v>
      </c>
      <c r="G41" s="152">
        <v>150.0</v>
      </c>
      <c r="H41" s="152"/>
      <c r="I41" s="92"/>
      <c r="J41" s="130">
        <v>3405.0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109.0</v>
      </c>
      <c r="G42" s="152"/>
      <c r="H42" s="135">
        <v>109.0</v>
      </c>
      <c r="I42" s="92"/>
      <c r="J42" s="130">
        <v>3406.0</v>
      </c>
      <c r="K42" s="24"/>
      <c r="L42" s="154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354.0</v>
      </c>
      <c r="G43" s="152"/>
      <c r="H43" s="135">
        <v>354.0</v>
      </c>
      <c r="I43" s="92"/>
      <c r="J43" s="130">
        <v>3407.0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154.0</v>
      </c>
      <c r="G44" s="152">
        <v>154.0</v>
      </c>
      <c r="H44" s="152"/>
      <c r="I44" s="92"/>
      <c r="J44" s="130">
        <v>3408.0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209.0</v>
      </c>
      <c r="G45" s="152">
        <v>209.0</v>
      </c>
      <c r="H45" s="153"/>
      <c r="I45" s="92"/>
      <c r="J45" s="130">
        <v>3409.0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850.0</v>
      </c>
      <c r="G46" s="152"/>
      <c r="H46" s="135">
        <v>850.0</v>
      </c>
      <c r="I46" s="92"/>
      <c r="J46" s="130">
        <v>3410.0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1009.0</v>
      </c>
      <c r="G47" s="153"/>
      <c r="H47" s="136">
        <v>1009.0</v>
      </c>
      <c r="I47" s="92"/>
      <c r="J47" s="155" t="s">
        <v>90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120.0</v>
      </c>
      <c r="G48" s="152">
        <v>120.0</v>
      </c>
      <c r="H48" s="153"/>
      <c r="I48" s="92"/>
      <c r="J48" s="130">
        <v>3412.0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490.0</v>
      </c>
      <c r="G49" s="152">
        <v>490.0</v>
      </c>
      <c r="H49" s="153"/>
      <c r="I49" s="92"/>
      <c r="J49" s="130">
        <v>3413.0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600.0</v>
      </c>
      <c r="G50" s="153"/>
      <c r="H50" s="135">
        <v>600.0</v>
      </c>
      <c r="I50" s="92"/>
      <c r="J50" s="130">
        <v>3414.0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299.0</v>
      </c>
      <c r="G51" s="153"/>
      <c r="H51" s="135">
        <v>299.0</v>
      </c>
      <c r="I51" s="92"/>
      <c r="J51" s="130">
        <v>3415.0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101.0</v>
      </c>
      <c r="G52" s="152">
        <v>101.0</v>
      </c>
      <c r="H52" s="153"/>
      <c r="I52" s="92"/>
      <c r="J52" s="130">
        <v>3416.0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24.0</v>
      </c>
      <c r="G53" s="152">
        <v>24.0</v>
      </c>
      <c r="H53" s="153"/>
      <c r="I53" s="92"/>
      <c r="J53" s="130">
        <v>3417.0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1050.0</v>
      </c>
      <c r="G54" s="152">
        <v>1050.0</v>
      </c>
      <c r="H54" s="153"/>
      <c r="I54" s="92"/>
      <c r="J54" s="130">
        <v>3418.0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115.0</v>
      </c>
      <c r="G55" s="152">
        <v>115.0</v>
      </c>
      <c r="H55" s="153"/>
      <c r="I55" s="92"/>
      <c r="J55" s="130">
        <v>3419.0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39.0</v>
      </c>
      <c r="G56" s="152">
        <v>39.0</v>
      </c>
      <c r="H56" s="153"/>
      <c r="I56" s="92"/>
      <c r="J56" s="130">
        <v>3420.0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415.0</v>
      </c>
      <c r="G57" s="153"/>
      <c r="H57" s="136">
        <v>415.0</v>
      </c>
      <c r="I57" s="92"/>
      <c r="J57" s="155" t="s">
        <v>91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80.0</v>
      </c>
      <c r="G58" s="153"/>
      <c r="H58" s="135">
        <v>80.0</v>
      </c>
      <c r="I58" s="92"/>
      <c r="J58" s="130">
        <v>3422.0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206.0</v>
      </c>
      <c r="G59" s="152">
        <v>206.0</v>
      </c>
      <c r="H59" s="153"/>
      <c r="I59" s="92"/>
      <c r="J59" s="130">
        <v>3423.0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2342.0</v>
      </c>
      <c r="G60" s="153"/>
      <c r="H60" s="135">
        <v>2342.0</v>
      </c>
      <c r="I60" s="92"/>
      <c r="J60" s="130">
        <v>3424.0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788.0</v>
      </c>
      <c r="G61" s="152">
        <v>788.0</v>
      </c>
      <c r="H61" s="153"/>
      <c r="I61" s="92"/>
      <c r="J61" s="130">
        <v>3425.0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400.0</v>
      </c>
      <c r="G62" s="153"/>
      <c r="H62" s="135">
        <v>400.0</v>
      </c>
      <c r="I62" s="92"/>
      <c r="J62" s="130">
        <v>3426.0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647.0</v>
      </c>
      <c r="G63" s="153"/>
      <c r="H63" s="135">
        <v>647.0</v>
      </c>
      <c r="I63" s="92"/>
      <c r="J63" s="130">
        <v>3427.0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495.0</v>
      </c>
      <c r="G64" s="153"/>
      <c r="H64" s="135">
        <v>495.0</v>
      </c>
      <c r="I64" s="92"/>
      <c r="J64" s="130">
        <v>3428.0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299.0</v>
      </c>
      <c r="G65" s="153"/>
      <c r="H65" s="135">
        <v>299.0</v>
      </c>
      <c r="I65" s="92"/>
      <c r="J65" s="130">
        <v>3429.0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50.0</v>
      </c>
      <c r="G66" s="152">
        <v>50.0</v>
      </c>
      <c r="H66" s="153"/>
      <c r="I66" s="92"/>
      <c r="J66" s="130">
        <v>3430.0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437.0</v>
      </c>
      <c r="G67" s="153"/>
      <c r="H67" s="135">
        <v>437.0</v>
      </c>
      <c r="I67" s="92"/>
      <c r="J67" s="130">
        <v>3431.0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818.0</v>
      </c>
      <c r="G68" s="152">
        <v>500.0</v>
      </c>
      <c r="H68" s="135">
        <v>318.0</v>
      </c>
      <c r="I68" s="92"/>
      <c r="J68" s="130">
        <v>3432.0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420.0</v>
      </c>
      <c r="G69" s="152">
        <v>420.0</v>
      </c>
      <c r="H69" s="156"/>
      <c r="I69" s="92"/>
      <c r="J69" s="130">
        <v>3433.0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474.0</v>
      </c>
      <c r="G70" s="153"/>
      <c r="H70" s="135">
        <v>474.0</v>
      </c>
      <c r="I70" s="92"/>
      <c r="J70" s="130">
        <v>3434.0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1171.0</v>
      </c>
      <c r="G71" s="152"/>
      <c r="H71" s="153"/>
      <c r="I71" s="93">
        <v>1171.0</v>
      </c>
      <c r="J71" s="130" t="s">
        <v>92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765.0</v>
      </c>
      <c r="G72" s="153"/>
      <c r="H72" s="135">
        <v>765.0</v>
      </c>
      <c r="I72" s="92"/>
      <c r="J72" s="130">
        <v>3436.0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115.0</v>
      </c>
      <c r="G73" s="152">
        <v>115.0</v>
      </c>
      <c r="H73" s="153"/>
      <c r="I73" s="92"/>
      <c r="J73" s="130">
        <v>3437.0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62.0</v>
      </c>
      <c r="G74" s="153"/>
      <c r="H74" s="135">
        <v>62.0</v>
      </c>
      <c r="I74" s="92"/>
      <c r="J74" s="130">
        <v>3438.0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544.0</v>
      </c>
      <c r="G75" s="152">
        <v>544.0</v>
      </c>
      <c r="H75" s="153"/>
      <c r="I75" s="92"/>
      <c r="J75" s="130">
        <v>3439.0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271.0</v>
      </c>
      <c r="G76" s="153"/>
      <c r="H76" s="135">
        <v>271.0</v>
      </c>
      <c r="I76" s="92"/>
      <c r="J76" s="130">
        <v>3440.0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309.0</v>
      </c>
      <c r="G77" s="153"/>
      <c r="H77" s="135">
        <v>309.0</v>
      </c>
      <c r="I77" s="92"/>
      <c r="J77" s="130">
        <v>3441.0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68.0</v>
      </c>
      <c r="G78" s="152">
        <v>60.0</v>
      </c>
      <c r="H78" s="135">
        <v>8.0</v>
      </c>
      <c r="I78" s="92"/>
      <c r="J78" s="130">
        <v>3442.0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511.0</v>
      </c>
      <c r="G79" s="152">
        <v>500.0</v>
      </c>
      <c r="H79" s="135">
        <v>11.0</v>
      </c>
      <c r="I79" s="92"/>
      <c r="J79" s="130">
        <v>3443.0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270.0</v>
      </c>
      <c r="G80" s="152">
        <v>270.0</v>
      </c>
      <c r="H80" s="153"/>
      <c r="I80" s="92"/>
      <c r="J80" s="130">
        <v>3444.0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283.0</v>
      </c>
      <c r="G81" s="153"/>
      <c r="H81" s="135">
        <v>283.0</v>
      </c>
      <c r="I81" s="92"/>
      <c r="J81" s="130">
        <v>3445.0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170.0</v>
      </c>
      <c r="G82" s="152">
        <v>170.0</v>
      </c>
      <c r="H82" s="153"/>
      <c r="I82" s="61"/>
      <c r="J82" s="130">
        <v>3446.0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55.0</v>
      </c>
      <c r="G83" s="152">
        <v>55.0</v>
      </c>
      <c r="H83" s="153"/>
      <c r="I83" s="61"/>
      <c r="J83" s="130">
        <v>3447.0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215.0</v>
      </c>
      <c r="G84" s="153"/>
      <c r="H84" s="135">
        <v>215.0</v>
      </c>
      <c r="I84" s="61"/>
      <c r="J84" s="130">
        <v>3448.0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1585.0</v>
      </c>
      <c r="G85" s="152">
        <v>1585.0</v>
      </c>
      <c r="H85" s="153"/>
      <c r="I85" s="61"/>
      <c r="J85" s="130">
        <v>3449.0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225.0</v>
      </c>
      <c r="G86" s="153"/>
      <c r="H86" s="135">
        <v>225.0</v>
      </c>
      <c r="I86" s="61"/>
      <c r="J86" s="130">
        <v>3450.0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379.0</v>
      </c>
      <c r="G87" s="153"/>
      <c r="H87" s="135">
        <v>379.0</v>
      </c>
      <c r="I87" s="61"/>
      <c r="J87" s="130">
        <v>3451.0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190.0</v>
      </c>
      <c r="G88" s="152">
        <v>190.0</v>
      </c>
      <c r="H88" s="153"/>
      <c r="I88" s="61"/>
      <c r="J88" s="130">
        <v>3452.0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460.0</v>
      </c>
      <c r="G89" s="152">
        <v>460.0</v>
      </c>
      <c r="H89" s="153"/>
      <c r="I89" s="61"/>
      <c r="J89" s="130">
        <v>3453.0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330.0</v>
      </c>
      <c r="G90" s="153"/>
      <c r="H90" s="135">
        <v>330.0</v>
      </c>
      <c r="I90" s="61"/>
      <c r="J90" s="130">
        <v>3454.0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96.0</v>
      </c>
      <c r="G91" s="153"/>
      <c r="H91" s="135">
        <v>96.0</v>
      </c>
      <c r="I91" s="61"/>
      <c r="J91" s="130">
        <v>3455.0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1190.0</v>
      </c>
      <c r="G92" s="153"/>
      <c r="H92" s="135">
        <v>1190.0</v>
      </c>
      <c r="I92" s="61"/>
      <c r="J92" s="130">
        <v>3456.0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379.0</v>
      </c>
      <c r="G93" s="152">
        <v>379.0</v>
      </c>
      <c r="H93" s="153"/>
      <c r="I93" s="61"/>
      <c r="J93" s="130">
        <v>3457.0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40.0</v>
      </c>
      <c r="G94" s="153"/>
      <c r="H94" s="135">
        <v>40.0</v>
      </c>
      <c r="I94" s="61"/>
      <c r="J94" s="130">
        <v>3458.0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131.0</v>
      </c>
      <c r="G95" s="153"/>
      <c r="H95" s="135">
        <v>131.0</v>
      </c>
      <c r="I95" s="61"/>
      <c r="J95" s="130">
        <v>3459.0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206.0</v>
      </c>
      <c r="G96" s="153"/>
      <c r="H96" s="135">
        <v>206.0</v>
      </c>
      <c r="I96" s="61"/>
      <c r="J96" s="130">
        <v>3460.0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4267.0</v>
      </c>
      <c r="G97" s="153"/>
      <c r="H97" s="153"/>
      <c r="I97" s="157">
        <v>4267.0</v>
      </c>
      <c r="J97" s="145">
        <v>3461.0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12922.0</v>
      </c>
      <c r="G98" s="153"/>
      <c r="H98" s="153"/>
      <c r="I98" s="157">
        <v>12922.0</v>
      </c>
      <c r="J98" s="145" t="s">
        <v>93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5782.0</v>
      </c>
      <c r="G99" s="153"/>
      <c r="H99" s="153"/>
      <c r="I99" s="157">
        <v>3855.0</v>
      </c>
      <c r="J99" s="145">
        <v>3463.0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727.0</v>
      </c>
      <c r="G100" s="153"/>
      <c r="H100" s="135">
        <v>727.0</v>
      </c>
      <c r="I100" s="61"/>
      <c r="J100" s="130">
        <v>3464.0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75.0</v>
      </c>
      <c r="G101" s="153"/>
      <c r="H101" s="135">
        <v>75.0</v>
      </c>
      <c r="I101" s="61"/>
      <c r="J101" s="130">
        <v>3465.0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207.0</v>
      </c>
      <c r="G102" s="152">
        <v>200.0</v>
      </c>
      <c r="H102" s="135">
        <v>7.0</v>
      </c>
      <c r="I102" s="61"/>
      <c r="J102" s="130">
        <v>3466.0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50.0</v>
      </c>
      <c r="G103" s="153"/>
      <c r="H103" s="135">
        <v>50.0</v>
      </c>
      <c r="I103" s="61"/>
      <c r="J103" s="130">
        <v>3467.0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109.0</v>
      </c>
      <c r="G104" s="152">
        <v>109.0</v>
      </c>
      <c r="H104" s="153"/>
      <c r="I104" s="61"/>
      <c r="J104" s="130">
        <v>3468.0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956.0</v>
      </c>
      <c r="G105" s="152">
        <v>950.0</v>
      </c>
      <c r="H105" s="135">
        <v>6.0</v>
      </c>
      <c r="I105" s="61"/>
      <c r="J105" s="130">
        <v>3469.0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175.0</v>
      </c>
      <c r="G106" s="153"/>
      <c r="H106" s="135">
        <v>175.0</v>
      </c>
      <c r="I106" s="61"/>
      <c r="J106" s="130">
        <v>3470.0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60.0</v>
      </c>
      <c r="G107" s="153"/>
      <c r="H107" s="135">
        <v>60.0</v>
      </c>
      <c r="I107" s="61"/>
      <c r="J107" s="130">
        <v>3471.0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922.0</v>
      </c>
      <c r="G108" s="153"/>
      <c r="H108" s="136">
        <v>922.0</v>
      </c>
      <c r="I108" s="61"/>
      <c r="J108" s="155" t="s">
        <v>94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66.0</v>
      </c>
      <c r="G109" s="152">
        <v>66.0</v>
      </c>
      <c r="H109" s="153"/>
      <c r="I109" s="61"/>
      <c r="J109" s="130">
        <v>3473.0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1984.0</v>
      </c>
      <c r="G110" s="152">
        <v>1984.0</v>
      </c>
      <c r="H110" s="153"/>
      <c r="I110" s="61"/>
      <c r="J110" s="130">
        <v>3474.0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253.0</v>
      </c>
      <c r="G111" s="152">
        <v>250.0</v>
      </c>
      <c r="H111" s="135">
        <v>3.0</v>
      </c>
      <c r="I111" s="61"/>
      <c r="J111" s="130">
        <v>3475.0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112.0</v>
      </c>
      <c r="G112" s="153"/>
      <c r="H112" s="135">
        <v>112.0</v>
      </c>
      <c r="I112" s="61"/>
      <c r="J112" s="130">
        <v>3476.0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1084.0</v>
      </c>
      <c r="G113" s="152"/>
      <c r="H113" s="153"/>
      <c r="I113" s="54">
        <v>1084.0</v>
      </c>
      <c r="J113" s="130" t="s">
        <v>95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91.0</v>
      </c>
      <c r="G114" s="153"/>
      <c r="H114" s="135">
        <v>91.0</v>
      </c>
      <c r="I114" s="61"/>
      <c r="J114" s="130">
        <v>3478.0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189.0</v>
      </c>
      <c r="G115" s="153"/>
      <c r="H115" s="157">
        <v>189.0</v>
      </c>
      <c r="I115" s="61"/>
      <c r="J115" s="145">
        <v>3479.0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400.0</v>
      </c>
      <c r="G116" s="153"/>
      <c r="H116" s="157">
        <v>400.0</v>
      </c>
      <c r="I116" s="61"/>
      <c r="J116" s="145">
        <v>3480.0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189.0</v>
      </c>
      <c r="G117" s="152">
        <v>100.0</v>
      </c>
      <c r="H117" s="135">
        <v>89.0</v>
      </c>
      <c r="I117" s="61"/>
      <c r="J117" s="130">
        <v>3481.0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4.0</v>
      </c>
      <c r="G118" s="153"/>
      <c r="H118" s="135">
        <v>4.0</v>
      </c>
      <c r="I118" s="61"/>
      <c r="J118" s="130">
        <v>3482.0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109.0</v>
      </c>
      <c r="G119" s="152">
        <v>109.0</v>
      </c>
      <c r="H119" s="153"/>
      <c r="I119" s="61"/>
      <c r="J119" s="130">
        <v>3483.0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1349.0</v>
      </c>
      <c r="G120" s="152">
        <v>1349.0</v>
      </c>
      <c r="H120" s="153"/>
      <c r="I120" s="61"/>
      <c r="J120" s="130">
        <v>3484.0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280.0</v>
      </c>
      <c r="G121" s="152">
        <v>280.0</v>
      </c>
      <c r="H121" s="153"/>
      <c r="I121" s="61"/>
      <c r="J121" s="130">
        <v>3485.0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171.0</v>
      </c>
      <c r="G122" s="152">
        <v>1.0</v>
      </c>
      <c r="H122" s="135">
        <v>170.0</v>
      </c>
      <c r="I122" s="61"/>
      <c r="J122" s="130">
        <v>3486.0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30.0</v>
      </c>
      <c r="G123" s="153"/>
      <c r="H123" s="135">
        <v>30.0</v>
      </c>
      <c r="I123" s="61"/>
      <c r="J123" s="130">
        <v>3487.0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160.0</v>
      </c>
      <c r="G124" s="152">
        <v>160.0</v>
      </c>
      <c r="H124" s="153"/>
      <c r="I124" s="61"/>
      <c r="J124" s="130">
        <v>3488.0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80.0</v>
      </c>
      <c r="G125" s="153"/>
      <c r="H125" s="135">
        <v>80.0</v>
      </c>
      <c r="I125" s="61"/>
      <c r="J125" s="130">
        <v>3489.0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335.0</v>
      </c>
      <c r="G126" s="152">
        <v>335.0</v>
      </c>
      <c r="H126" s="153"/>
      <c r="I126" s="61"/>
      <c r="J126" s="130">
        <v>3490.0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4860.0</v>
      </c>
      <c r="G127" s="153"/>
      <c r="H127" s="135">
        <v>4860.0</v>
      </c>
      <c r="I127" s="61"/>
      <c r="J127" s="130">
        <v>3491.0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125.0</v>
      </c>
      <c r="G128" s="153"/>
      <c r="H128" s="135">
        <v>125.0</v>
      </c>
      <c r="I128" s="61"/>
      <c r="J128" s="130">
        <v>3492.0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183.0</v>
      </c>
      <c r="G129" s="153"/>
      <c r="H129" s="135">
        <v>183.0</v>
      </c>
      <c r="I129" s="61"/>
      <c r="J129" s="130">
        <v>3493.0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32.0</v>
      </c>
      <c r="G130" s="152">
        <v>32.0</v>
      </c>
      <c r="H130" s="153"/>
      <c r="I130" s="61"/>
      <c r="J130" s="130">
        <v>3494.0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5.0</v>
      </c>
      <c r="G131" s="152">
        <v>5.0</v>
      </c>
      <c r="H131" s="153"/>
      <c r="I131" s="61"/>
      <c r="J131" s="130">
        <v>3495.0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333.0</v>
      </c>
      <c r="G132" s="153"/>
      <c r="H132" s="135">
        <v>333.0</v>
      </c>
      <c r="I132" s="61"/>
      <c r="J132" s="130">
        <v>3496.0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150.0</v>
      </c>
      <c r="G133" s="153"/>
      <c r="H133" s="135">
        <v>150.0</v>
      </c>
      <c r="I133" s="61"/>
      <c r="J133" s="130">
        <v>3497.0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2678.0</v>
      </c>
      <c r="G134" s="152">
        <v>2678.0</v>
      </c>
      <c r="H134" s="153"/>
      <c r="I134" s="61"/>
      <c r="J134" s="130">
        <v>3498.0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35.0</v>
      </c>
      <c r="G135" s="152">
        <v>35.0</v>
      </c>
      <c r="H135" s="153"/>
      <c r="I135" s="61"/>
      <c r="J135" s="130">
        <v>3499.0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461.0</v>
      </c>
      <c r="G136" s="152">
        <v>461.0</v>
      </c>
      <c r="H136" s="153"/>
      <c r="I136" s="61"/>
      <c r="J136" s="130">
        <v>3500.0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149.0</v>
      </c>
      <c r="G137" s="153"/>
      <c r="H137" s="135">
        <v>149.0</v>
      </c>
      <c r="I137" s="61"/>
      <c r="J137" s="130">
        <v>3501.0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105.0</v>
      </c>
      <c r="G138" s="153"/>
      <c r="H138" s="135">
        <v>105.0</v>
      </c>
      <c r="I138" s="61"/>
      <c r="J138" s="130">
        <v>3502.0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16.0</v>
      </c>
      <c r="G139" s="152">
        <v>16.0</v>
      </c>
      <c r="H139" s="153"/>
      <c r="I139" s="61"/>
      <c r="J139" s="130">
        <v>3503.0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29.0</v>
      </c>
      <c r="G140" s="153"/>
      <c r="H140" s="135">
        <v>29.0</v>
      </c>
      <c r="I140" s="61"/>
      <c r="J140" s="130">
        <v>3504.0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93.0</v>
      </c>
      <c r="G141" s="152">
        <v>93.0</v>
      </c>
      <c r="H141" s="153"/>
      <c r="I141" s="61"/>
      <c r="J141" s="130">
        <v>3505.0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82.0</v>
      </c>
      <c r="G142" s="152">
        <v>82.0</v>
      </c>
      <c r="H142" s="153"/>
      <c r="I142" s="61"/>
      <c r="J142" s="130">
        <v>3506.0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3630.0</v>
      </c>
      <c r="G143" s="152"/>
      <c r="H143" s="153"/>
      <c r="I143" s="54">
        <v>3630.0</v>
      </c>
      <c r="J143" s="130" t="s">
        <v>96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272.0</v>
      </c>
      <c r="G144" s="153"/>
      <c r="H144" s="135">
        <v>272.0</v>
      </c>
      <c r="I144" s="61"/>
      <c r="J144" s="130">
        <v>3508.0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110.0</v>
      </c>
      <c r="G145" s="54">
        <v>110.0</v>
      </c>
      <c r="H145" s="61"/>
      <c r="I145" s="61"/>
      <c r="J145" s="130">
        <v>3509.0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158">
        <v>137.0</v>
      </c>
      <c r="F146" s="138">
        <v>24.0</v>
      </c>
      <c r="G146" s="54">
        <v>24.0</v>
      </c>
      <c r="H146" s="61"/>
      <c r="I146" s="61"/>
      <c r="J146" s="130">
        <v>3510.0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158">
        <v>138.0</v>
      </c>
      <c r="F147" s="138">
        <v>243.0</v>
      </c>
      <c r="G147" s="54"/>
      <c r="H147" s="61"/>
      <c r="I147" s="54">
        <v>243.0</v>
      </c>
      <c r="J147" s="130" t="s">
        <v>97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158">
        <v>139.0</v>
      </c>
      <c r="F148" s="138">
        <v>470.0</v>
      </c>
      <c r="G148" s="61"/>
      <c r="H148" s="135">
        <v>470.0</v>
      </c>
      <c r="I148" s="61"/>
      <c r="J148" s="130">
        <v>3512.0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130">
        <v>3513.0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130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hidden="1" customHeight="1">
      <c r="A151" s="1"/>
      <c r="B151" s="1"/>
      <c r="C151" s="1"/>
      <c r="D151" s="24"/>
      <c r="E151" s="43"/>
      <c r="F151" s="121"/>
      <c r="G151" s="61"/>
      <c r="H151" s="54">
        <v>-718.0</v>
      </c>
      <c r="I151" s="61"/>
      <c r="J151" s="130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130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54"/>
      <c r="I153" s="61"/>
      <c r="J153" s="130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54"/>
      <c r="I154" s="61"/>
      <c r="J154" s="130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61"/>
      <c r="I155" s="61"/>
      <c r="J155" s="130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54">
        <v>430.0</v>
      </c>
      <c r="H156" s="61"/>
      <c r="I156" s="61"/>
      <c r="J156" s="130" t="s">
        <v>98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135">
        <v>1900.0</v>
      </c>
      <c r="I157" s="61"/>
      <c r="J157" s="130" t="s">
        <v>99</v>
      </c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61"/>
      <c r="H158" s="61"/>
      <c r="I158" s="61"/>
      <c r="J158" s="46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1"/>
      <c r="E159" s="122"/>
      <c r="F159" s="123">
        <f t="shared" ref="F159:I159" si="4">SUM(F10:F158)</f>
        <v>80548</v>
      </c>
      <c r="G159" s="123">
        <f t="shared" si="4"/>
        <v>23838</v>
      </c>
      <c r="H159" s="123">
        <f t="shared" si="4"/>
        <v>27518</v>
      </c>
      <c r="I159" s="123">
        <f t="shared" si="4"/>
        <v>28877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18"/>
      <c r="C160" s="118"/>
      <c r="D160" s="1"/>
      <c r="E160" s="124"/>
      <c r="F160" s="124"/>
      <c r="G160" s="124"/>
      <c r="H160" s="124"/>
      <c r="I160" s="12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26"/>
      <c r="H172" s="12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148901.0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629982.0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38171.0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80241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23531</v>
      </c>
      <c r="D10" s="24"/>
      <c r="E10" s="43">
        <v>1.0</v>
      </c>
      <c r="F10" s="44">
        <v>387.0</v>
      </c>
      <c r="G10" s="143"/>
      <c r="H10" s="144">
        <v>387.0</v>
      </c>
      <c r="I10" s="45"/>
      <c r="J10" s="145" t="s">
        <v>79</v>
      </c>
      <c r="K10" s="24"/>
      <c r="L10" s="47"/>
      <c r="M10" s="146">
        <v>733.0</v>
      </c>
      <c r="N10" s="146">
        <v>3373.0</v>
      </c>
      <c r="O10" s="49"/>
      <c r="P10" s="85" t="s">
        <v>80</v>
      </c>
      <c r="Q10" s="51"/>
      <c r="R10" s="52">
        <v>79000.0</v>
      </c>
      <c r="S10" s="53"/>
      <c r="T10" s="54"/>
      <c r="U10" s="55"/>
      <c r="V10" s="24"/>
      <c r="W10" s="47">
        <v>219.0</v>
      </c>
      <c r="X10" s="47"/>
      <c r="Y10" s="47">
        <v>28.0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28236</v>
      </c>
      <c r="D11" s="24"/>
      <c r="E11" s="43">
        <v>2.0</v>
      </c>
      <c r="F11" s="56">
        <v>152.0</v>
      </c>
      <c r="G11" s="147"/>
      <c r="H11" s="148">
        <v>152.0</v>
      </c>
      <c r="I11" s="59"/>
      <c r="J11" s="130">
        <v>3375.0</v>
      </c>
      <c r="K11" s="24"/>
      <c r="L11" s="48"/>
      <c r="M11" s="48"/>
      <c r="N11" s="48"/>
      <c r="O11" s="49"/>
      <c r="P11" s="72" t="s">
        <v>81</v>
      </c>
      <c r="Q11" s="51"/>
      <c r="R11" s="52">
        <v>310.0</v>
      </c>
      <c r="S11" s="53"/>
      <c r="T11" s="61"/>
      <c r="U11" s="62"/>
      <c r="V11" s="24"/>
      <c r="W11" s="47">
        <v>88.0</v>
      </c>
      <c r="X11" s="47"/>
      <c r="Y11" s="47">
        <v>29.0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28877</v>
      </c>
      <c r="D12" s="24"/>
      <c r="E12" s="43">
        <v>3.0</v>
      </c>
      <c r="F12" s="63">
        <v>40.0</v>
      </c>
      <c r="G12" s="149"/>
      <c r="H12" s="150">
        <v>40.0</v>
      </c>
      <c r="I12" s="64"/>
      <c r="J12" s="145" t="s">
        <v>82</v>
      </c>
      <c r="K12" s="24"/>
      <c r="L12" s="48"/>
      <c r="M12" s="48"/>
      <c r="N12" s="48"/>
      <c r="O12" s="49"/>
      <c r="P12" s="72" t="s">
        <v>83</v>
      </c>
      <c r="Q12" s="51"/>
      <c r="R12" s="52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140.0</v>
      </c>
      <c r="G13" s="149"/>
      <c r="H13" s="150">
        <v>140.0</v>
      </c>
      <c r="I13" s="64"/>
      <c r="J13" s="145">
        <v>3377.0</v>
      </c>
      <c r="K13" s="24"/>
      <c r="L13" s="48"/>
      <c r="M13" s="48"/>
      <c r="N13" s="48"/>
      <c r="O13" s="49"/>
      <c r="P13" s="72" t="s">
        <v>84</v>
      </c>
      <c r="Q13" s="51"/>
      <c r="R13" s="52">
        <v>40.0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733</v>
      </c>
      <c r="D14" s="24"/>
      <c r="E14" s="43">
        <v>5.0</v>
      </c>
      <c r="F14" s="56">
        <v>3.0</v>
      </c>
      <c r="G14" s="149">
        <v>3.0</v>
      </c>
      <c r="H14" s="151"/>
      <c r="I14" s="65"/>
      <c r="J14" s="130">
        <v>3378.0</v>
      </c>
      <c r="K14" s="24"/>
      <c r="L14" s="48"/>
      <c r="M14" s="48"/>
      <c r="N14" s="48"/>
      <c r="O14" s="49"/>
      <c r="P14" s="72" t="s">
        <v>85</v>
      </c>
      <c r="Q14" s="51"/>
      <c r="R14" s="52">
        <v>40.0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307</v>
      </c>
      <c r="D15" s="24"/>
      <c r="E15" s="43">
        <v>6.0</v>
      </c>
      <c r="F15" s="56">
        <v>280.0</v>
      </c>
      <c r="G15" s="149"/>
      <c r="H15" s="132">
        <v>280.0</v>
      </c>
      <c r="I15" s="65"/>
      <c r="J15" s="130">
        <v>3379.0</v>
      </c>
      <c r="K15" s="24"/>
      <c r="L15" s="48"/>
      <c r="M15" s="48"/>
      <c r="N15" s="48"/>
      <c r="O15" s="49"/>
      <c r="P15" s="72" t="s">
        <v>86</v>
      </c>
      <c r="Q15" s="51"/>
      <c r="R15" s="52">
        <v>50.0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79710</v>
      </c>
      <c r="D16" s="24"/>
      <c r="E16" s="43">
        <v>7.0</v>
      </c>
      <c r="F16" s="56">
        <v>71.0</v>
      </c>
      <c r="G16" s="149">
        <v>71.0</v>
      </c>
      <c r="H16" s="149"/>
      <c r="I16" s="65"/>
      <c r="J16" s="130">
        <v>3380.0</v>
      </c>
      <c r="K16" s="24"/>
      <c r="L16" s="48"/>
      <c r="M16" s="48"/>
      <c r="N16" s="48"/>
      <c r="O16" s="49"/>
      <c r="P16" s="72" t="s">
        <v>87</v>
      </c>
      <c r="Q16" s="51"/>
      <c r="R16" s="52">
        <v>120.0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79710</v>
      </c>
      <c r="D17" s="24"/>
      <c r="E17" s="43">
        <v>8.0</v>
      </c>
      <c r="F17" s="56">
        <v>20.0</v>
      </c>
      <c r="G17" s="149">
        <v>20.0</v>
      </c>
      <c r="H17" s="149"/>
      <c r="I17" s="65"/>
      <c r="J17" s="130">
        <v>3381.0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19.0</v>
      </c>
      <c r="G18" s="149">
        <v>19.0</v>
      </c>
      <c r="H18" s="149"/>
      <c r="I18" s="65"/>
      <c r="J18" s="130">
        <v>3382.0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629.0</v>
      </c>
      <c r="G19" s="149"/>
      <c r="H19" s="132">
        <v>629.0</v>
      </c>
      <c r="I19" s="65"/>
      <c r="J19" s="130">
        <v>3383.0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66315</v>
      </c>
      <c r="D20" s="24"/>
      <c r="E20" s="43">
        <v>11.0</v>
      </c>
      <c r="F20" s="56">
        <v>1551.0</v>
      </c>
      <c r="G20" s="149">
        <v>1551.0</v>
      </c>
      <c r="H20" s="149"/>
      <c r="I20" s="65"/>
      <c r="J20" s="130">
        <v>3384.0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658951</v>
      </c>
      <c r="D21" s="24"/>
      <c r="E21" s="43">
        <v>12.0</v>
      </c>
      <c r="F21" s="56">
        <v>89.0</v>
      </c>
      <c r="G21" s="151"/>
      <c r="H21" s="132">
        <v>89.0</v>
      </c>
      <c r="I21" s="65"/>
      <c r="J21" s="130">
        <v>3385.0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92722</v>
      </c>
      <c r="D22" s="24"/>
      <c r="E22" s="43">
        <v>13.0</v>
      </c>
      <c r="F22" s="56">
        <v>489.0</v>
      </c>
      <c r="G22" s="149">
        <v>489.0</v>
      </c>
      <c r="H22" s="149"/>
      <c r="I22" s="65"/>
      <c r="J22" s="130">
        <v>3386.0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89566.0</v>
      </c>
      <c r="D23" s="24"/>
      <c r="E23" s="43">
        <v>14.0</v>
      </c>
      <c r="F23" s="56">
        <v>466.0</v>
      </c>
      <c r="G23" s="149"/>
      <c r="H23" s="151"/>
      <c r="I23" s="64">
        <v>466.0</v>
      </c>
      <c r="J23" s="130" t="s">
        <v>88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3156</v>
      </c>
      <c r="D24" s="24"/>
      <c r="E24" s="43">
        <v>15.0</v>
      </c>
      <c r="F24" s="56">
        <v>4.0</v>
      </c>
      <c r="G24" s="149">
        <v>4.0</v>
      </c>
      <c r="H24" s="151"/>
      <c r="I24" s="65"/>
      <c r="J24" s="130">
        <v>3388.0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105.0</v>
      </c>
      <c r="G25" s="149">
        <v>105.0</v>
      </c>
      <c r="H25" s="151"/>
      <c r="I25" s="65"/>
      <c r="J25" s="130">
        <v>3389.0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80548</v>
      </c>
      <c r="D26" s="24"/>
      <c r="E26" s="43">
        <v>17.0</v>
      </c>
      <c r="F26" s="56">
        <v>493.0</v>
      </c>
      <c r="G26" s="149">
        <v>493.0</v>
      </c>
      <c r="H26" s="151"/>
      <c r="I26" s="65"/>
      <c r="J26" s="130">
        <v>3390.0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139.0</v>
      </c>
      <c r="D27" s="24"/>
      <c r="E27" s="43">
        <v>18.0</v>
      </c>
      <c r="F27" s="56">
        <v>6.0</v>
      </c>
      <c r="G27" s="149"/>
      <c r="H27" s="132">
        <v>6.0</v>
      </c>
      <c r="I27" s="65"/>
      <c r="J27" s="130">
        <v>3391.0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579.4820144</v>
      </c>
      <c r="D28" s="24"/>
      <c r="E28" s="43">
        <v>19.0</v>
      </c>
      <c r="F28" s="56">
        <v>250.0</v>
      </c>
      <c r="G28" s="149">
        <v>250.0</v>
      </c>
      <c r="H28" s="151"/>
      <c r="I28" s="65"/>
      <c r="J28" s="130">
        <v>3392.0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160.0</v>
      </c>
      <c r="G29" s="149">
        <v>160.0</v>
      </c>
      <c r="H29" s="151"/>
      <c r="I29" s="65"/>
      <c r="J29" s="130">
        <v>3393.0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688.0</v>
      </c>
      <c r="G30" s="152">
        <v>688.0</v>
      </c>
      <c r="H30" s="153"/>
      <c r="I30" s="93"/>
      <c r="J30" s="130">
        <v>3394.0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53.0</v>
      </c>
      <c r="G31" s="152">
        <v>53.0</v>
      </c>
      <c r="H31" s="153"/>
      <c r="I31" s="92"/>
      <c r="J31" s="130">
        <v>3395.0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79710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35.0</v>
      </c>
      <c r="G32" s="152">
        <v>35.0</v>
      </c>
      <c r="H32" s="153"/>
      <c r="I32" s="92"/>
      <c r="J32" s="130">
        <v>3396.0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529.0</v>
      </c>
      <c r="G33" s="152"/>
      <c r="H33" s="135">
        <v>529.0</v>
      </c>
      <c r="I33" s="92"/>
      <c r="J33" s="130">
        <v>3397.0</v>
      </c>
      <c r="K33" s="24"/>
      <c r="L33" s="104">
        <f t="shared" ref="L33:M33" si="2">sum(L10:L32)</f>
        <v>0</v>
      </c>
      <c r="M33" s="104">
        <f t="shared" si="2"/>
        <v>733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307</v>
      </c>
      <c r="X33" s="104">
        <f t="shared" si="3"/>
        <v>0</v>
      </c>
      <c r="Y33" s="104">
        <f>W33+X33</f>
        <v>307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272.0</v>
      </c>
      <c r="G34" s="152"/>
      <c r="H34" s="135">
        <v>272.0</v>
      </c>
      <c r="I34" s="92"/>
      <c r="J34" s="130">
        <v>3398.0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95.0</v>
      </c>
      <c r="G35" s="153"/>
      <c r="H35" s="135">
        <v>95.0</v>
      </c>
      <c r="I35" s="92"/>
      <c r="J35" s="130">
        <v>3399.0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92.0</v>
      </c>
      <c r="G36" s="153"/>
      <c r="H36" s="135">
        <v>92.0</v>
      </c>
      <c r="I36" s="92"/>
      <c r="J36" s="130">
        <v>3400.0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266.0</v>
      </c>
      <c r="G37" s="152">
        <v>219.0</v>
      </c>
      <c r="H37" s="135">
        <v>47.0</v>
      </c>
      <c r="I37" s="92"/>
      <c r="J37" s="130">
        <v>3401.0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1239.0</v>
      </c>
      <c r="G38" s="152"/>
      <c r="H38" s="153"/>
      <c r="I38" s="93">
        <v>1239.0</v>
      </c>
      <c r="J38" s="130" t="s">
        <v>89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63.0</v>
      </c>
      <c r="G39" s="152"/>
      <c r="H39" s="135">
        <v>63.0</v>
      </c>
      <c r="I39" s="92"/>
      <c r="J39" s="130">
        <v>3403.0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1075.0</v>
      </c>
      <c r="G40" s="152">
        <v>1075.0</v>
      </c>
      <c r="H40" s="152"/>
      <c r="I40" s="92"/>
      <c r="J40" s="130">
        <v>3404.0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150.0</v>
      </c>
      <c r="G41" s="152">
        <v>150.0</v>
      </c>
      <c r="H41" s="152"/>
      <c r="I41" s="92"/>
      <c r="J41" s="130">
        <v>3405.0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109.0</v>
      </c>
      <c r="G42" s="152"/>
      <c r="H42" s="135">
        <v>109.0</v>
      </c>
      <c r="I42" s="92"/>
      <c r="J42" s="130">
        <v>3406.0</v>
      </c>
      <c r="K42" s="24"/>
      <c r="L42" s="154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354.0</v>
      </c>
      <c r="G43" s="152"/>
      <c r="H43" s="135">
        <v>354.0</v>
      </c>
      <c r="I43" s="92"/>
      <c r="J43" s="130">
        <v>3407.0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154.0</v>
      </c>
      <c r="G44" s="152">
        <v>154.0</v>
      </c>
      <c r="H44" s="152"/>
      <c r="I44" s="92"/>
      <c r="J44" s="130">
        <v>3408.0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209.0</v>
      </c>
      <c r="G45" s="152">
        <v>209.0</v>
      </c>
      <c r="H45" s="153"/>
      <c r="I45" s="92"/>
      <c r="J45" s="130">
        <v>3409.0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850.0</v>
      </c>
      <c r="G46" s="152"/>
      <c r="H46" s="135">
        <v>850.0</v>
      </c>
      <c r="I46" s="92"/>
      <c r="J46" s="130">
        <v>3410.0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1009.0</v>
      </c>
      <c r="G47" s="153"/>
      <c r="H47" s="136">
        <v>1009.0</v>
      </c>
      <c r="I47" s="92"/>
      <c r="J47" s="155" t="s">
        <v>90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120.0</v>
      </c>
      <c r="G48" s="152">
        <v>120.0</v>
      </c>
      <c r="H48" s="153"/>
      <c r="I48" s="92"/>
      <c r="J48" s="130">
        <v>3412.0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490.0</v>
      </c>
      <c r="G49" s="152">
        <v>490.0</v>
      </c>
      <c r="H49" s="153"/>
      <c r="I49" s="92"/>
      <c r="J49" s="130">
        <v>3413.0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600.0</v>
      </c>
      <c r="G50" s="153"/>
      <c r="H50" s="135">
        <v>600.0</v>
      </c>
      <c r="I50" s="92"/>
      <c r="J50" s="130">
        <v>3414.0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299.0</v>
      </c>
      <c r="G51" s="153"/>
      <c r="H51" s="135">
        <v>299.0</v>
      </c>
      <c r="I51" s="92"/>
      <c r="J51" s="130">
        <v>3415.0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101.0</v>
      </c>
      <c r="G52" s="152">
        <v>101.0</v>
      </c>
      <c r="H52" s="153"/>
      <c r="I52" s="92"/>
      <c r="J52" s="130">
        <v>3416.0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24.0</v>
      </c>
      <c r="G53" s="152">
        <v>24.0</v>
      </c>
      <c r="H53" s="153"/>
      <c r="I53" s="92"/>
      <c r="J53" s="130">
        <v>3417.0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1050.0</v>
      </c>
      <c r="G54" s="152">
        <v>1050.0</v>
      </c>
      <c r="H54" s="153"/>
      <c r="I54" s="92"/>
      <c r="J54" s="130">
        <v>3418.0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115.0</v>
      </c>
      <c r="G55" s="152">
        <v>115.0</v>
      </c>
      <c r="H55" s="153"/>
      <c r="I55" s="92"/>
      <c r="J55" s="130">
        <v>3419.0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39.0</v>
      </c>
      <c r="G56" s="152">
        <v>39.0</v>
      </c>
      <c r="H56" s="153"/>
      <c r="I56" s="92"/>
      <c r="J56" s="130">
        <v>3420.0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415.0</v>
      </c>
      <c r="G57" s="153"/>
      <c r="H57" s="136">
        <v>415.0</v>
      </c>
      <c r="I57" s="92"/>
      <c r="J57" s="155" t="s">
        <v>91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80.0</v>
      </c>
      <c r="G58" s="153"/>
      <c r="H58" s="135">
        <v>80.0</v>
      </c>
      <c r="I58" s="92"/>
      <c r="J58" s="130">
        <v>3422.0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206.0</v>
      </c>
      <c r="G59" s="152">
        <v>206.0</v>
      </c>
      <c r="H59" s="153"/>
      <c r="I59" s="92"/>
      <c r="J59" s="130">
        <v>3423.0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2342.0</v>
      </c>
      <c r="G60" s="153"/>
      <c r="H60" s="135">
        <v>2342.0</v>
      </c>
      <c r="I60" s="92"/>
      <c r="J60" s="130">
        <v>3424.0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788.0</v>
      </c>
      <c r="G61" s="152">
        <v>788.0</v>
      </c>
      <c r="H61" s="153"/>
      <c r="I61" s="92"/>
      <c r="J61" s="130">
        <v>3425.0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400.0</v>
      </c>
      <c r="G62" s="153"/>
      <c r="H62" s="135">
        <v>400.0</v>
      </c>
      <c r="I62" s="92"/>
      <c r="J62" s="130">
        <v>3426.0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647.0</v>
      </c>
      <c r="G63" s="153"/>
      <c r="H63" s="135">
        <v>647.0</v>
      </c>
      <c r="I63" s="92"/>
      <c r="J63" s="130">
        <v>3427.0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495.0</v>
      </c>
      <c r="G64" s="153"/>
      <c r="H64" s="135">
        <v>495.0</v>
      </c>
      <c r="I64" s="92"/>
      <c r="J64" s="130">
        <v>3428.0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299.0</v>
      </c>
      <c r="G65" s="153"/>
      <c r="H65" s="135">
        <v>299.0</v>
      </c>
      <c r="I65" s="92"/>
      <c r="J65" s="130">
        <v>3429.0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50.0</v>
      </c>
      <c r="G66" s="152">
        <v>50.0</v>
      </c>
      <c r="H66" s="153"/>
      <c r="I66" s="92"/>
      <c r="J66" s="130">
        <v>3430.0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437.0</v>
      </c>
      <c r="G67" s="153"/>
      <c r="H67" s="135">
        <v>437.0</v>
      </c>
      <c r="I67" s="92"/>
      <c r="J67" s="130">
        <v>3431.0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818.0</v>
      </c>
      <c r="G68" s="152">
        <v>500.0</v>
      </c>
      <c r="H68" s="135">
        <v>318.0</v>
      </c>
      <c r="I68" s="92"/>
      <c r="J68" s="130">
        <v>3432.0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420.0</v>
      </c>
      <c r="G69" s="152">
        <v>420.0</v>
      </c>
      <c r="H69" s="156"/>
      <c r="I69" s="92"/>
      <c r="J69" s="130">
        <v>3433.0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474.0</v>
      </c>
      <c r="G70" s="153"/>
      <c r="H70" s="135">
        <v>474.0</v>
      </c>
      <c r="I70" s="92"/>
      <c r="J70" s="130">
        <v>3434.0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1171.0</v>
      </c>
      <c r="G71" s="152"/>
      <c r="H71" s="153"/>
      <c r="I71" s="93">
        <v>1171.0</v>
      </c>
      <c r="J71" s="130" t="s">
        <v>92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765.0</v>
      </c>
      <c r="G72" s="153"/>
      <c r="H72" s="135">
        <v>765.0</v>
      </c>
      <c r="I72" s="92"/>
      <c r="J72" s="130">
        <v>3436.0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115.0</v>
      </c>
      <c r="G73" s="152">
        <v>115.0</v>
      </c>
      <c r="H73" s="153"/>
      <c r="I73" s="92"/>
      <c r="J73" s="130">
        <v>3437.0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62.0</v>
      </c>
      <c r="G74" s="153"/>
      <c r="H74" s="135">
        <v>62.0</v>
      </c>
      <c r="I74" s="92"/>
      <c r="J74" s="130">
        <v>3438.0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544.0</v>
      </c>
      <c r="G75" s="152">
        <v>544.0</v>
      </c>
      <c r="H75" s="153"/>
      <c r="I75" s="92"/>
      <c r="J75" s="130">
        <v>3439.0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271.0</v>
      </c>
      <c r="G76" s="153"/>
      <c r="H76" s="135">
        <v>271.0</v>
      </c>
      <c r="I76" s="92"/>
      <c r="J76" s="130">
        <v>3440.0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309.0</v>
      </c>
      <c r="G77" s="153"/>
      <c r="H77" s="135">
        <v>309.0</v>
      </c>
      <c r="I77" s="92"/>
      <c r="J77" s="130">
        <v>3441.0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68.0</v>
      </c>
      <c r="G78" s="152">
        <v>60.0</v>
      </c>
      <c r="H78" s="135">
        <v>8.0</v>
      </c>
      <c r="I78" s="92"/>
      <c r="J78" s="130">
        <v>3442.0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511.0</v>
      </c>
      <c r="G79" s="152">
        <v>500.0</v>
      </c>
      <c r="H79" s="135">
        <v>11.0</v>
      </c>
      <c r="I79" s="92"/>
      <c r="J79" s="130">
        <v>3443.0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270.0</v>
      </c>
      <c r="G80" s="152">
        <v>270.0</v>
      </c>
      <c r="H80" s="153"/>
      <c r="I80" s="92"/>
      <c r="J80" s="130">
        <v>3444.0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283.0</v>
      </c>
      <c r="G81" s="153"/>
      <c r="H81" s="135">
        <v>283.0</v>
      </c>
      <c r="I81" s="92"/>
      <c r="J81" s="130">
        <v>3445.0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170.0</v>
      </c>
      <c r="G82" s="152">
        <v>170.0</v>
      </c>
      <c r="H82" s="153"/>
      <c r="I82" s="61"/>
      <c r="J82" s="130">
        <v>3446.0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55.0</v>
      </c>
      <c r="G83" s="152">
        <v>55.0</v>
      </c>
      <c r="H83" s="153"/>
      <c r="I83" s="61"/>
      <c r="J83" s="130">
        <v>3447.0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215.0</v>
      </c>
      <c r="G84" s="153"/>
      <c r="H84" s="135">
        <v>215.0</v>
      </c>
      <c r="I84" s="61"/>
      <c r="J84" s="130">
        <v>3448.0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1585.0</v>
      </c>
      <c r="G85" s="152">
        <v>1585.0</v>
      </c>
      <c r="H85" s="153"/>
      <c r="I85" s="61"/>
      <c r="J85" s="130">
        <v>3449.0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225.0</v>
      </c>
      <c r="G86" s="153"/>
      <c r="H86" s="135">
        <v>225.0</v>
      </c>
      <c r="I86" s="61"/>
      <c r="J86" s="130">
        <v>3450.0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379.0</v>
      </c>
      <c r="G87" s="153"/>
      <c r="H87" s="135">
        <v>379.0</v>
      </c>
      <c r="I87" s="61"/>
      <c r="J87" s="130">
        <v>3451.0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190.0</v>
      </c>
      <c r="G88" s="152">
        <v>190.0</v>
      </c>
      <c r="H88" s="153"/>
      <c r="I88" s="61"/>
      <c r="J88" s="130">
        <v>3452.0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460.0</v>
      </c>
      <c r="G89" s="152">
        <v>460.0</v>
      </c>
      <c r="H89" s="153"/>
      <c r="I89" s="61"/>
      <c r="J89" s="130">
        <v>3453.0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330.0</v>
      </c>
      <c r="G90" s="153"/>
      <c r="H90" s="135">
        <v>330.0</v>
      </c>
      <c r="I90" s="61"/>
      <c r="J90" s="130">
        <v>3454.0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96.0</v>
      </c>
      <c r="G91" s="153"/>
      <c r="H91" s="135">
        <v>96.0</v>
      </c>
      <c r="I91" s="61"/>
      <c r="J91" s="130">
        <v>3455.0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1190.0</v>
      </c>
      <c r="G92" s="153"/>
      <c r="H92" s="135">
        <v>1190.0</v>
      </c>
      <c r="I92" s="61"/>
      <c r="J92" s="130">
        <v>3456.0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379.0</v>
      </c>
      <c r="G93" s="152">
        <v>379.0</v>
      </c>
      <c r="H93" s="153"/>
      <c r="I93" s="61"/>
      <c r="J93" s="130">
        <v>3457.0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40.0</v>
      </c>
      <c r="G94" s="153"/>
      <c r="H94" s="135">
        <v>40.0</v>
      </c>
      <c r="I94" s="61"/>
      <c r="J94" s="130">
        <v>3458.0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131.0</v>
      </c>
      <c r="G95" s="153"/>
      <c r="H95" s="135">
        <v>131.0</v>
      </c>
      <c r="I95" s="61"/>
      <c r="J95" s="130">
        <v>3459.0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206.0</v>
      </c>
      <c r="G96" s="153"/>
      <c r="H96" s="135">
        <v>206.0</v>
      </c>
      <c r="I96" s="61"/>
      <c r="J96" s="130">
        <v>3460.0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4267.0</v>
      </c>
      <c r="G97" s="153"/>
      <c r="H97" s="153"/>
      <c r="I97" s="157">
        <v>4267.0</v>
      </c>
      <c r="J97" s="145">
        <v>3461.0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12922.0</v>
      </c>
      <c r="G98" s="153"/>
      <c r="H98" s="153"/>
      <c r="I98" s="157">
        <v>12922.0</v>
      </c>
      <c r="J98" s="145" t="s">
        <v>93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5782.0</v>
      </c>
      <c r="G99" s="153"/>
      <c r="H99" s="153"/>
      <c r="I99" s="157">
        <v>3855.0</v>
      </c>
      <c r="J99" s="145">
        <v>3463.0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727.0</v>
      </c>
      <c r="G100" s="153"/>
      <c r="H100" s="135">
        <v>727.0</v>
      </c>
      <c r="I100" s="61"/>
      <c r="J100" s="130">
        <v>3464.0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75.0</v>
      </c>
      <c r="G101" s="153"/>
      <c r="H101" s="135">
        <v>75.0</v>
      </c>
      <c r="I101" s="61"/>
      <c r="J101" s="130">
        <v>3465.0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207.0</v>
      </c>
      <c r="G102" s="152">
        <v>200.0</v>
      </c>
      <c r="H102" s="135">
        <v>7.0</v>
      </c>
      <c r="I102" s="61"/>
      <c r="J102" s="130">
        <v>3466.0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50.0</v>
      </c>
      <c r="G103" s="153"/>
      <c r="H103" s="135">
        <v>50.0</v>
      </c>
      <c r="I103" s="61"/>
      <c r="J103" s="130">
        <v>3467.0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109.0</v>
      </c>
      <c r="G104" s="152">
        <v>109.0</v>
      </c>
      <c r="H104" s="153"/>
      <c r="I104" s="61"/>
      <c r="J104" s="130">
        <v>3468.0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956.0</v>
      </c>
      <c r="G105" s="152">
        <v>950.0</v>
      </c>
      <c r="H105" s="135">
        <v>6.0</v>
      </c>
      <c r="I105" s="61"/>
      <c r="J105" s="130">
        <v>3469.0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175.0</v>
      </c>
      <c r="G106" s="153"/>
      <c r="H106" s="135">
        <v>175.0</v>
      </c>
      <c r="I106" s="61"/>
      <c r="J106" s="130">
        <v>3470.0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60.0</v>
      </c>
      <c r="G107" s="153"/>
      <c r="H107" s="135">
        <v>60.0</v>
      </c>
      <c r="I107" s="61"/>
      <c r="J107" s="130">
        <v>3471.0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922.0</v>
      </c>
      <c r="G108" s="153"/>
      <c r="H108" s="136">
        <v>922.0</v>
      </c>
      <c r="I108" s="61"/>
      <c r="J108" s="155" t="s">
        <v>94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66.0</v>
      </c>
      <c r="G109" s="152">
        <v>66.0</v>
      </c>
      <c r="H109" s="153"/>
      <c r="I109" s="61"/>
      <c r="J109" s="130">
        <v>3473.0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1984.0</v>
      </c>
      <c r="G110" s="152">
        <v>1984.0</v>
      </c>
      <c r="H110" s="153"/>
      <c r="I110" s="61"/>
      <c r="J110" s="130">
        <v>3474.0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253.0</v>
      </c>
      <c r="G111" s="152">
        <v>250.0</v>
      </c>
      <c r="H111" s="135">
        <v>3.0</v>
      </c>
      <c r="I111" s="61"/>
      <c r="J111" s="130">
        <v>3475.0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112.0</v>
      </c>
      <c r="G112" s="153"/>
      <c r="H112" s="135">
        <v>112.0</v>
      </c>
      <c r="I112" s="61"/>
      <c r="J112" s="130">
        <v>3476.0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1084.0</v>
      </c>
      <c r="G113" s="152"/>
      <c r="H113" s="153"/>
      <c r="I113" s="54">
        <v>1084.0</v>
      </c>
      <c r="J113" s="130" t="s">
        <v>95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91.0</v>
      </c>
      <c r="G114" s="153"/>
      <c r="H114" s="135">
        <v>91.0</v>
      </c>
      <c r="I114" s="61"/>
      <c r="J114" s="130">
        <v>3478.0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189.0</v>
      </c>
      <c r="G115" s="153"/>
      <c r="H115" s="157">
        <v>189.0</v>
      </c>
      <c r="I115" s="61"/>
      <c r="J115" s="145">
        <v>3479.0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400.0</v>
      </c>
      <c r="G116" s="153"/>
      <c r="H116" s="157">
        <v>400.0</v>
      </c>
      <c r="I116" s="61"/>
      <c r="J116" s="145">
        <v>3480.0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189.0</v>
      </c>
      <c r="G117" s="152">
        <v>100.0</v>
      </c>
      <c r="H117" s="135">
        <v>89.0</v>
      </c>
      <c r="I117" s="61"/>
      <c r="J117" s="130">
        <v>3481.0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4.0</v>
      </c>
      <c r="G118" s="153"/>
      <c r="H118" s="135">
        <v>4.0</v>
      </c>
      <c r="I118" s="61"/>
      <c r="J118" s="130">
        <v>3482.0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109.0</v>
      </c>
      <c r="G119" s="152">
        <v>109.0</v>
      </c>
      <c r="H119" s="153"/>
      <c r="I119" s="61"/>
      <c r="J119" s="130">
        <v>3483.0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1349.0</v>
      </c>
      <c r="G120" s="152">
        <v>1349.0</v>
      </c>
      <c r="H120" s="153"/>
      <c r="I120" s="61"/>
      <c r="J120" s="130">
        <v>3484.0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280.0</v>
      </c>
      <c r="G121" s="152">
        <v>280.0</v>
      </c>
      <c r="H121" s="153"/>
      <c r="I121" s="61"/>
      <c r="J121" s="130">
        <v>3485.0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171.0</v>
      </c>
      <c r="G122" s="152">
        <v>1.0</v>
      </c>
      <c r="H122" s="135">
        <v>170.0</v>
      </c>
      <c r="I122" s="61"/>
      <c r="J122" s="130">
        <v>3486.0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30.0</v>
      </c>
      <c r="G123" s="153"/>
      <c r="H123" s="135">
        <v>30.0</v>
      </c>
      <c r="I123" s="61"/>
      <c r="J123" s="130">
        <v>3487.0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160.0</v>
      </c>
      <c r="G124" s="152">
        <v>160.0</v>
      </c>
      <c r="H124" s="153"/>
      <c r="I124" s="61"/>
      <c r="J124" s="130">
        <v>3488.0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80.0</v>
      </c>
      <c r="G125" s="153"/>
      <c r="H125" s="135">
        <v>80.0</v>
      </c>
      <c r="I125" s="61"/>
      <c r="J125" s="130">
        <v>3489.0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335.0</v>
      </c>
      <c r="G126" s="152">
        <v>335.0</v>
      </c>
      <c r="H126" s="153"/>
      <c r="I126" s="61"/>
      <c r="J126" s="130">
        <v>3490.0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4860.0</v>
      </c>
      <c r="G127" s="153"/>
      <c r="H127" s="135">
        <v>4860.0</v>
      </c>
      <c r="I127" s="61"/>
      <c r="J127" s="130">
        <v>3491.0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125.0</v>
      </c>
      <c r="G128" s="153"/>
      <c r="H128" s="135">
        <v>125.0</v>
      </c>
      <c r="I128" s="61"/>
      <c r="J128" s="130">
        <v>3492.0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183.0</v>
      </c>
      <c r="G129" s="153"/>
      <c r="H129" s="135">
        <v>183.0</v>
      </c>
      <c r="I129" s="61"/>
      <c r="J129" s="130">
        <v>3493.0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32.0</v>
      </c>
      <c r="G130" s="152">
        <v>32.0</v>
      </c>
      <c r="H130" s="153"/>
      <c r="I130" s="61"/>
      <c r="J130" s="130">
        <v>3494.0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5.0</v>
      </c>
      <c r="G131" s="152">
        <v>5.0</v>
      </c>
      <c r="H131" s="153"/>
      <c r="I131" s="61"/>
      <c r="J131" s="130">
        <v>3495.0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333.0</v>
      </c>
      <c r="G132" s="153"/>
      <c r="H132" s="135">
        <v>333.0</v>
      </c>
      <c r="I132" s="61"/>
      <c r="J132" s="130">
        <v>3496.0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150.0</v>
      </c>
      <c r="G133" s="153"/>
      <c r="H133" s="135">
        <v>150.0</v>
      </c>
      <c r="I133" s="61"/>
      <c r="J133" s="130">
        <v>3497.0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2678.0</v>
      </c>
      <c r="G134" s="152">
        <v>2678.0</v>
      </c>
      <c r="H134" s="153"/>
      <c r="I134" s="61"/>
      <c r="J134" s="130">
        <v>3498.0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35.0</v>
      </c>
      <c r="G135" s="152">
        <v>35.0</v>
      </c>
      <c r="H135" s="153"/>
      <c r="I135" s="61"/>
      <c r="J135" s="130">
        <v>3499.0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461.0</v>
      </c>
      <c r="G136" s="152">
        <v>461.0</v>
      </c>
      <c r="H136" s="153"/>
      <c r="I136" s="61"/>
      <c r="J136" s="130">
        <v>3500.0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149.0</v>
      </c>
      <c r="G137" s="153"/>
      <c r="H137" s="135">
        <v>149.0</v>
      </c>
      <c r="I137" s="61"/>
      <c r="J137" s="130">
        <v>3501.0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105.0</v>
      </c>
      <c r="G138" s="153"/>
      <c r="H138" s="135">
        <v>105.0</v>
      </c>
      <c r="I138" s="61"/>
      <c r="J138" s="130">
        <v>3502.0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16.0</v>
      </c>
      <c r="G139" s="152">
        <v>16.0</v>
      </c>
      <c r="H139" s="153"/>
      <c r="I139" s="61"/>
      <c r="J139" s="130">
        <v>3503.0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29.0</v>
      </c>
      <c r="G140" s="153"/>
      <c r="H140" s="135">
        <v>29.0</v>
      </c>
      <c r="I140" s="61"/>
      <c r="J140" s="130">
        <v>3504.0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93.0</v>
      </c>
      <c r="G141" s="152">
        <v>93.0</v>
      </c>
      <c r="H141" s="153"/>
      <c r="I141" s="61"/>
      <c r="J141" s="130">
        <v>3505.0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82.0</v>
      </c>
      <c r="G142" s="152">
        <v>82.0</v>
      </c>
      <c r="H142" s="153"/>
      <c r="I142" s="61"/>
      <c r="J142" s="130">
        <v>3506.0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3630.0</v>
      </c>
      <c r="G143" s="152"/>
      <c r="H143" s="153"/>
      <c r="I143" s="54">
        <v>3630.0</v>
      </c>
      <c r="J143" s="130" t="s">
        <v>96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272.0</v>
      </c>
      <c r="G144" s="153"/>
      <c r="H144" s="135">
        <v>272.0</v>
      </c>
      <c r="I144" s="61"/>
      <c r="J144" s="130">
        <v>3508.0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110.0</v>
      </c>
      <c r="G145" s="54">
        <v>110.0</v>
      </c>
      <c r="H145" s="61"/>
      <c r="I145" s="61"/>
      <c r="J145" s="130">
        <v>3509.0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158">
        <v>137.0</v>
      </c>
      <c r="F146" s="138">
        <v>24.0</v>
      </c>
      <c r="G146" s="54">
        <v>24.0</v>
      </c>
      <c r="H146" s="61"/>
      <c r="I146" s="61"/>
      <c r="J146" s="130">
        <v>3510.0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158">
        <v>138.0</v>
      </c>
      <c r="F147" s="138">
        <v>243.0</v>
      </c>
      <c r="G147" s="54"/>
      <c r="H147" s="61"/>
      <c r="I147" s="54">
        <v>243.0</v>
      </c>
      <c r="J147" s="130" t="s">
        <v>97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158">
        <v>139.0</v>
      </c>
      <c r="F148" s="138">
        <v>470.0</v>
      </c>
      <c r="G148" s="61"/>
      <c r="H148" s="135">
        <v>470.0</v>
      </c>
      <c r="I148" s="61"/>
      <c r="J148" s="130">
        <v>3512.0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130">
        <v>3513.0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130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130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130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54"/>
      <c r="I153" s="61"/>
      <c r="J153" s="130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54"/>
      <c r="I154" s="61"/>
      <c r="J154" s="130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61"/>
      <c r="I155" s="61"/>
      <c r="J155" s="130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54">
        <v>430.0</v>
      </c>
      <c r="H156" s="61"/>
      <c r="I156" s="61"/>
      <c r="J156" s="130" t="s">
        <v>98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135">
        <v>1900.0</v>
      </c>
      <c r="I157" s="61"/>
      <c r="J157" s="130" t="s">
        <v>99</v>
      </c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61"/>
      <c r="H158" s="61"/>
      <c r="I158" s="61"/>
      <c r="J158" s="46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1"/>
      <c r="E159" s="122"/>
      <c r="F159" s="123">
        <f t="shared" ref="F159:I159" si="4">SUM(F10:F158)</f>
        <v>80548</v>
      </c>
      <c r="G159" s="123">
        <f t="shared" si="4"/>
        <v>23838</v>
      </c>
      <c r="H159" s="123">
        <f t="shared" si="4"/>
        <v>28236</v>
      </c>
      <c r="I159" s="123">
        <f t="shared" si="4"/>
        <v>28877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18"/>
      <c r="C160" s="118"/>
      <c r="D160" s="1"/>
      <c r="E160" s="124"/>
      <c r="F160" s="124"/>
      <c r="G160" s="124"/>
      <c r="H160" s="124"/>
      <c r="I160" s="12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26"/>
      <c r="H172" s="12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86490.0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28969.0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67918.0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F145-C15</f>
        <v>64581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G145-W33</f>
        <v>20208</v>
      </c>
      <c r="D10" s="24"/>
      <c r="E10" s="43">
        <v>1.0</v>
      </c>
      <c r="F10" s="44">
        <v>1270.0</v>
      </c>
      <c r="G10" s="45"/>
      <c r="H10" s="159">
        <v>1270.0</v>
      </c>
      <c r="I10" s="45"/>
      <c r="J10" s="130">
        <v>3513.0</v>
      </c>
      <c r="K10" s="24"/>
      <c r="L10" s="47">
        <v>1171.0</v>
      </c>
      <c r="M10" s="47"/>
      <c r="N10" s="47">
        <v>3435.0</v>
      </c>
      <c r="O10" s="49"/>
      <c r="P10" s="85" t="s">
        <v>100</v>
      </c>
      <c r="Q10" s="51"/>
      <c r="R10" s="52">
        <v>1026.0</v>
      </c>
      <c r="S10" s="53"/>
      <c r="T10" s="54"/>
      <c r="U10" s="55"/>
      <c r="V10" s="24"/>
      <c r="W10" s="47">
        <v>748.0</v>
      </c>
      <c r="X10" s="47"/>
      <c r="Y10" s="47">
        <v>30.0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H145-X33</f>
        <v>44410</v>
      </c>
      <c r="D11" s="24"/>
      <c r="E11" s="43">
        <v>2.0</v>
      </c>
      <c r="F11" s="56">
        <v>76.0</v>
      </c>
      <c r="G11" s="57"/>
      <c r="H11" s="160">
        <v>76.0</v>
      </c>
      <c r="I11" s="59"/>
      <c r="J11" s="130">
        <v>3514.0</v>
      </c>
      <c r="K11" s="24"/>
      <c r="L11" s="48"/>
      <c r="M11" s="146">
        <v>466.0</v>
      </c>
      <c r="N11" s="47" t="s">
        <v>101</v>
      </c>
      <c r="O11" s="49"/>
      <c r="P11" s="72" t="s">
        <v>102</v>
      </c>
      <c r="Q11" s="51"/>
      <c r="R11" s="52">
        <v>150.0</v>
      </c>
      <c r="S11" s="53"/>
      <c r="T11" s="61"/>
      <c r="U11" s="62"/>
      <c r="V11" s="24"/>
      <c r="W11" s="47">
        <v>96.0</v>
      </c>
      <c r="X11" s="47"/>
      <c r="Y11" s="47">
        <v>31.0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I145</f>
        <v>6610</v>
      </c>
      <c r="D12" s="24"/>
      <c r="E12" s="43">
        <v>3.0</v>
      </c>
      <c r="F12" s="63">
        <v>573.0</v>
      </c>
      <c r="G12" s="149">
        <v>573.0</v>
      </c>
      <c r="H12" s="64"/>
      <c r="I12" s="65"/>
      <c r="J12" s="130">
        <v>3515.0</v>
      </c>
      <c r="K12" s="24"/>
      <c r="L12" s="48"/>
      <c r="M12" s="161">
        <v>3630.0</v>
      </c>
      <c r="N12" s="47">
        <v>3507.0</v>
      </c>
      <c r="O12" s="49"/>
      <c r="P12" s="162" t="s">
        <v>103</v>
      </c>
      <c r="Q12" s="51"/>
      <c r="R12" s="163">
        <v>2938.0</v>
      </c>
      <c r="S12" s="52"/>
      <c r="T12" s="61"/>
      <c r="U12" s="62"/>
      <c r="V12" s="24"/>
      <c r="W12" s="47">
        <v>148.0</v>
      </c>
      <c r="X12" s="47"/>
      <c r="Y12" s="47">
        <v>32.0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1171</v>
      </c>
      <c r="D13" s="24"/>
      <c r="E13" s="43">
        <v>4.0</v>
      </c>
      <c r="F13" s="56">
        <v>11.0</v>
      </c>
      <c r="G13" s="149">
        <v>3.0</v>
      </c>
      <c r="H13" s="164">
        <v>8.0</v>
      </c>
      <c r="I13" s="65"/>
      <c r="J13" s="130">
        <v>3516.0</v>
      </c>
      <c r="K13" s="24"/>
      <c r="L13" s="48"/>
      <c r="M13" s="165">
        <v>4834.0</v>
      </c>
      <c r="N13" s="166" t="s">
        <v>104</v>
      </c>
      <c r="O13" s="49"/>
      <c r="P13" s="162" t="s">
        <v>105</v>
      </c>
      <c r="Q13" s="51"/>
      <c r="R13" s="163">
        <v>1434.0</v>
      </c>
      <c r="S13" s="52"/>
      <c r="T13" s="61"/>
      <c r="U13" s="62"/>
      <c r="V13" s="24"/>
      <c r="W13" s="47">
        <v>132.0</v>
      </c>
      <c r="X13" s="47"/>
      <c r="Y13" s="167">
        <v>33.0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8930</v>
      </c>
      <c r="D14" s="24"/>
      <c r="E14" s="43">
        <v>5.0</v>
      </c>
      <c r="F14" s="56">
        <v>45.0</v>
      </c>
      <c r="G14" s="149"/>
      <c r="H14" s="164">
        <v>45.0</v>
      </c>
      <c r="I14" s="65"/>
      <c r="J14" s="130">
        <v>3517.0</v>
      </c>
      <c r="K14" s="24"/>
      <c r="L14" s="48"/>
      <c r="M14" s="48"/>
      <c r="N14" s="48"/>
      <c r="O14" s="49"/>
      <c r="P14" s="72" t="s">
        <v>106</v>
      </c>
      <c r="Q14" s="51"/>
      <c r="R14" s="52">
        <v>16198.0</v>
      </c>
      <c r="S14" s="52"/>
      <c r="T14" s="61"/>
      <c r="U14" s="62"/>
      <c r="V14" s="24"/>
      <c r="W14" s="48"/>
      <c r="X14" s="47"/>
      <c r="Y14" s="166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1124</v>
      </c>
      <c r="D15" s="24"/>
      <c r="E15" s="43">
        <v>6.0</v>
      </c>
      <c r="F15" s="56">
        <v>22.0</v>
      </c>
      <c r="G15" s="149">
        <v>22.0</v>
      </c>
      <c r="H15" s="64"/>
      <c r="I15" s="65"/>
      <c r="J15" s="130">
        <v>3518.0</v>
      </c>
      <c r="K15" s="24"/>
      <c r="L15" s="48"/>
      <c r="M15" s="48"/>
      <c r="N15" s="48"/>
      <c r="O15" s="49"/>
      <c r="P15" s="72" t="s">
        <v>107</v>
      </c>
      <c r="Q15" s="51"/>
      <c r="R15" s="52">
        <v>13668.0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79935</v>
      </c>
      <c r="D16" s="24"/>
      <c r="E16" s="43">
        <v>7.0</v>
      </c>
      <c r="F16" s="56">
        <v>250.0</v>
      </c>
      <c r="G16" s="64">
        <v>250.0</v>
      </c>
      <c r="H16" s="64"/>
      <c r="I16" s="65"/>
      <c r="J16" s="130">
        <v>3519.0</v>
      </c>
      <c r="K16" s="24"/>
      <c r="L16" s="48"/>
      <c r="M16" s="48"/>
      <c r="N16" s="48"/>
      <c r="O16" s="49"/>
      <c r="P16" s="72" t="s">
        <v>108</v>
      </c>
      <c r="Q16" s="51"/>
      <c r="R16" s="52">
        <v>21885.0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79935</v>
      </c>
      <c r="D17" s="24"/>
      <c r="E17" s="43">
        <v>8.0</v>
      </c>
      <c r="F17" s="56">
        <v>42.0</v>
      </c>
      <c r="G17" s="64">
        <v>42.0</v>
      </c>
      <c r="H17" s="64"/>
      <c r="I17" s="65"/>
      <c r="J17" s="130">
        <v>3520.0</v>
      </c>
      <c r="K17" s="24"/>
      <c r="L17" s="48"/>
      <c r="M17" s="48"/>
      <c r="N17" s="48"/>
      <c r="O17" s="49"/>
      <c r="P17" s="72" t="s">
        <v>109</v>
      </c>
      <c r="Q17" s="51"/>
      <c r="R17" s="52">
        <v>22596.0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43.0</v>
      </c>
      <c r="G18" s="64">
        <v>43.0</v>
      </c>
      <c r="H18" s="64"/>
      <c r="I18" s="65"/>
      <c r="J18" s="130">
        <v>3521.0</v>
      </c>
      <c r="K18" s="24"/>
      <c r="L18" s="48"/>
      <c r="M18" s="48"/>
      <c r="N18" s="48"/>
      <c r="O18" s="49"/>
      <c r="P18" s="72" t="s">
        <v>110</v>
      </c>
      <c r="Q18" s="51"/>
      <c r="R18" s="52">
        <v>40.0</v>
      </c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306.0</v>
      </c>
      <c r="G19" s="64"/>
      <c r="H19" s="164">
        <v>306.0</v>
      </c>
      <c r="I19" s="65"/>
      <c r="J19" s="168" t="s">
        <v>111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64427</v>
      </c>
      <c r="D20" s="24"/>
      <c r="E20" s="43">
        <v>11.0</v>
      </c>
      <c r="F20" s="56">
        <v>1846.0</v>
      </c>
      <c r="G20" s="64">
        <v>1846.0</v>
      </c>
      <c r="H20" s="64"/>
      <c r="I20" s="65"/>
      <c r="J20" s="130">
        <v>3523.0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53340</v>
      </c>
      <c r="D21" s="24"/>
      <c r="E21" s="43">
        <v>12.0</v>
      </c>
      <c r="F21" s="56">
        <v>85.0</v>
      </c>
      <c r="G21" s="64">
        <v>85.0</v>
      </c>
      <c r="H21" s="64"/>
      <c r="I21" s="65"/>
      <c r="J21" s="130">
        <v>3524.0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27934</v>
      </c>
      <c r="D22" s="24"/>
      <c r="E22" s="43">
        <v>13.0</v>
      </c>
      <c r="F22" s="56">
        <v>85.0</v>
      </c>
      <c r="G22" s="64">
        <v>85.0</v>
      </c>
      <c r="H22" s="64"/>
      <c r="I22" s="65"/>
      <c r="J22" s="130">
        <v>3525.0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32509.0</v>
      </c>
      <c r="D23" s="24"/>
      <c r="E23" s="43">
        <v>14.0</v>
      </c>
      <c r="F23" s="56">
        <v>952.0</v>
      </c>
      <c r="G23" s="65"/>
      <c r="H23" s="164">
        <v>952.0</v>
      </c>
      <c r="I23" s="169"/>
      <c r="J23" s="155" t="s">
        <v>112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-4575</v>
      </c>
      <c r="D24" s="24"/>
      <c r="E24" s="43">
        <v>15.0</v>
      </c>
      <c r="F24" s="56">
        <v>120.0</v>
      </c>
      <c r="G24" s="64"/>
      <c r="H24" s="164">
        <v>120.0</v>
      </c>
      <c r="I24" s="65"/>
      <c r="J24" s="130">
        <v>3527.0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354.0</v>
      </c>
      <c r="G25" s="64">
        <v>354.0</v>
      </c>
      <c r="H25" s="65"/>
      <c r="I25" s="65"/>
      <c r="J25" s="130">
        <v>3528.0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F145</f>
        <v>65705</v>
      </c>
      <c r="D26" s="24"/>
      <c r="E26" s="43">
        <v>17.0</v>
      </c>
      <c r="F26" s="56">
        <v>1039.0</v>
      </c>
      <c r="G26" s="64"/>
      <c r="H26" s="164">
        <v>1465.0</v>
      </c>
      <c r="I26" s="65"/>
      <c r="J26" s="155" t="s">
        <v>113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117.0</v>
      </c>
      <c r="D27" s="24"/>
      <c r="E27" s="43">
        <v>18.0</v>
      </c>
      <c r="F27" s="56">
        <v>1274.0</v>
      </c>
      <c r="G27" s="64"/>
      <c r="H27" s="164">
        <v>1274.0</v>
      </c>
      <c r="I27" s="65"/>
      <c r="J27" s="130">
        <v>3530.0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561.5811966</v>
      </c>
      <c r="D28" s="24"/>
      <c r="E28" s="43">
        <v>19.0</v>
      </c>
      <c r="F28" s="56">
        <v>538.0</v>
      </c>
      <c r="G28" s="64"/>
      <c r="H28" s="164">
        <v>538.0</v>
      </c>
      <c r="I28" s="65"/>
      <c r="J28" s="130">
        <v>3531.0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204.0</v>
      </c>
      <c r="G29" s="64"/>
      <c r="H29" s="164">
        <v>204.0</v>
      </c>
      <c r="I29" s="65"/>
      <c r="J29" s="130">
        <v>3532.0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135.0</v>
      </c>
      <c r="G30" s="93">
        <v>135.0</v>
      </c>
      <c r="H30" s="92"/>
      <c r="I30" s="93"/>
      <c r="J30" s="130">
        <v>3533.0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28969</v>
      </c>
      <c r="D31" s="24"/>
      <c r="E31" s="43">
        <v>22.0</v>
      </c>
      <c r="F31" s="56">
        <v>138.0</v>
      </c>
      <c r="G31" s="152"/>
      <c r="H31" s="170">
        <v>138.0</v>
      </c>
      <c r="I31" s="153"/>
      <c r="J31" s="130">
        <v>3534.0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79935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387.0</v>
      </c>
      <c r="G32" s="152"/>
      <c r="H32" s="170">
        <v>387.0</v>
      </c>
      <c r="I32" s="153"/>
      <c r="J32" s="130">
        <v>3535.0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39.0</v>
      </c>
      <c r="G33" s="152">
        <v>39.0</v>
      </c>
      <c r="H33" s="92"/>
      <c r="I33" s="153"/>
      <c r="J33" s="130">
        <v>3536.0</v>
      </c>
      <c r="K33" s="24"/>
      <c r="L33" s="104">
        <f t="shared" ref="L33:M33" si="2">sum(L10:L32)</f>
        <v>1171</v>
      </c>
      <c r="M33" s="104">
        <f t="shared" si="2"/>
        <v>8930</v>
      </c>
      <c r="N33" s="104"/>
      <c r="O33" s="105"/>
      <c r="P33" s="85" t="s">
        <v>38</v>
      </c>
      <c r="Q33" s="51"/>
      <c r="R33" s="100"/>
      <c r="S33" s="52">
        <v>28969.0</v>
      </c>
      <c r="T33" s="101"/>
      <c r="U33" s="55"/>
      <c r="V33" s="24"/>
      <c r="W33" s="104">
        <f t="shared" ref="W33:X33" si="3">sum(W10:W32)</f>
        <v>1124</v>
      </c>
      <c r="X33" s="104">
        <f t="shared" si="3"/>
        <v>0</v>
      </c>
      <c r="Y33" s="104">
        <f>W33+X33</f>
        <v>1124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299.0</v>
      </c>
      <c r="G34" s="152">
        <v>299.0</v>
      </c>
      <c r="H34" s="92"/>
      <c r="I34" s="153"/>
      <c r="J34" s="130">
        <v>3537.0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69.0</v>
      </c>
      <c r="G35" s="153"/>
      <c r="H35" s="170">
        <v>69.0</v>
      </c>
      <c r="I35" s="153"/>
      <c r="J35" s="130">
        <v>3538.0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95.0</v>
      </c>
      <c r="G36" s="152">
        <v>95.0</v>
      </c>
      <c r="H36" s="93"/>
      <c r="I36" s="153"/>
      <c r="J36" s="130">
        <v>3539.0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993.0</v>
      </c>
      <c r="G37" s="152"/>
      <c r="H37" s="170">
        <v>993.0</v>
      </c>
      <c r="I37" s="153"/>
      <c r="J37" s="130">
        <v>3540.0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66.0</v>
      </c>
      <c r="G38" s="152">
        <v>66.0</v>
      </c>
      <c r="H38" s="92"/>
      <c r="I38" s="153"/>
      <c r="J38" s="130">
        <v>3541.0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44.0</v>
      </c>
      <c r="G39" s="152"/>
      <c r="H39" s="170">
        <v>44.0</v>
      </c>
      <c r="I39" s="153"/>
      <c r="J39" s="130">
        <v>3542.0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417.0</v>
      </c>
      <c r="G40" s="153"/>
      <c r="H40" s="170">
        <v>417.0</v>
      </c>
      <c r="I40" s="153"/>
      <c r="J40" s="130">
        <v>3543.0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30.0</v>
      </c>
      <c r="G41" s="153"/>
      <c r="H41" s="170">
        <v>30.0</v>
      </c>
      <c r="I41" s="153"/>
      <c r="J41" s="130">
        <v>3544.0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1233.0</v>
      </c>
      <c r="G42" s="152">
        <v>1233.0</v>
      </c>
      <c r="H42" s="93"/>
      <c r="I42" s="153"/>
      <c r="J42" s="130">
        <v>3545.0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6610.0</v>
      </c>
      <c r="G43" s="152"/>
      <c r="H43" s="92"/>
      <c r="I43" s="152">
        <v>6610.0</v>
      </c>
      <c r="J43" s="130">
        <v>3546.0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253.0</v>
      </c>
      <c r="G44" s="152">
        <v>253.0</v>
      </c>
      <c r="H44" s="93"/>
      <c r="I44" s="153"/>
      <c r="J44" s="130">
        <v>3547.0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755.0</v>
      </c>
      <c r="G45" s="152"/>
      <c r="H45" s="170">
        <v>755.0</v>
      </c>
      <c r="I45" s="153"/>
      <c r="J45" s="130">
        <v>3548.0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40.0</v>
      </c>
      <c r="G46" s="152"/>
      <c r="H46" s="170">
        <v>40.0</v>
      </c>
      <c r="I46" s="153"/>
      <c r="J46" s="130">
        <v>3549.0</v>
      </c>
      <c r="K46" s="24"/>
      <c r="L46" s="117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1279.0</v>
      </c>
      <c r="G47" s="153"/>
      <c r="H47" s="170">
        <v>1279.0</v>
      </c>
      <c r="I47" s="153"/>
      <c r="J47" s="130">
        <v>3550.0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115.0</v>
      </c>
      <c r="G48" s="153"/>
      <c r="H48" s="170">
        <v>115.0</v>
      </c>
      <c r="I48" s="153"/>
      <c r="J48" s="130">
        <v>3551.0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520.0</v>
      </c>
      <c r="G49" s="152">
        <v>520.0</v>
      </c>
      <c r="H49" s="92"/>
      <c r="I49" s="153"/>
      <c r="J49" s="130">
        <v>3552.0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128.0</v>
      </c>
      <c r="G50" s="152">
        <v>128.0</v>
      </c>
      <c r="H50" s="93"/>
      <c r="I50" s="153"/>
      <c r="J50" s="130">
        <v>3553.0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413.0</v>
      </c>
      <c r="G51" s="152">
        <v>413.0</v>
      </c>
      <c r="H51" s="92"/>
      <c r="I51" s="153"/>
      <c r="J51" s="130">
        <v>3554.0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2241.0</v>
      </c>
      <c r="G52" s="152">
        <v>2241.0</v>
      </c>
      <c r="H52" s="92"/>
      <c r="I52" s="153"/>
      <c r="J52" s="130">
        <v>3555.0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880.0</v>
      </c>
      <c r="G53" s="152">
        <v>880.0</v>
      </c>
      <c r="H53" s="92"/>
      <c r="I53" s="153"/>
      <c r="J53" s="130">
        <v>3556.0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559.0</v>
      </c>
      <c r="G54" s="153"/>
      <c r="H54" s="170">
        <v>559.0</v>
      </c>
      <c r="I54" s="153"/>
      <c r="J54" s="130">
        <v>3557.0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9.0</v>
      </c>
      <c r="G55" s="152">
        <v>9.0</v>
      </c>
      <c r="H55" s="92"/>
      <c r="I55" s="153"/>
      <c r="J55" s="130">
        <v>3558.0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9.0</v>
      </c>
      <c r="G56" s="152">
        <v>9.0</v>
      </c>
      <c r="H56" s="156"/>
      <c r="I56" s="153"/>
      <c r="J56" s="130">
        <v>3559.0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90.0</v>
      </c>
      <c r="G57" s="153"/>
      <c r="H57" s="170">
        <v>90.0</v>
      </c>
      <c r="I57" s="153"/>
      <c r="J57" s="130">
        <v>3560.0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513.0</v>
      </c>
      <c r="G58" s="153"/>
      <c r="H58" s="170">
        <v>513.0</v>
      </c>
      <c r="I58" s="153"/>
      <c r="J58" s="130">
        <v>3561.0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808.0</v>
      </c>
      <c r="G59" s="152">
        <v>808.0</v>
      </c>
      <c r="H59" s="92"/>
      <c r="I59" s="153"/>
      <c r="J59" s="130">
        <v>3562.0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248.0</v>
      </c>
      <c r="G60" s="153"/>
      <c r="H60" s="170">
        <v>248.0</v>
      </c>
      <c r="I60" s="153"/>
      <c r="J60" s="130">
        <v>3563.0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904.0</v>
      </c>
      <c r="G61" s="152">
        <v>904.0</v>
      </c>
      <c r="H61" s="92"/>
      <c r="I61" s="153"/>
      <c r="J61" s="130">
        <v>3564.0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569.0</v>
      </c>
      <c r="G62" s="153"/>
      <c r="H62" s="170">
        <v>569.0</v>
      </c>
      <c r="I62" s="153"/>
      <c r="J62" s="130">
        <v>3565.0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55.0</v>
      </c>
      <c r="G63" s="153"/>
      <c r="H63" s="170">
        <v>55.0</v>
      </c>
      <c r="I63" s="153"/>
      <c r="J63" s="130">
        <v>3566.0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402.0</v>
      </c>
      <c r="G64" s="153"/>
      <c r="H64" s="170">
        <v>402.0</v>
      </c>
      <c r="I64" s="153"/>
      <c r="J64" s="130">
        <v>3567.0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380.0</v>
      </c>
      <c r="G65" s="152">
        <v>380.0</v>
      </c>
      <c r="H65" s="92"/>
      <c r="I65" s="153"/>
      <c r="J65" s="130">
        <v>3568.0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7.0</v>
      </c>
      <c r="G66" s="152">
        <v>7.0</v>
      </c>
      <c r="H66" s="92"/>
      <c r="I66" s="153"/>
      <c r="J66" s="130">
        <v>3569.0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84.0</v>
      </c>
      <c r="G67" s="152">
        <v>84.0</v>
      </c>
      <c r="H67" s="92"/>
      <c r="I67" s="153"/>
      <c r="J67" s="130">
        <v>3570.0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572.0</v>
      </c>
      <c r="G68" s="152">
        <v>572.0</v>
      </c>
      <c r="H68" s="92"/>
      <c r="I68" s="153"/>
      <c r="J68" s="130">
        <v>3571.0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358.0</v>
      </c>
      <c r="G69" s="152">
        <v>358.0</v>
      </c>
      <c r="H69" s="92"/>
      <c r="I69" s="153"/>
      <c r="J69" s="130">
        <v>3572.0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18.0</v>
      </c>
      <c r="G70" s="153"/>
      <c r="H70" s="170">
        <v>18.0</v>
      </c>
      <c r="I70" s="153"/>
      <c r="J70" s="130">
        <v>3573.0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28.0</v>
      </c>
      <c r="G71" s="153"/>
      <c r="H71" s="170">
        <v>28.0</v>
      </c>
      <c r="I71" s="153"/>
      <c r="J71" s="130">
        <v>3574.0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1413.0</v>
      </c>
      <c r="G72" s="152">
        <v>1413.0</v>
      </c>
      <c r="H72" s="170"/>
      <c r="I72" s="171"/>
      <c r="J72" s="172" t="s">
        <v>114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95.0</v>
      </c>
      <c r="G73" s="152">
        <v>95.0</v>
      </c>
      <c r="H73" s="92"/>
      <c r="I73" s="153"/>
      <c r="J73" s="130">
        <v>3576.0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399.0</v>
      </c>
      <c r="G74" s="153"/>
      <c r="H74" s="170">
        <v>4623.0</v>
      </c>
      <c r="I74" s="153"/>
      <c r="J74" s="145" t="s">
        <v>115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647.0</v>
      </c>
      <c r="G75" s="153"/>
      <c r="H75" s="170">
        <v>647.0</v>
      </c>
      <c r="I75" s="153"/>
      <c r="J75" s="130">
        <v>3578.0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669.0</v>
      </c>
      <c r="G76" s="153"/>
      <c r="H76" s="170">
        <v>669.0</v>
      </c>
      <c r="I76" s="153"/>
      <c r="J76" s="155" t="s">
        <v>116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404.0</v>
      </c>
      <c r="G77" s="153"/>
      <c r="H77" s="170">
        <v>404.0</v>
      </c>
      <c r="I77" s="153"/>
      <c r="J77" s="130">
        <v>3580.0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387.0</v>
      </c>
      <c r="G78" s="152">
        <v>387.0</v>
      </c>
      <c r="H78" s="92"/>
      <c r="I78" s="153"/>
      <c r="J78" s="130">
        <v>3581.0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36.0</v>
      </c>
      <c r="G79" s="152">
        <v>36.0</v>
      </c>
      <c r="H79" s="92"/>
      <c r="I79" s="153"/>
      <c r="J79" s="130">
        <v>3582.0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841.0</v>
      </c>
      <c r="G80" s="153"/>
      <c r="H80" s="170">
        <v>841.0</v>
      </c>
      <c r="I80" s="153"/>
      <c r="J80" s="130">
        <v>3583.0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520.0</v>
      </c>
      <c r="G81" s="153"/>
      <c r="H81" s="170">
        <v>520.0</v>
      </c>
      <c r="I81" s="153"/>
      <c r="J81" s="130">
        <v>3584.0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899.0</v>
      </c>
      <c r="G82" s="153"/>
      <c r="H82" s="170">
        <v>899.0</v>
      </c>
      <c r="I82" s="153"/>
      <c r="J82" s="130">
        <v>3585.0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2745.0</v>
      </c>
      <c r="G83" s="153"/>
      <c r="H83" s="170">
        <v>2765.0</v>
      </c>
      <c r="I83" s="153"/>
      <c r="J83" s="155" t="s">
        <v>117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104.0</v>
      </c>
      <c r="G84" s="152">
        <v>104.0</v>
      </c>
      <c r="H84" s="92"/>
      <c r="I84" s="153"/>
      <c r="J84" s="130">
        <v>3587.0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299.0</v>
      </c>
      <c r="G85" s="153"/>
      <c r="H85" s="170">
        <v>299.0</v>
      </c>
      <c r="I85" s="153"/>
      <c r="J85" s="130">
        <v>3588.0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58.0</v>
      </c>
      <c r="G86" s="153"/>
      <c r="H86" s="170">
        <v>58.0</v>
      </c>
      <c r="I86" s="153"/>
      <c r="J86" s="130">
        <v>3589.0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116.0</v>
      </c>
      <c r="G87" s="152">
        <v>116.0</v>
      </c>
      <c r="H87" s="92"/>
      <c r="I87" s="153"/>
      <c r="J87" s="130">
        <v>3590.0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747.0</v>
      </c>
      <c r="G88" s="153"/>
      <c r="H88" s="170">
        <v>747.0</v>
      </c>
      <c r="I88" s="153"/>
      <c r="J88" s="130">
        <v>3591.0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933.0</v>
      </c>
      <c r="G89" s="152">
        <v>933.0</v>
      </c>
      <c r="H89" s="92"/>
      <c r="I89" s="153"/>
      <c r="J89" s="130">
        <v>3592.0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175.0</v>
      </c>
      <c r="G90" s="152">
        <v>175.0</v>
      </c>
      <c r="H90" s="92"/>
      <c r="I90" s="153"/>
      <c r="J90" s="130">
        <v>3593.0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73.0</v>
      </c>
      <c r="G91" s="153"/>
      <c r="H91" s="170">
        <v>73.0</v>
      </c>
      <c r="I91" s="153"/>
      <c r="J91" s="130">
        <v>3594.0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3523.0</v>
      </c>
      <c r="G92" s="153"/>
      <c r="H92" s="170">
        <v>3523.0</v>
      </c>
      <c r="I92" s="153"/>
      <c r="J92" s="130" t="s">
        <v>118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600.0</v>
      </c>
      <c r="G93" s="153"/>
      <c r="H93" s="170">
        <v>600.0</v>
      </c>
      <c r="I93" s="153"/>
      <c r="J93" s="130">
        <v>3596.0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98.0</v>
      </c>
      <c r="G94" s="153"/>
      <c r="H94" s="170">
        <v>98.0</v>
      </c>
      <c r="I94" s="153"/>
      <c r="J94" s="130">
        <v>3597.0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33.0</v>
      </c>
      <c r="G95" s="152">
        <v>33.0</v>
      </c>
      <c r="H95" s="92"/>
      <c r="I95" s="153"/>
      <c r="J95" s="130">
        <v>3598.0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188.0</v>
      </c>
      <c r="G96" s="152">
        <v>188.0</v>
      </c>
      <c r="H96" s="92"/>
      <c r="I96" s="153"/>
      <c r="J96" s="130">
        <v>3599.0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100.0</v>
      </c>
      <c r="G97" s="152">
        <v>100.0</v>
      </c>
      <c r="H97" s="92"/>
      <c r="I97" s="153"/>
      <c r="J97" s="130">
        <v>3600.0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274.0</v>
      </c>
      <c r="G98" s="153"/>
      <c r="H98" s="170">
        <v>274.0</v>
      </c>
      <c r="I98" s="153"/>
      <c r="J98" s="130">
        <v>3601.0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602.0</v>
      </c>
      <c r="G99" s="153"/>
      <c r="H99" s="170">
        <v>602.0</v>
      </c>
      <c r="I99" s="153"/>
      <c r="J99" s="130">
        <v>3602.0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112.0</v>
      </c>
      <c r="G100" s="61"/>
      <c r="H100" s="170">
        <v>167.0</v>
      </c>
      <c r="I100" s="173"/>
      <c r="J100" s="155" t="s">
        <v>119</v>
      </c>
      <c r="K100" s="174"/>
      <c r="L100" s="175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403.0</v>
      </c>
      <c r="G101" s="153"/>
      <c r="H101" s="170">
        <v>403.0</v>
      </c>
      <c r="I101" s="153"/>
      <c r="J101" s="130">
        <v>3604.0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231.0</v>
      </c>
      <c r="G102" s="153"/>
      <c r="H102" s="170">
        <v>231.0</v>
      </c>
      <c r="I102" s="153"/>
      <c r="J102" s="130">
        <v>3605.0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687.0</v>
      </c>
      <c r="G103" s="153"/>
      <c r="H103" s="170">
        <v>822.0</v>
      </c>
      <c r="I103" s="153"/>
      <c r="J103" s="155" t="s">
        <v>120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533.0</v>
      </c>
      <c r="G104" s="153"/>
      <c r="H104" s="170">
        <v>533.0</v>
      </c>
      <c r="I104" s="153"/>
      <c r="J104" s="130">
        <v>3607.0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182.0</v>
      </c>
      <c r="G105" s="153"/>
      <c r="H105" s="170">
        <v>182.0</v>
      </c>
      <c r="I105" s="153"/>
      <c r="J105" s="130">
        <v>3608.0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250.0</v>
      </c>
      <c r="G106" s="153"/>
      <c r="H106" s="170">
        <v>250.0</v>
      </c>
      <c r="I106" s="153"/>
      <c r="J106" s="130">
        <v>3609.0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116.0</v>
      </c>
      <c r="G107" s="152">
        <v>116.0</v>
      </c>
      <c r="H107" s="93"/>
      <c r="I107" s="153"/>
      <c r="J107" s="130">
        <v>3610.0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180.0</v>
      </c>
      <c r="G108" s="153"/>
      <c r="H108" s="170">
        <v>180.0</v>
      </c>
      <c r="I108" s="153"/>
      <c r="J108" s="130">
        <v>3611.0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662.0</v>
      </c>
      <c r="G109" s="61"/>
      <c r="H109" s="170">
        <v>662.0</v>
      </c>
      <c r="I109" s="173"/>
      <c r="J109" s="155" t="s">
        <v>121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202.0</v>
      </c>
      <c r="G110" s="54">
        <v>202.0</v>
      </c>
      <c r="H110" s="92"/>
      <c r="I110" s="61"/>
      <c r="J110" s="130">
        <v>3613.0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54.0</v>
      </c>
      <c r="G111" s="54">
        <v>54.0</v>
      </c>
      <c r="H111" s="92"/>
      <c r="I111" s="61"/>
      <c r="J111" s="130">
        <v>3614.0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399.0</v>
      </c>
      <c r="G112" s="152">
        <v>399.0</v>
      </c>
      <c r="H112" s="92"/>
      <c r="I112" s="153"/>
      <c r="J112" s="130">
        <v>3615.0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363.0</v>
      </c>
      <c r="G113" s="153"/>
      <c r="H113" s="170">
        <v>363.0</v>
      </c>
      <c r="I113" s="153"/>
      <c r="J113" s="130">
        <v>3616.0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978.0</v>
      </c>
      <c r="G114" s="153"/>
      <c r="H114" s="170">
        <v>978.0</v>
      </c>
      <c r="I114" s="153"/>
      <c r="J114" s="130">
        <v>3617.0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800.0</v>
      </c>
      <c r="G115" s="152">
        <v>800.0</v>
      </c>
      <c r="H115" s="156"/>
      <c r="I115" s="153"/>
      <c r="J115" s="130">
        <v>3618.0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1521.0</v>
      </c>
      <c r="G116" s="153"/>
      <c r="H116" s="170">
        <v>1521.0</v>
      </c>
      <c r="I116" s="153"/>
      <c r="J116" s="130">
        <v>3619.0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1683.0</v>
      </c>
      <c r="G117" s="153"/>
      <c r="H117" s="170">
        <v>1683.0</v>
      </c>
      <c r="I117" s="153"/>
      <c r="J117" s="130">
        <v>3620.0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430.0</v>
      </c>
      <c r="G118" s="152">
        <v>430.0</v>
      </c>
      <c r="H118" s="92"/>
      <c r="I118" s="153"/>
      <c r="J118" s="130">
        <v>3621.0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1910.0</v>
      </c>
      <c r="G119" s="153"/>
      <c r="H119" s="170">
        <v>1910.0</v>
      </c>
      <c r="I119" s="153"/>
      <c r="J119" s="130">
        <v>3622.0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1581.0</v>
      </c>
      <c r="G120" s="152">
        <v>1581.0</v>
      </c>
      <c r="H120" s="92"/>
      <c r="I120" s="153"/>
      <c r="J120" s="130">
        <v>3623.0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798.0</v>
      </c>
      <c r="G121" s="152">
        <v>798.0</v>
      </c>
      <c r="H121" s="92"/>
      <c r="I121" s="153"/>
      <c r="J121" s="130">
        <v>3624.0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156.0</v>
      </c>
      <c r="G122" s="153"/>
      <c r="H122" s="170">
        <v>156.0</v>
      </c>
      <c r="I122" s="153"/>
      <c r="J122" s="130">
        <v>3625.0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98.0</v>
      </c>
      <c r="G123" s="152">
        <v>98.0</v>
      </c>
      <c r="H123" s="92"/>
      <c r="I123" s="153"/>
      <c r="J123" s="130">
        <v>3626.0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50.0</v>
      </c>
      <c r="G124" s="152">
        <v>50.0</v>
      </c>
      <c r="H124" s="92"/>
      <c r="I124" s="153"/>
      <c r="J124" s="130">
        <v>3627.0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1300.0</v>
      </c>
      <c r="G125" s="153"/>
      <c r="H125" s="170">
        <v>1300.0</v>
      </c>
      <c r="I125" s="153"/>
      <c r="J125" s="130">
        <v>3628.0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33.0</v>
      </c>
      <c r="G126" s="153"/>
      <c r="H126" s="170">
        <v>33.0</v>
      </c>
      <c r="I126" s="153"/>
      <c r="J126" s="130">
        <v>3629.0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138.0</v>
      </c>
      <c r="G127" s="152">
        <v>138.0</v>
      </c>
      <c r="H127" s="92"/>
      <c r="I127" s="153"/>
      <c r="J127" s="130">
        <v>3630.0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350.0</v>
      </c>
      <c r="G128" s="152">
        <v>350.0</v>
      </c>
      <c r="H128" s="92"/>
      <c r="I128" s="153"/>
      <c r="J128" s="130">
        <v>3631.0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76">
        <v>600.0</v>
      </c>
      <c r="G129" s="177"/>
      <c r="H129" s="93"/>
      <c r="I129" s="178"/>
      <c r="J129" s="168">
        <v>3632.0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21"/>
      <c r="G130" s="153"/>
      <c r="H130" s="92"/>
      <c r="I130" s="153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21"/>
      <c r="G131" s="61"/>
      <c r="H131" s="93">
        <v>1317.0</v>
      </c>
      <c r="I131" s="61"/>
      <c r="J131" s="130" t="s">
        <v>122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21"/>
      <c r="G132" s="61"/>
      <c r="H132" s="92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21"/>
      <c r="G133" s="61"/>
      <c r="H133" s="92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21"/>
      <c r="G134" s="61"/>
      <c r="H134" s="92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21"/>
      <c r="G135" s="61"/>
      <c r="H135" s="92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21"/>
      <c r="G136" s="61"/>
      <c r="H136" s="92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21"/>
      <c r="G137" s="61"/>
      <c r="H137" s="92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21"/>
      <c r="G138" s="61"/>
      <c r="H138" s="92"/>
      <c r="I138" s="61"/>
      <c r="J138" s="130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21"/>
      <c r="G139" s="61"/>
      <c r="H139" s="92"/>
      <c r="I139" s="61"/>
      <c r="J139" s="130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92"/>
      <c r="I140" s="61"/>
      <c r="J140" s="130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93"/>
      <c r="I141" s="61"/>
      <c r="J141" s="130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93"/>
      <c r="I142" s="61"/>
      <c r="J142" s="130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135">
        <v>1070.0</v>
      </c>
      <c r="I143" s="61"/>
      <c r="J143" s="179" t="s">
        <v>123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1"/>
      <c r="E145" s="122"/>
      <c r="F145" s="123">
        <f t="shared" ref="F145:I145" si="4">SUM(F10:F144)</f>
        <v>65705</v>
      </c>
      <c r="G145" s="123">
        <f t="shared" si="4"/>
        <v>21332</v>
      </c>
      <c r="H145" s="123">
        <f t="shared" si="4"/>
        <v>44410</v>
      </c>
      <c r="I145" s="123">
        <f t="shared" si="4"/>
        <v>6610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18"/>
      <c r="C146" s="118"/>
      <c r="D146" s="1"/>
      <c r="E146" s="124"/>
      <c r="F146" s="124"/>
      <c r="G146" s="124"/>
      <c r="H146" s="124"/>
      <c r="I146" s="12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18"/>
      <c r="C147" s="1"/>
      <c r="D147" s="1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26"/>
      <c r="H158" s="12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92722.0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658951.0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68242.0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F145-C15</f>
        <v>64502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G145-W33</f>
        <v>19039</v>
      </c>
      <c r="D10" s="24"/>
      <c r="E10" s="43">
        <v>1.0</v>
      </c>
      <c r="F10" s="44">
        <v>1270.0</v>
      </c>
      <c r="G10" s="45"/>
      <c r="H10" s="180">
        <v>1270.0</v>
      </c>
      <c r="I10" s="45"/>
      <c r="J10" s="130">
        <v>3513.0</v>
      </c>
      <c r="K10" s="24"/>
      <c r="L10" s="47">
        <v>1171.0</v>
      </c>
      <c r="M10" s="47"/>
      <c r="N10" s="47">
        <v>3435.0</v>
      </c>
      <c r="O10" s="49"/>
      <c r="P10" s="85" t="s">
        <v>100</v>
      </c>
      <c r="Q10" s="51"/>
      <c r="R10" s="52">
        <v>1026.0</v>
      </c>
      <c r="S10" s="53"/>
      <c r="T10" s="54"/>
      <c r="U10" s="55"/>
      <c r="V10" s="24"/>
      <c r="W10" s="47">
        <v>748.0</v>
      </c>
      <c r="X10" s="47"/>
      <c r="Y10" s="47">
        <v>30.0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H145-X33</f>
        <v>44183</v>
      </c>
      <c r="D11" s="24"/>
      <c r="E11" s="43">
        <v>2.0</v>
      </c>
      <c r="F11" s="56">
        <v>76.0</v>
      </c>
      <c r="G11" s="57"/>
      <c r="H11" s="181">
        <v>76.0</v>
      </c>
      <c r="I11" s="59"/>
      <c r="J11" s="130">
        <v>3514.0</v>
      </c>
      <c r="K11" s="24"/>
      <c r="L11" s="48"/>
      <c r="M11" s="47">
        <v>466.0</v>
      </c>
      <c r="N11" s="47" t="s">
        <v>101</v>
      </c>
      <c r="O11" s="49"/>
      <c r="P11" s="72" t="s">
        <v>102</v>
      </c>
      <c r="Q11" s="51"/>
      <c r="R11" s="52">
        <v>150.0</v>
      </c>
      <c r="S11" s="53"/>
      <c r="T11" s="61"/>
      <c r="U11" s="62"/>
      <c r="V11" s="24"/>
      <c r="W11" s="47">
        <v>96.0</v>
      </c>
      <c r="X11" s="47"/>
      <c r="Y11" s="47">
        <v>31.0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I145</f>
        <v>6610</v>
      </c>
      <c r="D12" s="24"/>
      <c r="E12" s="43">
        <v>3.0</v>
      </c>
      <c r="F12" s="63">
        <v>573.0</v>
      </c>
      <c r="G12" s="149">
        <v>573.0</v>
      </c>
      <c r="H12" s="149"/>
      <c r="I12" s="65"/>
      <c r="J12" s="130">
        <v>3515.0</v>
      </c>
      <c r="K12" s="24"/>
      <c r="L12" s="48"/>
      <c r="M12" s="47">
        <v>3630.0</v>
      </c>
      <c r="N12" s="47">
        <v>3507.0</v>
      </c>
      <c r="O12" s="49"/>
      <c r="P12" s="162" t="s">
        <v>103</v>
      </c>
      <c r="Q12" s="51"/>
      <c r="R12" s="163">
        <v>2938.0</v>
      </c>
      <c r="S12" s="52"/>
      <c r="T12" s="61"/>
      <c r="U12" s="62"/>
      <c r="V12" s="24"/>
      <c r="W12" s="47"/>
      <c r="X12" s="47">
        <v>149.0</v>
      </c>
      <c r="Y12" s="47">
        <v>32.0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1171</v>
      </c>
      <c r="D13" s="24"/>
      <c r="E13" s="43">
        <v>4.0</v>
      </c>
      <c r="F13" s="56">
        <v>11.0</v>
      </c>
      <c r="G13" s="149">
        <v>3.0</v>
      </c>
      <c r="H13" s="132">
        <v>8.0</v>
      </c>
      <c r="I13" s="65"/>
      <c r="J13" s="130">
        <v>3516.0</v>
      </c>
      <c r="K13" s="24"/>
      <c r="L13" s="48"/>
      <c r="M13" s="47">
        <v>4912.0</v>
      </c>
      <c r="N13" s="166" t="s">
        <v>104</v>
      </c>
      <c r="O13" s="49"/>
      <c r="P13" s="162" t="s">
        <v>105</v>
      </c>
      <c r="Q13" s="51"/>
      <c r="R13" s="163">
        <v>1434.0</v>
      </c>
      <c r="S13" s="52"/>
      <c r="T13" s="61"/>
      <c r="U13" s="62"/>
      <c r="V13" s="24"/>
      <c r="W13" s="47">
        <v>132.0</v>
      </c>
      <c r="X13" s="47"/>
      <c r="Y13" s="167">
        <v>33.0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9008</v>
      </c>
      <c r="D14" s="24"/>
      <c r="E14" s="43">
        <v>5.0</v>
      </c>
      <c r="F14" s="56">
        <v>45.0</v>
      </c>
      <c r="G14" s="149"/>
      <c r="H14" s="132">
        <v>45.0</v>
      </c>
      <c r="I14" s="65"/>
      <c r="J14" s="130">
        <v>3517.0</v>
      </c>
      <c r="K14" s="24"/>
      <c r="L14" s="48"/>
      <c r="M14" s="48"/>
      <c r="N14" s="48"/>
      <c r="O14" s="49"/>
      <c r="P14" s="72" t="s">
        <v>106</v>
      </c>
      <c r="Q14" s="51"/>
      <c r="R14" s="52">
        <v>16198.0</v>
      </c>
      <c r="S14" s="52"/>
      <c r="T14" s="61"/>
      <c r="U14" s="62"/>
      <c r="V14" s="24"/>
      <c r="W14" s="48"/>
      <c r="X14" s="47">
        <v>78.0</v>
      </c>
      <c r="Y14" s="166" t="s">
        <v>124</v>
      </c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1203</v>
      </c>
      <c r="D15" s="24"/>
      <c r="E15" s="43">
        <v>6.0</v>
      </c>
      <c r="F15" s="56">
        <v>22.0</v>
      </c>
      <c r="G15" s="149">
        <v>22.0</v>
      </c>
      <c r="H15" s="149"/>
      <c r="I15" s="65"/>
      <c r="J15" s="130">
        <v>3518.0</v>
      </c>
      <c r="K15" s="24"/>
      <c r="L15" s="48"/>
      <c r="M15" s="48"/>
      <c r="N15" s="48"/>
      <c r="O15" s="49"/>
      <c r="P15" s="72" t="s">
        <v>107</v>
      </c>
      <c r="Q15" s="51"/>
      <c r="R15" s="52">
        <v>13668.0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79935</v>
      </c>
      <c r="D16" s="24"/>
      <c r="E16" s="43">
        <v>7.0</v>
      </c>
      <c r="F16" s="56">
        <v>250.0</v>
      </c>
      <c r="G16" s="64">
        <v>250.0</v>
      </c>
      <c r="H16" s="64"/>
      <c r="I16" s="65"/>
      <c r="J16" s="130">
        <v>3519.0</v>
      </c>
      <c r="K16" s="24"/>
      <c r="L16" s="48"/>
      <c r="M16" s="48"/>
      <c r="N16" s="48"/>
      <c r="O16" s="49"/>
      <c r="P16" s="72" t="s">
        <v>108</v>
      </c>
      <c r="Q16" s="51"/>
      <c r="R16" s="52">
        <v>21885.0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79935</v>
      </c>
      <c r="D17" s="24"/>
      <c r="E17" s="43">
        <v>8.0</v>
      </c>
      <c r="F17" s="56">
        <v>42.0</v>
      </c>
      <c r="G17" s="64">
        <v>42.0</v>
      </c>
      <c r="H17" s="64"/>
      <c r="I17" s="65"/>
      <c r="J17" s="130">
        <v>3520.0</v>
      </c>
      <c r="K17" s="24"/>
      <c r="L17" s="48"/>
      <c r="M17" s="48"/>
      <c r="N17" s="48"/>
      <c r="O17" s="49"/>
      <c r="P17" s="72" t="s">
        <v>109</v>
      </c>
      <c r="Q17" s="51"/>
      <c r="R17" s="52">
        <v>22596.0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43.0</v>
      </c>
      <c r="G18" s="64">
        <v>43.0</v>
      </c>
      <c r="H18" s="64"/>
      <c r="I18" s="65"/>
      <c r="J18" s="130">
        <v>3521.0</v>
      </c>
      <c r="K18" s="24"/>
      <c r="L18" s="48"/>
      <c r="M18" s="48"/>
      <c r="N18" s="48"/>
      <c r="O18" s="49"/>
      <c r="P18" s="72" t="s">
        <v>110</v>
      </c>
      <c r="Q18" s="51"/>
      <c r="R18" s="52">
        <v>40.0</v>
      </c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306.0</v>
      </c>
      <c r="G19" s="64"/>
      <c r="H19" s="182">
        <v>306.0</v>
      </c>
      <c r="I19" s="65"/>
      <c r="J19" s="168" t="s">
        <v>111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64673</v>
      </c>
      <c r="D20" s="24"/>
      <c r="E20" s="43">
        <v>11.0</v>
      </c>
      <c r="F20" s="56">
        <v>1846.0</v>
      </c>
      <c r="G20" s="64">
        <v>1846.0</v>
      </c>
      <c r="H20" s="64"/>
      <c r="I20" s="65"/>
      <c r="J20" s="130">
        <v>3523.0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712142</v>
      </c>
      <c r="D21" s="24"/>
      <c r="E21" s="43">
        <v>12.0</v>
      </c>
      <c r="F21" s="56">
        <v>85.0</v>
      </c>
      <c r="G21" s="64">
        <v>85.0</v>
      </c>
      <c r="H21" s="64"/>
      <c r="I21" s="65"/>
      <c r="J21" s="130">
        <v>3524.0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32997</v>
      </c>
      <c r="D22" s="24"/>
      <c r="E22" s="43">
        <v>13.0</v>
      </c>
      <c r="F22" s="56">
        <v>85.0</v>
      </c>
      <c r="G22" s="64">
        <v>85.0</v>
      </c>
      <c r="H22" s="64"/>
      <c r="I22" s="65"/>
      <c r="J22" s="130">
        <v>3525.0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32509.0</v>
      </c>
      <c r="D23" s="24"/>
      <c r="E23" s="43">
        <v>14.0</v>
      </c>
      <c r="F23" s="56">
        <v>952.0</v>
      </c>
      <c r="G23" s="65"/>
      <c r="H23" s="182">
        <v>952.0</v>
      </c>
      <c r="I23" s="169"/>
      <c r="J23" s="155" t="s">
        <v>112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488</v>
      </c>
      <c r="D24" s="24"/>
      <c r="E24" s="43">
        <v>15.0</v>
      </c>
      <c r="F24" s="56">
        <v>120.0</v>
      </c>
      <c r="G24" s="64"/>
      <c r="H24" s="132">
        <v>120.0</v>
      </c>
      <c r="I24" s="65"/>
      <c r="J24" s="130">
        <v>3527.0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354.0</v>
      </c>
      <c r="G25" s="64">
        <v>354.0</v>
      </c>
      <c r="H25" s="65"/>
      <c r="I25" s="65"/>
      <c r="J25" s="130">
        <v>3528.0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F145</f>
        <v>65705</v>
      </c>
      <c r="D26" s="24"/>
      <c r="E26" s="43">
        <v>17.0</v>
      </c>
      <c r="F26" s="56">
        <v>1039.0</v>
      </c>
      <c r="G26" s="64"/>
      <c r="H26" s="182">
        <v>1465.0</v>
      </c>
      <c r="I26" s="65"/>
      <c r="J26" s="155" t="s">
        <v>113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117.0</v>
      </c>
      <c r="D27" s="24"/>
      <c r="E27" s="43">
        <v>18.0</v>
      </c>
      <c r="F27" s="56">
        <v>1274.0</v>
      </c>
      <c r="G27" s="64"/>
      <c r="H27" s="132">
        <v>1274.0</v>
      </c>
      <c r="I27" s="65"/>
      <c r="J27" s="130">
        <v>3530.0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561.5811966</v>
      </c>
      <c r="D28" s="24"/>
      <c r="E28" s="43">
        <v>19.0</v>
      </c>
      <c r="F28" s="56">
        <v>538.0</v>
      </c>
      <c r="G28" s="64"/>
      <c r="H28" s="183">
        <v>538.0</v>
      </c>
      <c r="I28" s="65"/>
      <c r="J28" s="130">
        <v>3531.0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204.0</v>
      </c>
      <c r="G29" s="64"/>
      <c r="H29" s="183">
        <v>204.0</v>
      </c>
      <c r="I29" s="65"/>
      <c r="J29" s="130">
        <v>3532.0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135.0</v>
      </c>
      <c r="G30" s="93">
        <v>135.0</v>
      </c>
      <c r="H30" s="92"/>
      <c r="I30" s="93"/>
      <c r="J30" s="130">
        <v>3533.0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138.0</v>
      </c>
      <c r="G31" s="152"/>
      <c r="H31" s="135">
        <v>138.0</v>
      </c>
      <c r="I31" s="153"/>
      <c r="J31" s="130">
        <v>3534.0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79935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387.0</v>
      </c>
      <c r="G32" s="152"/>
      <c r="H32" s="135">
        <v>387.0</v>
      </c>
      <c r="I32" s="153"/>
      <c r="J32" s="130">
        <v>3535.0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39.0</v>
      </c>
      <c r="G33" s="152">
        <v>39.0</v>
      </c>
      <c r="H33" s="153"/>
      <c r="I33" s="153"/>
      <c r="J33" s="130">
        <v>3536.0</v>
      </c>
      <c r="K33" s="24"/>
      <c r="L33" s="104">
        <f t="shared" ref="L33:M33" si="2">sum(L10:L32)</f>
        <v>1171</v>
      </c>
      <c r="M33" s="104">
        <f t="shared" si="2"/>
        <v>9008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976</v>
      </c>
      <c r="X33" s="104">
        <f t="shared" si="3"/>
        <v>227</v>
      </c>
      <c r="Y33" s="104">
        <f>W33+X33</f>
        <v>1203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299.0</v>
      </c>
      <c r="G34" s="152">
        <v>299.0</v>
      </c>
      <c r="H34" s="153"/>
      <c r="I34" s="153"/>
      <c r="J34" s="130">
        <v>3537.0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69.0</v>
      </c>
      <c r="G35" s="153"/>
      <c r="H35" s="135">
        <v>69.0</v>
      </c>
      <c r="I35" s="153"/>
      <c r="J35" s="130">
        <v>3538.0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95.0</v>
      </c>
      <c r="G36" s="152">
        <v>95.0</v>
      </c>
      <c r="H36" s="152"/>
      <c r="I36" s="153"/>
      <c r="J36" s="130">
        <v>3539.0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993.0</v>
      </c>
      <c r="G37" s="152"/>
      <c r="H37" s="135">
        <v>993.0</v>
      </c>
      <c r="I37" s="153"/>
      <c r="J37" s="130">
        <v>3540.0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66.0</v>
      </c>
      <c r="G38" s="152">
        <v>66.0</v>
      </c>
      <c r="H38" s="153"/>
      <c r="I38" s="153"/>
      <c r="J38" s="130">
        <v>3541.0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44.0</v>
      </c>
      <c r="G39" s="152"/>
      <c r="H39" s="135">
        <v>44.0</v>
      </c>
      <c r="I39" s="153"/>
      <c r="J39" s="130">
        <v>3542.0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417.0</v>
      </c>
      <c r="G40" s="153"/>
      <c r="H40" s="135">
        <v>417.0</v>
      </c>
      <c r="I40" s="153"/>
      <c r="J40" s="130">
        <v>3543.0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30.0</v>
      </c>
      <c r="G41" s="153"/>
      <c r="H41" s="135">
        <v>30.0</v>
      </c>
      <c r="I41" s="153"/>
      <c r="J41" s="130">
        <v>3544.0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1233.0</v>
      </c>
      <c r="G42" s="152">
        <v>1233.0</v>
      </c>
      <c r="H42" s="152"/>
      <c r="I42" s="153"/>
      <c r="J42" s="130">
        <v>3545.0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6610.0</v>
      </c>
      <c r="G43" s="152"/>
      <c r="H43" s="153"/>
      <c r="I43" s="152">
        <v>6610.0</v>
      </c>
      <c r="J43" s="130">
        <v>3546.0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253.0</v>
      </c>
      <c r="G44" s="152">
        <v>253.0</v>
      </c>
      <c r="H44" s="152"/>
      <c r="I44" s="153"/>
      <c r="J44" s="130">
        <v>3547.0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755.0</v>
      </c>
      <c r="G45" s="152"/>
      <c r="H45" s="135">
        <v>755.0</v>
      </c>
      <c r="I45" s="153"/>
      <c r="J45" s="130">
        <v>3548.0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40.0</v>
      </c>
      <c r="G46" s="152"/>
      <c r="H46" s="135">
        <v>40.0</v>
      </c>
      <c r="I46" s="153"/>
      <c r="J46" s="130">
        <v>3549.0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1279.0</v>
      </c>
      <c r="G47" s="153"/>
      <c r="H47" s="135">
        <v>1279.0</v>
      </c>
      <c r="I47" s="153"/>
      <c r="J47" s="130">
        <v>3550.0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115.0</v>
      </c>
      <c r="G48" s="153"/>
      <c r="H48" s="135">
        <v>115.0</v>
      </c>
      <c r="I48" s="153"/>
      <c r="J48" s="130">
        <v>3551.0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520.0</v>
      </c>
      <c r="G49" s="152">
        <v>520.0</v>
      </c>
      <c r="H49" s="153"/>
      <c r="I49" s="153"/>
      <c r="J49" s="130">
        <v>3552.0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128.0</v>
      </c>
      <c r="G50" s="152">
        <v>128.0</v>
      </c>
      <c r="H50" s="152"/>
      <c r="I50" s="153"/>
      <c r="J50" s="130">
        <v>3553.0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413.0</v>
      </c>
      <c r="G51" s="152">
        <v>413.0</v>
      </c>
      <c r="H51" s="153"/>
      <c r="I51" s="153"/>
      <c r="J51" s="130">
        <v>3554.0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2241.0</v>
      </c>
      <c r="G52" s="152">
        <v>2241.0</v>
      </c>
      <c r="H52" s="153"/>
      <c r="I52" s="153"/>
      <c r="J52" s="130">
        <v>3555.0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880.0</v>
      </c>
      <c r="G53" s="152">
        <v>880.0</v>
      </c>
      <c r="H53" s="153"/>
      <c r="I53" s="153"/>
      <c r="J53" s="130">
        <v>3556.0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559.0</v>
      </c>
      <c r="G54" s="153"/>
      <c r="H54" s="135">
        <v>559.0</v>
      </c>
      <c r="I54" s="153"/>
      <c r="J54" s="130">
        <v>3557.0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9.0</v>
      </c>
      <c r="G55" s="152">
        <v>9.0</v>
      </c>
      <c r="H55" s="153"/>
      <c r="I55" s="153"/>
      <c r="J55" s="130">
        <v>3558.0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9.0</v>
      </c>
      <c r="G56" s="152">
        <v>9.0</v>
      </c>
      <c r="H56" s="153"/>
      <c r="I56" s="153"/>
      <c r="J56" s="130">
        <v>3559.0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90.0</v>
      </c>
      <c r="G57" s="153"/>
      <c r="H57" s="135">
        <v>90.0</v>
      </c>
      <c r="I57" s="153"/>
      <c r="J57" s="130">
        <v>3560.0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513.0</v>
      </c>
      <c r="G58" s="153"/>
      <c r="H58" s="135">
        <v>513.0</v>
      </c>
      <c r="I58" s="153"/>
      <c r="J58" s="130">
        <v>3561.0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808.0</v>
      </c>
      <c r="G59" s="152">
        <v>808.0</v>
      </c>
      <c r="H59" s="153"/>
      <c r="I59" s="153"/>
      <c r="J59" s="130">
        <v>3562.0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248.0</v>
      </c>
      <c r="G60" s="153"/>
      <c r="H60" s="135">
        <v>248.0</v>
      </c>
      <c r="I60" s="153"/>
      <c r="J60" s="130">
        <v>3563.0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904.0</v>
      </c>
      <c r="G61" s="152">
        <v>904.0</v>
      </c>
      <c r="H61" s="153"/>
      <c r="I61" s="153"/>
      <c r="J61" s="130">
        <v>3564.0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569.0</v>
      </c>
      <c r="G62" s="153"/>
      <c r="H62" s="135">
        <v>569.0</v>
      </c>
      <c r="I62" s="153"/>
      <c r="J62" s="130">
        <v>3565.0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55.0</v>
      </c>
      <c r="G63" s="153"/>
      <c r="H63" s="135">
        <v>55.0</v>
      </c>
      <c r="I63" s="153"/>
      <c r="J63" s="130">
        <v>3566.0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402.0</v>
      </c>
      <c r="G64" s="153"/>
      <c r="H64" s="135">
        <v>402.0</v>
      </c>
      <c r="I64" s="153"/>
      <c r="J64" s="130">
        <v>3567.0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380.0</v>
      </c>
      <c r="G65" s="152">
        <v>380.0</v>
      </c>
      <c r="H65" s="153"/>
      <c r="I65" s="153"/>
      <c r="J65" s="130">
        <v>3568.0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7.0</v>
      </c>
      <c r="G66" s="152">
        <v>7.0</v>
      </c>
      <c r="H66" s="153"/>
      <c r="I66" s="153"/>
      <c r="J66" s="130">
        <v>3569.0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84.0</v>
      </c>
      <c r="G67" s="152">
        <v>84.0</v>
      </c>
      <c r="H67" s="153"/>
      <c r="I67" s="153"/>
      <c r="J67" s="130">
        <v>3570.0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572.0</v>
      </c>
      <c r="G68" s="152">
        <v>572.0</v>
      </c>
      <c r="H68" s="153"/>
      <c r="I68" s="153"/>
      <c r="J68" s="130">
        <v>3571.0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358.0</v>
      </c>
      <c r="G69" s="152">
        <v>358.0</v>
      </c>
      <c r="H69" s="153"/>
      <c r="I69" s="153"/>
      <c r="J69" s="130">
        <v>3572.0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18.0</v>
      </c>
      <c r="G70" s="153"/>
      <c r="H70" s="135">
        <v>18.0</v>
      </c>
      <c r="I70" s="153"/>
      <c r="J70" s="130">
        <v>3573.0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28.0</v>
      </c>
      <c r="G71" s="153"/>
      <c r="H71" s="135">
        <v>28.0</v>
      </c>
      <c r="I71" s="153"/>
      <c r="J71" s="130">
        <v>3574.0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1413.0</v>
      </c>
      <c r="G72" s="152">
        <v>96.0</v>
      </c>
      <c r="H72" s="184">
        <v>1317.0</v>
      </c>
      <c r="I72" s="171"/>
      <c r="J72" s="172" t="s">
        <v>114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95.0</v>
      </c>
      <c r="G73" s="152">
        <v>95.0</v>
      </c>
      <c r="H73" s="153"/>
      <c r="I73" s="153"/>
      <c r="J73" s="130">
        <v>3576.0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399.0</v>
      </c>
      <c r="G74" s="153"/>
      <c r="H74" s="152">
        <v>4623.0</v>
      </c>
      <c r="I74" s="153"/>
      <c r="J74" s="145" t="s">
        <v>115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647.0</v>
      </c>
      <c r="G75" s="153"/>
      <c r="H75" s="135">
        <v>647.0</v>
      </c>
      <c r="I75" s="153"/>
      <c r="J75" s="130">
        <v>3578.0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669.0</v>
      </c>
      <c r="G76" s="153"/>
      <c r="H76" s="136">
        <v>669.0</v>
      </c>
      <c r="I76" s="153"/>
      <c r="J76" s="155" t="s">
        <v>116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404.0</v>
      </c>
      <c r="G77" s="153"/>
      <c r="H77" s="135">
        <v>404.0</v>
      </c>
      <c r="I77" s="153"/>
      <c r="J77" s="130">
        <v>3580.0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387.0</v>
      </c>
      <c r="G78" s="152">
        <v>387.0</v>
      </c>
      <c r="H78" s="153"/>
      <c r="I78" s="153"/>
      <c r="J78" s="130">
        <v>3581.0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36.0</v>
      </c>
      <c r="G79" s="152">
        <v>36.0</v>
      </c>
      <c r="H79" s="153"/>
      <c r="I79" s="153"/>
      <c r="J79" s="130">
        <v>3582.0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841.0</v>
      </c>
      <c r="G80" s="153"/>
      <c r="H80" s="135">
        <v>841.0</v>
      </c>
      <c r="I80" s="153"/>
      <c r="J80" s="130">
        <v>3583.0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520.0</v>
      </c>
      <c r="G81" s="153"/>
      <c r="H81" s="135">
        <v>520.0</v>
      </c>
      <c r="I81" s="153"/>
      <c r="J81" s="130">
        <v>3584.0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899.0</v>
      </c>
      <c r="G82" s="153"/>
      <c r="H82" s="135">
        <v>899.0</v>
      </c>
      <c r="I82" s="153"/>
      <c r="J82" s="130">
        <v>3585.0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2745.0</v>
      </c>
      <c r="G83" s="153"/>
      <c r="H83" s="136">
        <v>2765.0</v>
      </c>
      <c r="I83" s="153"/>
      <c r="J83" s="155" t="s">
        <v>117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104.0</v>
      </c>
      <c r="G84" s="152">
        <v>104.0</v>
      </c>
      <c r="H84" s="153"/>
      <c r="I84" s="153"/>
      <c r="J84" s="130">
        <v>3587.0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299.0</v>
      </c>
      <c r="G85" s="153"/>
      <c r="H85" s="135">
        <v>299.0</v>
      </c>
      <c r="I85" s="153"/>
      <c r="J85" s="130">
        <v>3588.0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58.0</v>
      </c>
      <c r="G86" s="153"/>
      <c r="H86" s="135">
        <v>58.0</v>
      </c>
      <c r="I86" s="153"/>
      <c r="J86" s="130">
        <v>3589.0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116.0</v>
      </c>
      <c r="G87" s="152">
        <v>116.0</v>
      </c>
      <c r="H87" s="153"/>
      <c r="I87" s="153"/>
      <c r="J87" s="130">
        <v>3590.0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747.0</v>
      </c>
      <c r="G88" s="153"/>
      <c r="H88" s="135">
        <v>747.0</v>
      </c>
      <c r="I88" s="153"/>
      <c r="J88" s="130">
        <v>3591.0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933.0</v>
      </c>
      <c r="G89" s="152">
        <v>933.0</v>
      </c>
      <c r="H89" s="153"/>
      <c r="I89" s="153"/>
      <c r="J89" s="130">
        <v>3592.0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175.0</v>
      </c>
      <c r="G90" s="152">
        <v>175.0</v>
      </c>
      <c r="H90" s="153"/>
      <c r="I90" s="153"/>
      <c r="J90" s="130">
        <v>3593.0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73.0</v>
      </c>
      <c r="G91" s="153"/>
      <c r="H91" s="135">
        <v>73.0</v>
      </c>
      <c r="I91" s="153"/>
      <c r="J91" s="130">
        <v>3594.0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3523.0</v>
      </c>
      <c r="G92" s="153"/>
      <c r="H92" s="136">
        <v>3523.0</v>
      </c>
      <c r="I92" s="153"/>
      <c r="J92" s="130" t="s">
        <v>118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600.0</v>
      </c>
      <c r="G93" s="153"/>
      <c r="H93" s="135">
        <v>600.0</v>
      </c>
      <c r="I93" s="153"/>
      <c r="J93" s="130">
        <v>3596.0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98.0</v>
      </c>
      <c r="G94" s="153"/>
      <c r="H94" s="135">
        <v>98.0</v>
      </c>
      <c r="I94" s="153"/>
      <c r="J94" s="130">
        <v>3597.0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33.0</v>
      </c>
      <c r="G95" s="152">
        <v>33.0</v>
      </c>
      <c r="H95" s="153"/>
      <c r="I95" s="153"/>
      <c r="J95" s="130">
        <v>3598.0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188.0</v>
      </c>
      <c r="G96" s="152">
        <v>188.0</v>
      </c>
      <c r="H96" s="153"/>
      <c r="I96" s="153"/>
      <c r="J96" s="130">
        <v>3599.0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100.0</v>
      </c>
      <c r="G97" s="152">
        <v>100.0</v>
      </c>
      <c r="H97" s="153"/>
      <c r="I97" s="153"/>
      <c r="J97" s="130">
        <v>3600.0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274.0</v>
      </c>
      <c r="G98" s="153"/>
      <c r="H98" s="135">
        <v>274.0</v>
      </c>
      <c r="I98" s="153"/>
      <c r="J98" s="130">
        <v>3601.0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602.0</v>
      </c>
      <c r="G99" s="153"/>
      <c r="H99" s="135">
        <v>602.0</v>
      </c>
      <c r="I99" s="153"/>
      <c r="J99" s="130">
        <v>3602.0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112.0</v>
      </c>
      <c r="G100" s="61"/>
      <c r="H100" s="136">
        <v>167.0</v>
      </c>
      <c r="I100" s="173"/>
      <c r="J100" s="155" t="s">
        <v>119</v>
      </c>
      <c r="K100" s="174"/>
      <c r="L100" s="175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403.0</v>
      </c>
      <c r="G101" s="153"/>
      <c r="H101" s="135">
        <v>403.0</v>
      </c>
      <c r="I101" s="153"/>
      <c r="J101" s="130">
        <v>3604.0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231.0</v>
      </c>
      <c r="G102" s="153"/>
      <c r="H102" s="135">
        <v>231.0</v>
      </c>
      <c r="I102" s="153"/>
      <c r="J102" s="130">
        <v>3605.0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687.0</v>
      </c>
      <c r="G103" s="153"/>
      <c r="H103" s="136">
        <v>822.0</v>
      </c>
      <c r="I103" s="153"/>
      <c r="J103" s="155" t="s">
        <v>120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533.0</v>
      </c>
      <c r="G104" s="153"/>
      <c r="H104" s="135">
        <v>533.0</v>
      </c>
      <c r="I104" s="153"/>
      <c r="J104" s="130">
        <v>3607.0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182.0</v>
      </c>
      <c r="G105" s="153"/>
      <c r="H105" s="135">
        <v>182.0</v>
      </c>
      <c r="I105" s="153"/>
      <c r="J105" s="130">
        <v>3608.0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250.0</v>
      </c>
      <c r="G106" s="153"/>
      <c r="H106" s="135">
        <v>250.0</v>
      </c>
      <c r="I106" s="153"/>
      <c r="J106" s="130">
        <v>3609.0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116.0</v>
      </c>
      <c r="G107" s="152">
        <v>116.0</v>
      </c>
      <c r="H107" s="152"/>
      <c r="I107" s="153"/>
      <c r="J107" s="130">
        <v>3610.0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180.0</v>
      </c>
      <c r="G108" s="153"/>
      <c r="H108" s="135">
        <v>180.0</v>
      </c>
      <c r="I108" s="153"/>
      <c r="J108" s="130">
        <v>3611.0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662.0</v>
      </c>
      <c r="G109" s="61"/>
      <c r="H109" s="136">
        <v>662.0</v>
      </c>
      <c r="I109" s="173"/>
      <c r="J109" s="155" t="s">
        <v>121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202.0</v>
      </c>
      <c r="G110" s="54">
        <v>202.0</v>
      </c>
      <c r="H110" s="61"/>
      <c r="I110" s="61"/>
      <c r="J110" s="130">
        <v>3613.0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54.0</v>
      </c>
      <c r="G111" s="54">
        <v>54.0</v>
      </c>
      <c r="H111" s="61"/>
      <c r="I111" s="61"/>
      <c r="J111" s="130">
        <v>3614.0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399.0</v>
      </c>
      <c r="G112" s="152">
        <v>399.0</v>
      </c>
      <c r="H112" s="153"/>
      <c r="I112" s="153"/>
      <c r="J112" s="130">
        <v>3615.0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363.0</v>
      </c>
      <c r="G113" s="153"/>
      <c r="H113" s="135">
        <v>363.0</v>
      </c>
      <c r="I113" s="153"/>
      <c r="J113" s="130">
        <v>3616.0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978.0</v>
      </c>
      <c r="G114" s="153"/>
      <c r="H114" s="135">
        <v>978.0</v>
      </c>
      <c r="I114" s="153"/>
      <c r="J114" s="130">
        <v>3617.0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800.0</v>
      </c>
      <c r="G115" s="152">
        <v>800.0</v>
      </c>
      <c r="H115" s="153"/>
      <c r="I115" s="153"/>
      <c r="J115" s="130">
        <v>3618.0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1521.0</v>
      </c>
      <c r="G116" s="153"/>
      <c r="H116" s="135">
        <v>1521.0</v>
      </c>
      <c r="I116" s="153"/>
      <c r="J116" s="130">
        <v>3619.0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1683.0</v>
      </c>
      <c r="G117" s="153"/>
      <c r="H117" s="135">
        <v>1683.0</v>
      </c>
      <c r="I117" s="153"/>
      <c r="J117" s="130">
        <v>3620.0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430.0</v>
      </c>
      <c r="G118" s="152">
        <v>430.0</v>
      </c>
      <c r="H118" s="153"/>
      <c r="I118" s="153"/>
      <c r="J118" s="130">
        <v>3621.0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1910.0</v>
      </c>
      <c r="G119" s="153"/>
      <c r="H119" s="135">
        <v>1910.0</v>
      </c>
      <c r="I119" s="153"/>
      <c r="J119" s="130">
        <v>3622.0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1581.0</v>
      </c>
      <c r="G120" s="152">
        <v>1581.0</v>
      </c>
      <c r="H120" s="153"/>
      <c r="I120" s="153"/>
      <c r="J120" s="130">
        <v>3623.0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798.0</v>
      </c>
      <c r="G121" s="152">
        <v>798.0</v>
      </c>
      <c r="H121" s="153"/>
      <c r="I121" s="153"/>
      <c r="J121" s="130">
        <v>3624.0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156.0</v>
      </c>
      <c r="G122" s="153"/>
      <c r="H122" s="135">
        <v>156.0</v>
      </c>
      <c r="I122" s="153"/>
      <c r="J122" s="130">
        <v>3625.0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98.0</v>
      </c>
      <c r="G123" s="152">
        <v>98.0</v>
      </c>
      <c r="H123" s="153"/>
      <c r="I123" s="153"/>
      <c r="J123" s="130">
        <v>3626.0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50.0</v>
      </c>
      <c r="G124" s="152">
        <v>50.0</v>
      </c>
      <c r="H124" s="153"/>
      <c r="I124" s="153"/>
      <c r="J124" s="130">
        <v>3627.0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1300.0</v>
      </c>
      <c r="G125" s="153"/>
      <c r="H125" s="135">
        <v>1300.0</v>
      </c>
      <c r="I125" s="153"/>
      <c r="J125" s="130">
        <v>3628.0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33.0</v>
      </c>
      <c r="G126" s="153"/>
      <c r="H126" s="135">
        <v>33.0</v>
      </c>
      <c r="I126" s="153"/>
      <c r="J126" s="130">
        <v>3629.0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138.0</v>
      </c>
      <c r="G127" s="152">
        <v>138.0</v>
      </c>
      <c r="H127" s="153"/>
      <c r="I127" s="153"/>
      <c r="J127" s="130">
        <v>3630.0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350.0</v>
      </c>
      <c r="G128" s="152">
        <v>350.0</v>
      </c>
      <c r="H128" s="153"/>
      <c r="I128" s="153"/>
      <c r="J128" s="130">
        <v>3631.0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76">
        <v>600.0</v>
      </c>
      <c r="G129" s="178"/>
      <c r="H129" s="178"/>
      <c r="I129" s="178"/>
      <c r="J129" s="168">
        <v>3632.0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21"/>
      <c r="G130" s="153"/>
      <c r="H130" s="153"/>
      <c r="I130" s="153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21"/>
      <c r="G131" s="61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21"/>
      <c r="G132" s="61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21"/>
      <c r="G133" s="61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21"/>
      <c r="G134" s="61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21"/>
      <c r="G135" s="61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21"/>
      <c r="G136" s="61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21"/>
      <c r="G137" s="61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21"/>
      <c r="G138" s="61"/>
      <c r="H138" s="61"/>
      <c r="I138" s="61"/>
      <c r="J138" s="130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21"/>
      <c r="G139" s="61"/>
      <c r="H139" s="61"/>
      <c r="I139" s="61"/>
      <c r="J139" s="130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61"/>
      <c r="I140" s="61"/>
      <c r="J140" s="130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54"/>
      <c r="I141" s="61"/>
      <c r="J141" s="130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54"/>
      <c r="I142" s="61"/>
      <c r="J142" s="130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185">
        <v>1070.0</v>
      </c>
      <c r="I143" s="61"/>
      <c r="J143" s="179" t="s">
        <v>123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1"/>
      <c r="E145" s="122"/>
      <c r="F145" s="123">
        <f t="shared" ref="F145:I145" si="4">SUM(F10:F144)</f>
        <v>65705</v>
      </c>
      <c r="G145" s="123">
        <f t="shared" si="4"/>
        <v>20015</v>
      </c>
      <c r="H145" s="123">
        <f t="shared" si="4"/>
        <v>44410</v>
      </c>
      <c r="I145" s="123">
        <f t="shared" si="4"/>
        <v>6610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18"/>
      <c r="C146" s="118"/>
      <c r="D146" s="1"/>
      <c r="E146" s="124"/>
      <c r="F146" s="124"/>
      <c r="G146" s="124"/>
      <c r="H146" s="124"/>
      <c r="I146" s="12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18"/>
      <c r="C147" s="1"/>
      <c r="D147" s="1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26"/>
      <c r="H158" s="12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27932.0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53340.0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64427.0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F150-C15</f>
        <v>57185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G150-W33</f>
        <v>21665</v>
      </c>
      <c r="D10" s="24"/>
      <c r="E10" s="43"/>
      <c r="F10" s="186"/>
      <c r="G10" s="187"/>
      <c r="H10" s="187">
        <v>600.0</v>
      </c>
      <c r="I10" s="187"/>
      <c r="J10" s="168">
        <v>3632.0</v>
      </c>
      <c r="K10" s="24"/>
      <c r="L10" s="47"/>
      <c r="M10" s="47">
        <v>1084.0</v>
      </c>
      <c r="N10" s="47">
        <v>3477.0</v>
      </c>
      <c r="O10" s="49"/>
      <c r="P10" s="85" t="s">
        <v>125</v>
      </c>
      <c r="Q10" s="51"/>
      <c r="R10" s="52">
        <v>100.0</v>
      </c>
      <c r="S10" s="53"/>
      <c r="T10" s="54"/>
      <c r="U10" s="55"/>
      <c r="V10" s="24"/>
      <c r="W10" s="47"/>
      <c r="X10" s="47"/>
      <c r="Y10" s="166" t="s">
        <v>124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H150-X33</f>
        <v>35589</v>
      </c>
      <c r="D11" s="24"/>
      <c r="E11" s="43">
        <v>2.0</v>
      </c>
      <c r="F11" s="56">
        <v>570.0</v>
      </c>
      <c r="G11" s="57">
        <v>500.0</v>
      </c>
      <c r="H11" s="188">
        <v>70.0</v>
      </c>
      <c r="I11" s="59"/>
      <c r="J11" s="130">
        <v>3633.0</v>
      </c>
      <c r="K11" s="24"/>
      <c r="L11" s="47">
        <v>4267.0</v>
      </c>
      <c r="M11" s="48"/>
      <c r="N11" s="47">
        <v>3461.0</v>
      </c>
      <c r="O11" s="49"/>
      <c r="P11" s="72" t="s">
        <v>126</v>
      </c>
      <c r="Q11" s="51"/>
      <c r="R11" s="52">
        <v>13027.0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I150</f>
        <v>978</v>
      </c>
      <c r="D12" s="24"/>
      <c r="E12" s="43">
        <v>3.0</v>
      </c>
      <c r="F12" s="63">
        <v>125.0</v>
      </c>
      <c r="G12" s="64">
        <v>125.0</v>
      </c>
      <c r="H12" s="64"/>
      <c r="I12" s="64"/>
      <c r="J12" s="130">
        <v>3634.0</v>
      </c>
      <c r="K12" s="24"/>
      <c r="L12" s="47">
        <v>12922.0</v>
      </c>
      <c r="M12" s="48"/>
      <c r="N12" s="47">
        <v>3462.0</v>
      </c>
      <c r="O12" s="49"/>
      <c r="P12" s="72" t="s">
        <v>127</v>
      </c>
      <c r="Q12" s="51"/>
      <c r="R12" s="52">
        <v>9561.0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21044</v>
      </c>
      <c r="D13" s="24"/>
      <c r="E13" s="43">
        <v>4.0</v>
      </c>
      <c r="F13" s="56">
        <v>181.0</v>
      </c>
      <c r="G13" s="64"/>
      <c r="H13" s="189">
        <v>181.0</v>
      </c>
      <c r="I13" s="65"/>
      <c r="J13" s="130">
        <v>3635.0</v>
      </c>
      <c r="K13" s="24"/>
      <c r="L13" s="47">
        <v>3855.0</v>
      </c>
      <c r="M13" s="48"/>
      <c r="N13" s="47">
        <v>3463.0</v>
      </c>
      <c r="O13" s="49"/>
      <c r="P13" s="72" t="s">
        <v>128</v>
      </c>
      <c r="Q13" s="51"/>
      <c r="R13" s="52">
        <v>3003.0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1772</v>
      </c>
      <c r="D14" s="24"/>
      <c r="E14" s="43">
        <v>5.0</v>
      </c>
      <c r="F14" s="56">
        <v>37.0</v>
      </c>
      <c r="G14" s="64">
        <v>37.0</v>
      </c>
      <c r="H14" s="65"/>
      <c r="I14" s="65"/>
      <c r="J14" s="130">
        <v>3636.0</v>
      </c>
      <c r="K14" s="24"/>
      <c r="L14" s="48"/>
      <c r="M14" s="47">
        <v>41.0</v>
      </c>
      <c r="N14" s="47">
        <v>1844.0</v>
      </c>
      <c r="O14" s="49"/>
      <c r="P14" s="72" t="s">
        <v>129</v>
      </c>
      <c r="Q14" s="51"/>
      <c r="R14" s="52">
        <v>652.0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5.0</v>
      </c>
      <c r="G15" s="64"/>
      <c r="H15" s="189">
        <v>5.0</v>
      </c>
      <c r="I15" s="65"/>
      <c r="J15" s="130">
        <v>3637.0</v>
      </c>
      <c r="K15" s="24"/>
      <c r="L15" s="48"/>
      <c r="M15" s="47">
        <v>647.0</v>
      </c>
      <c r="N15" s="47">
        <v>2912.0</v>
      </c>
      <c r="O15" s="49"/>
      <c r="P15" s="72" t="s">
        <v>85</v>
      </c>
      <c r="Q15" s="51"/>
      <c r="R15" s="52">
        <v>70.0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26713</v>
      </c>
      <c r="D16" s="24"/>
      <c r="E16" s="43">
        <v>7.0</v>
      </c>
      <c r="F16" s="56">
        <v>252.0</v>
      </c>
      <c r="G16" s="64"/>
      <c r="H16" s="189">
        <v>252.0</v>
      </c>
      <c r="I16" s="65"/>
      <c r="J16" s="130">
        <v>3638.0</v>
      </c>
      <c r="K16" s="24"/>
      <c r="L16" s="48"/>
      <c r="M16" s="48"/>
      <c r="N16" s="48"/>
      <c r="O16" s="49"/>
      <c r="P16" s="72" t="s">
        <v>48</v>
      </c>
      <c r="Q16" s="51"/>
      <c r="R16" s="52">
        <v>300.0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26713</v>
      </c>
      <c r="D17" s="24"/>
      <c r="E17" s="43">
        <v>8.0</v>
      </c>
      <c r="F17" s="56">
        <v>586.0</v>
      </c>
      <c r="G17" s="64">
        <v>586.0</v>
      </c>
      <c r="H17" s="64"/>
      <c r="I17" s="65"/>
      <c r="J17" s="130">
        <v>3639.0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143.0</v>
      </c>
      <c r="G18" s="64">
        <v>143.0</v>
      </c>
      <c r="H18" s="64"/>
      <c r="I18" s="65"/>
      <c r="J18" s="130">
        <v>3640.0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255.0</v>
      </c>
      <c r="G19" s="64"/>
      <c r="H19" s="189">
        <v>390.0</v>
      </c>
      <c r="I19" s="65"/>
      <c r="J19" s="130" t="s">
        <v>130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42589</v>
      </c>
      <c r="D20" s="24"/>
      <c r="E20" s="43">
        <v>11.0</v>
      </c>
      <c r="F20" s="56">
        <v>174.0</v>
      </c>
      <c r="G20" s="65"/>
      <c r="H20" s="189">
        <v>174.0</v>
      </c>
      <c r="I20" s="65"/>
      <c r="J20" s="130">
        <v>3642.0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37361</v>
      </c>
      <c r="D21" s="24"/>
      <c r="E21" s="43">
        <v>12.0</v>
      </c>
      <c r="F21" s="56">
        <v>25.0</v>
      </c>
      <c r="G21" s="65"/>
      <c r="H21" s="189">
        <v>25.0</v>
      </c>
      <c r="I21" s="65"/>
      <c r="J21" s="130">
        <v>3643.0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43928</v>
      </c>
      <c r="D22" s="24"/>
      <c r="E22" s="43">
        <v>13.0</v>
      </c>
      <c r="F22" s="56">
        <v>766.0</v>
      </c>
      <c r="G22" s="64"/>
      <c r="H22" s="189">
        <v>766.0</v>
      </c>
      <c r="I22" s="65"/>
      <c r="J22" s="130">
        <v>3644.0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48505.0</v>
      </c>
      <c r="D23" s="24"/>
      <c r="E23" s="43">
        <v>14.0</v>
      </c>
      <c r="F23" s="56">
        <v>145.0</v>
      </c>
      <c r="G23" s="64">
        <v>145.0</v>
      </c>
      <c r="H23" s="65"/>
      <c r="I23" s="65"/>
      <c r="J23" s="130">
        <v>3645.0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-4577</v>
      </c>
      <c r="D24" s="24"/>
      <c r="E24" s="43">
        <v>15.0</v>
      </c>
      <c r="F24" s="56">
        <v>610.0</v>
      </c>
      <c r="G24" s="64">
        <v>600.0</v>
      </c>
      <c r="H24" s="189">
        <v>10.0</v>
      </c>
      <c r="I24" s="65"/>
      <c r="J24" s="130">
        <v>3646.0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455.0</v>
      </c>
      <c r="G25" s="64"/>
      <c r="H25" s="189">
        <v>455.0</v>
      </c>
      <c r="I25" s="65"/>
      <c r="J25" s="130">
        <v>3647.0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F150</f>
        <v>57185</v>
      </c>
      <c r="D26" s="24"/>
      <c r="E26" s="43">
        <v>17.0</v>
      </c>
      <c r="F26" s="56">
        <v>75.0</v>
      </c>
      <c r="G26" s="64"/>
      <c r="H26" s="189">
        <v>75.0</v>
      </c>
      <c r="I26" s="65"/>
      <c r="J26" s="130">
        <v>3648.0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117.0</v>
      </c>
      <c r="D27" s="24"/>
      <c r="E27" s="43">
        <v>18.0</v>
      </c>
      <c r="F27" s="56">
        <v>341.0</v>
      </c>
      <c r="G27" s="64">
        <v>341.0</v>
      </c>
      <c r="H27" s="65"/>
      <c r="I27" s="65"/>
      <c r="J27" s="130">
        <v>3649.0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488.7606838</v>
      </c>
      <c r="D28" s="24"/>
      <c r="E28" s="43">
        <v>19.0</v>
      </c>
      <c r="F28" s="56">
        <v>1220.0</v>
      </c>
      <c r="G28" s="64"/>
      <c r="H28" s="182">
        <v>1220.0</v>
      </c>
      <c r="I28" s="182"/>
      <c r="J28" s="155" t="s">
        <v>131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72.0</v>
      </c>
      <c r="G29" s="64"/>
      <c r="H29" s="189">
        <v>72.0</v>
      </c>
      <c r="I29" s="65"/>
      <c r="J29" s="130">
        <v>3651.0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2115.0</v>
      </c>
      <c r="G30" s="93">
        <v>2115.0</v>
      </c>
      <c r="H30" s="92"/>
      <c r="I30" s="93"/>
      <c r="J30" s="130">
        <v>3652.0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53340</v>
      </c>
      <c r="D31" s="24"/>
      <c r="E31" s="43">
        <v>22.0</v>
      </c>
      <c r="F31" s="56">
        <v>767.0</v>
      </c>
      <c r="G31" s="93"/>
      <c r="H31" s="190">
        <v>767.0</v>
      </c>
      <c r="I31" s="92"/>
      <c r="J31" s="130">
        <v>3653.0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26713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4.0</v>
      </c>
      <c r="G32" s="93">
        <v>4.0</v>
      </c>
      <c r="H32" s="92"/>
      <c r="I32" s="92"/>
      <c r="J32" s="130">
        <v>3654.0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170.0</v>
      </c>
      <c r="G33" s="93">
        <v>170.0</v>
      </c>
      <c r="H33" s="92"/>
      <c r="I33" s="92"/>
      <c r="J33" s="130">
        <v>3655.0</v>
      </c>
      <c r="K33" s="24"/>
      <c r="L33" s="104">
        <f t="shared" ref="L33:M33" si="2">sum(L10:L32)</f>
        <v>21044</v>
      </c>
      <c r="M33" s="104">
        <f t="shared" si="2"/>
        <v>1772</v>
      </c>
      <c r="N33" s="104"/>
      <c r="O33" s="105"/>
      <c r="P33" s="85" t="s">
        <v>38</v>
      </c>
      <c r="Q33" s="51"/>
      <c r="R33" s="100"/>
      <c r="S33" s="52">
        <v>53340.0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518.0</v>
      </c>
      <c r="G34" s="93">
        <v>500.0</v>
      </c>
      <c r="H34" s="190">
        <v>18.0</v>
      </c>
      <c r="I34" s="92"/>
      <c r="J34" s="130">
        <v>3656.0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500.0</v>
      </c>
      <c r="G35" s="92"/>
      <c r="H35" s="190">
        <v>500.0</v>
      </c>
      <c r="I35" s="92"/>
      <c r="J35" s="130">
        <v>3657.0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314.0</v>
      </c>
      <c r="G36" s="92"/>
      <c r="H36" s="190">
        <v>314.0</v>
      </c>
      <c r="I36" s="92"/>
      <c r="J36" s="130">
        <v>3658.0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50.0</v>
      </c>
      <c r="G37" s="93"/>
      <c r="H37" s="190">
        <v>50.0</v>
      </c>
      <c r="I37" s="92"/>
      <c r="J37" s="130">
        <v>3659.0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514.0</v>
      </c>
      <c r="G38" s="93"/>
      <c r="H38" s="190">
        <v>514.0</v>
      </c>
      <c r="I38" s="92"/>
      <c r="J38" s="130">
        <v>3660.0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109.0</v>
      </c>
      <c r="G39" s="93"/>
      <c r="H39" s="190">
        <v>109.0</v>
      </c>
      <c r="I39" s="92"/>
      <c r="J39" s="130">
        <v>3661.0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505.0</v>
      </c>
      <c r="G40" s="93">
        <v>505.0</v>
      </c>
      <c r="H40" s="93"/>
      <c r="I40" s="92"/>
      <c r="J40" s="130">
        <v>3662.0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72.0</v>
      </c>
      <c r="G41" s="93"/>
      <c r="H41" s="190">
        <v>72.0</v>
      </c>
      <c r="I41" s="92"/>
      <c r="J41" s="130">
        <v>3663.0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2205.0</v>
      </c>
      <c r="G42" s="93"/>
      <c r="H42" s="136">
        <v>2205.0</v>
      </c>
      <c r="I42" s="136"/>
      <c r="J42" s="155" t="s">
        <v>132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56.0</v>
      </c>
      <c r="G43" s="93"/>
      <c r="H43" s="190">
        <v>56.0</v>
      </c>
      <c r="I43" s="92"/>
      <c r="J43" s="130">
        <v>3665.0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7660.0</v>
      </c>
      <c r="G44" s="93"/>
      <c r="H44" s="190">
        <v>7660.0</v>
      </c>
      <c r="I44" s="92"/>
      <c r="J44" s="130">
        <v>3666.0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100.0</v>
      </c>
      <c r="G45" s="93">
        <v>100.0</v>
      </c>
      <c r="H45" s="92"/>
      <c r="I45" s="92"/>
      <c r="J45" s="130">
        <v>3667.0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490.0</v>
      </c>
      <c r="G46" s="93">
        <v>400.0</v>
      </c>
      <c r="H46" s="190">
        <v>90.0</v>
      </c>
      <c r="I46" s="92"/>
      <c r="J46" s="130">
        <v>3668.0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80.0</v>
      </c>
      <c r="G47" s="93">
        <v>80.0</v>
      </c>
      <c r="H47" s="93"/>
      <c r="I47" s="92"/>
      <c r="J47" s="130">
        <v>3669.0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23.0</v>
      </c>
      <c r="G48" s="93">
        <v>23.0</v>
      </c>
      <c r="H48" s="92"/>
      <c r="I48" s="92"/>
      <c r="J48" s="130">
        <v>3670.0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129.0</v>
      </c>
      <c r="G49" s="93">
        <v>129.0</v>
      </c>
      <c r="H49" s="92"/>
      <c r="I49" s="92"/>
      <c r="J49" s="130">
        <v>3671.0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16.0</v>
      </c>
      <c r="G50" s="93">
        <v>16.0</v>
      </c>
      <c r="H50" s="93"/>
      <c r="I50" s="92"/>
      <c r="J50" s="130">
        <v>3672.0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145.0</v>
      </c>
      <c r="G51" s="92"/>
      <c r="H51" s="190">
        <v>145.0</v>
      </c>
      <c r="I51" s="92"/>
      <c r="J51" s="130">
        <v>3673.0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86.0</v>
      </c>
      <c r="G52" s="93">
        <v>86.0</v>
      </c>
      <c r="H52" s="92"/>
      <c r="I52" s="92"/>
      <c r="J52" s="130">
        <v>3674.0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978.0</v>
      </c>
      <c r="G53" s="93"/>
      <c r="H53" s="92"/>
      <c r="I53" s="93">
        <v>978.0</v>
      </c>
      <c r="J53" s="130" t="s">
        <v>133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4227.0</v>
      </c>
      <c r="G54" s="92"/>
      <c r="H54" s="190">
        <v>4227.0</v>
      </c>
      <c r="I54" s="92"/>
      <c r="J54" s="130">
        <v>3676.0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1679.0</v>
      </c>
      <c r="G55" s="92"/>
      <c r="H55" s="190">
        <v>1679.0</v>
      </c>
      <c r="I55" s="92"/>
      <c r="J55" s="130">
        <v>3677.0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238.0</v>
      </c>
      <c r="G56" s="93">
        <v>238.0</v>
      </c>
      <c r="H56" s="92"/>
      <c r="I56" s="92"/>
      <c r="J56" s="130">
        <v>3678.0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41.0</v>
      </c>
      <c r="G57" s="92"/>
      <c r="H57" s="190">
        <v>41.0</v>
      </c>
      <c r="I57" s="92"/>
      <c r="J57" s="130">
        <v>3679.0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332.0</v>
      </c>
      <c r="G58" s="93">
        <v>332.0</v>
      </c>
      <c r="H58" s="92"/>
      <c r="I58" s="92"/>
      <c r="J58" s="130">
        <v>3680.0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459.0</v>
      </c>
      <c r="G59" s="92"/>
      <c r="H59" s="190">
        <v>459.0</v>
      </c>
      <c r="I59" s="92"/>
      <c r="J59" s="130">
        <v>3681.0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195.0</v>
      </c>
      <c r="G60" s="92"/>
      <c r="H60" s="190">
        <v>195.0</v>
      </c>
      <c r="I60" s="92"/>
      <c r="J60" s="130">
        <v>3682.0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99.0</v>
      </c>
      <c r="G61" s="92"/>
      <c r="H61" s="136">
        <v>99.0</v>
      </c>
      <c r="I61" s="173"/>
      <c r="J61" s="155" t="s">
        <v>134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127.0</v>
      </c>
      <c r="G62" s="93">
        <v>127.0</v>
      </c>
      <c r="H62" s="92"/>
      <c r="I62" s="92"/>
      <c r="J62" s="130">
        <v>3684.0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384.0</v>
      </c>
      <c r="G63" s="93">
        <v>384.0</v>
      </c>
      <c r="H63" s="92"/>
      <c r="I63" s="92"/>
      <c r="J63" s="130">
        <v>3685.0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1030.0</v>
      </c>
      <c r="G64" s="93">
        <v>870.0</v>
      </c>
      <c r="H64" s="190">
        <v>160.0</v>
      </c>
      <c r="I64" s="92"/>
      <c r="J64" s="130">
        <v>3686.0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576.0</v>
      </c>
      <c r="G65" s="93">
        <v>576.0</v>
      </c>
      <c r="H65" s="92"/>
      <c r="I65" s="92"/>
      <c r="J65" s="130">
        <v>3687.0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100.0</v>
      </c>
      <c r="G66" s="92"/>
      <c r="H66" s="190">
        <v>250.0</v>
      </c>
      <c r="I66" s="92"/>
      <c r="J66" s="130" t="s">
        <v>135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3392.0</v>
      </c>
      <c r="G67" s="93">
        <v>3392.0</v>
      </c>
      <c r="H67" s="92"/>
      <c r="I67" s="92"/>
      <c r="J67" s="130">
        <v>3689.0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313.0</v>
      </c>
      <c r="G68" s="92"/>
      <c r="H68" s="190">
        <v>313.0</v>
      </c>
      <c r="I68" s="92"/>
      <c r="J68" s="130">
        <v>3690.0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2077.0</v>
      </c>
      <c r="G69" s="92"/>
      <c r="H69" s="190">
        <v>2077.0</v>
      </c>
      <c r="I69" s="92"/>
      <c r="J69" s="130">
        <v>3691.0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731.0</v>
      </c>
      <c r="G70" s="92"/>
      <c r="H70" s="190">
        <v>731.0</v>
      </c>
      <c r="I70" s="92"/>
      <c r="J70" s="130">
        <v>3692.0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19.0</v>
      </c>
      <c r="G71" s="93">
        <v>19.0</v>
      </c>
      <c r="H71" s="92"/>
      <c r="I71" s="92"/>
      <c r="J71" s="130">
        <v>3693.0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88.0</v>
      </c>
      <c r="G72" s="92"/>
      <c r="H72" s="190">
        <v>88.0</v>
      </c>
      <c r="I72" s="92"/>
      <c r="J72" s="130">
        <v>3694.0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207.0</v>
      </c>
      <c r="G73" s="93">
        <v>207.0</v>
      </c>
      <c r="H73" s="92"/>
      <c r="I73" s="92"/>
      <c r="J73" s="130">
        <v>3695.0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1143.0</v>
      </c>
      <c r="G74" s="93">
        <v>1000.0</v>
      </c>
      <c r="H74" s="190">
        <v>143.0</v>
      </c>
      <c r="I74" s="92"/>
      <c r="J74" s="130">
        <v>3696.0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43.0</v>
      </c>
      <c r="G75" s="93">
        <v>43.0</v>
      </c>
      <c r="H75" s="92"/>
      <c r="I75" s="92"/>
      <c r="J75" s="130">
        <v>3697.0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300.0</v>
      </c>
      <c r="G76" s="92"/>
      <c r="H76" s="190">
        <v>300.0</v>
      </c>
      <c r="I76" s="92"/>
      <c r="J76" s="130">
        <v>3698.0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190.0</v>
      </c>
      <c r="G77" s="93"/>
      <c r="H77" s="190">
        <v>190.0</v>
      </c>
      <c r="I77" s="92"/>
      <c r="J77" s="130">
        <v>3699.0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2000.0</v>
      </c>
      <c r="G78" s="93">
        <v>2000.0</v>
      </c>
      <c r="H78" s="92"/>
      <c r="I78" s="92"/>
      <c r="J78" s="130">
        <v>3700.0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509.0</v>
      </c>
      <c r="G79" s="92"/>
      <c r="H79" s="190">
        <v>509.0</v>
      </c>
      <c r="I79" s="92"/>
      <c r="J79" s="130">
        <v>3701.0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269.0</v>
      </c>
      <c r="G80" s="92"/>
      <c r="H80" s="190">
        <v>269.0</v>
      </c>
      <c r="I80" s="92"/>
      <c r="J80" s="130">
        <v>3702.0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1022.0</v>
      </c>
      <c r="G81" s="93">
        <v>1022.0</v>
      </c>
      <c r="H81" s="92"/>
      <c r="I81" s="92"/>
      <c r="J81" s="130">
        <v>3703.0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494.0</v>
      </c>
      <c r="G82" s="54">
        <v>490.0</v>
      </c>
      <c r="H82" s="190">
        <v>4.0</v>
      </c>
      <c r="I82" s="61"/>
      <c r="J82" s="130">
        <v>3704.0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52.0</v>
      </c>
      <c r="G83" s="54">
        <v>52.0</v>
      </c>
      <c r="H83" s="61"/>
      <c r="I83" s="61"/>
      <c r="J83" s="130">
        <v>3705.0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130.0</v>
      </c>
      <c r="G84" s="54">
        <v>130.0</v>
      </c>
      <c r="H84" s="61"/>
      <c r="I84" s="61"/>
      <c r="J84" s="130">
        <v>3706.0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242.0</v>
      </c>
      <c r="G85" s="61"/>
      <c r="H85" s="190">
        <v>242.0</v>
      </c>
      <c r="I85" s="61"/>
      <c r="J85" s="130">
        <v>3707.0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100.0</v>
      </c>
      <c r="G86" s="54">
        <v>100.0</v>
      </c>
      <c r="H86" s="61"/>
      <c r="I86" s="61"/>
      <c r="J86" s="130">
        <v>3708.0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270.0</v>
      </c>
      <c r="G87" s="54">
        <v>270.0</v>
      </c>
      <c r="H87" s="61"/>
      <c r="I87" s="61"/>
      <c r="J87" s="130">
        <v>3709.0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226.0</v>
      </c>
      <c r="G88" s="54">
        <v>226.0</v>
      </c>
      <c r="H88" s="61"/>
      <c r="I88" s="61"/>
      <c r="J88" s="130">
        <v>3710.0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14.0</v>
      </c>
      <c r="G89" s="61"/>
      <c r="H89" s="190">
        <v>14.0</v>
      </c>
      <c r="I89" s="61"/>
      <c r="J89" s="130">
        <v>3711.0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737.0</v>
      </c>
      <c r="G90" s="61"/>
      <c r="H90" s="190">
        <v>737.0</v>
      </c>
      <c r="I90" s="61"/>
      <c r="J90" s="130">
        <v>3712.0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2546.0</v>
      </c>
      <c r="G91" s="61"/>
      <c r="H91" s="190">
        <v>2546.0</v>
      </c>
      <c r="I91" s="61"/>
      <c r="J91" s="130">
        <v>3713.0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171.0</v>
      </c>
      <c r="G92" s="61"/>
      <c r="H92" s="190">
        <v>171.0</v>
      </c>
      <c r="I92" s="61"/>
      <c r="J92" s="130">
        <v>3714.0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82.0</v>
      </c>
      <c r="G93" s="61"/>
      <c r="H93" s="190">
        <v>82.0</v>
      </c>
      <c r="I93" s="61"/>
      <c r="J93" s="130">
        <v>3715.0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155.0</v>
      </c>
      <c r="G94" s="54">
        <v>155.0</v>
      </c>
      <c r="H94" s="61"/>
      <c r="I94" s="61"/>
      <c r="J94" s="130">
        <v>3716.0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141.0</v>
      </c>
      <c r="G95" s="54">
        <v>141.0</v>
      </c>
      <c r="H95" s="61"/>
      <c r="I95" s="61"/>
      <c r="J95" s="130">
        <v>3717.0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103.0</v>
      </c>
      <c r="G96" s="61"/>
      <c r="H96" s="190">
        <v>103.0</v>
      </c>
      <c r="I96" s="61"/>
      <c r="J96" s="130">
        <v>3718.0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16.0</v>
      </c>
      <c r="G97" s="54">
        <v>16.0</v>
      </c>
      <c r="H97" s="61"/>
      <c r="I97" s="61"/>
      <c r="J97" s="130">
        <v>3719.0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1097.0</v>
      </c>
      <c r="G98" s="54">
        <v>1097.0</v>
      </c>
      <c r="H98" s="61"/>
      <c r="I98" s="61"/>
      <c r="J98" s="130">
        <v>3720.0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99.0</v>
      </c>
      <c r="G99" s="54">
        <v>99.0</v>
      </c>
      <c r="H99" s="61"/>
      <c r="I99" s="61"/>
      <c r="J99" s="130">
        <v>3721.0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244.0</v>
      </c>
      <c r="G100" s="61"/>
      <c r="H100" s="190">
        <v>394.0</v>
      </c>
      <c r="I100" s="61"/>
      <c r="J100" s="130" t="s">
        <v>136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20.0</v>
      </c>
      <c r="G101" s="54">
        <v>20.0</v>
      </c>
      <c r="H101" s="61"/>
      <c r="I101" s="61"/>
      <c r="J101" s="130">
        <v>3723.0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218.0</v>
      </c>
      <c r="G102" s="54">
        <v>218.0</v>
      </c>
      <c r="H102" s="61"/>
      <c r="I102" s="61"/>
      <c r="J102" s="130">
        <v>3724.0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702.0</v>
      </c>
      <c r="G103" s="54">
        <v>630.0</v>
      </c>
      <c r="H103" s="190">
        <v>72.0</v>
      </c>
      <c r="I103" s="61"/>
      <c r="J103" s="130">
        <v>3725.0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114.0</v>
      </c>
      <c r="G104" s="54">
        <v>114.0</v>
      </c>
      <c r="H104" s="61"/>
      <c r="I104" s="61"/>
      <c r="J104" s="130">
        <v>3726.0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861.0</v>
      </c>
      <c r="G105" s="61"/>
      <c r="H105" s="136">
        <v>861.0</v>
      </c>
      <c r="I105" s="173"/>
      <c r="J105" s="155" t="s">
        <v>137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85.0</v>
      </c>
      <c r="G106" s="54">
        <v>85.0</v>
      </c>
      <c r="H106" s="61"/>
      <c r="I106" s="61"/>
      <c r="J106" s="130">
        <v>3728.0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40.0</v>
      </c>
      <c r="G107" s="61"/>
      <c r="H107" s="190">
        <v>40.0</v>
      </c>
      <c r="I107" s="61"/>
      <c r="J107" s="130">
        <v>3729.0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192.0</v>
      </c>
      <c r="G108" s="61"/>
      <c r="H108" s="190">
        <v>327.0</v>
      </c>
      <c r="I108" s="61"/>
      <c r="J108" s="130" t="s">
        <v>138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132.0</v>
      </c>
      <c r="G109" s="61"/>
      <c r="H109" s="190">
        <v>132.0</v>
      </c>
      <c r="I109" s="61"/>
      <c r="J109" s="130">
        <v>3731.0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231.0</v>
      </c>
      <c r="G110" s="54">
        <v>231.0</v>
      </c>
      <c r="H110" s="61"/>
      <c r="I110" s="61"/>
      <c r="J110" s="130">
        <v>3732.0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288.0</v>
      </c>
      <c r="G111" s="61"/>
      <c r="H111" s="190">
        <v>288.0</v>
      </c>
      <c r="I111" s="61"/>
      <c r="J111" s="130">
        <v>3733.0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16.0</v>
      </c>
      <c r="G112" s="61"/>
      <c r="H112" s="190">
        <v>16.0</v>
      </c>
      <c r="I112" s="61"/>
      <c r="J112" s="130">
        <v>3734.0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94.0</v>
      </c>
      <c r="G113" s="54">
        <v>94.0</v>
      </c>
      <c r="H113" s="61"/>
      <c r="I113" s="61"/>
      <c r="J113" s="130">
        <v>3735.0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9.0</v>
      </c>
      <c r="G114" s="61"/>
      <c r="H114" s="190">
        <v>9.0</v>
      </c>
      <c r="I114" s="61"/>
      <c r="J114" s="130">
        <v>3736.0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12.0</v>
      </c>
      <c r="G115" s="61"/>
      <c r="H115" s="190">
        <v>12.0</v>
      </c>
      <c r="I115" s="61"/>
      <c r="J115" s="130">
        <v>3737.0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151.0</v>
      </c>
      <c r="G116" s="61"/>
      <c r="H116" s="190">
        <v>151.0</v>
      </c>
      <c r="I116" s="61"/>
      <c r="J116" s="130">
        <v>3738.0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12.0</v>
      </c>
      <c r="G117" s="61"/>
      <c r="H117" s="190">
        <v>12.0</v>
      </c>
      <c r="I117" s="61"/>
      <c r="J117" s="130">
        <v>3739.0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88.0</v>
      </c>
      <c r="G118" s="61"/>
      <c r="H118" s="190">
        <v>88.0</v>
      </c>
      <c r="I118" s="61"/>
      <c r="J118" s="130">
        <v>3740.0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381.0</v>
      </c>
      <c r="G119" s="54">
        <v>381.0</v>
      </c>
      <c r="H119" s="61"/>
      <c r="I119" s="61"/>
      <c r="J119" s="130">
        <v>3741.0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25.0</v>
      </c>
      <c r="G120" s="54">
        <v>25.0</v>
      </c>
      <c r="H120" s="61"/>
      <c r="I120" s="61"/>
      <c r="J120" s="130">
        <v>3742.0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465.0</v>
      </c>
      <c r="G121" s="61"/>
      <c r="H121" s="190">
        <v>465.0</v>
      </c>
      <c r="I121" s="61"/>
      <c r="J121" s="130">
        <v>3743.0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20.0</v>
      </c>
      <c r="G122" s="61"/>
      <c r="H122" s="190">
        <v>20.0</v>
      </c>
      <c r="I122" s="61"/>
      <c r="J122" s="130">
        <v>3744.0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276.0</v>
      </c>
      <c r="G123" s="54">
        <v>276.0</v>
      </c>
      <c r="H123" s="61"/>
      <c r="I123" s="61"/>
      <c r="J123" s="130">
        <v>3745.0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251.0</v>
      </c>
      <c r="G124" s="61"/>
      <c r="H124" s="190">
        <v>251.0</v>
      </c>
      <c r="I124" s="61"/>
      <c r="J124" s="130">
        <v>3746.0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27.0</v>
      </c>
      <c r="G125" s="61"/>
      <c r="H125" s="190">
        <v>27.0</v>
      </c>
      <c r="I125" s="61"/>
      <c r="J125" s="130">
        <v>3747.0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91">
        <v>117.0</v>
      </c>
      <c r="F126" s="192">
        <v>123.0</v>
      </c>
      <c r="G126" s="193"/>
      <c r="H126" s="170"/>
      <c r="I126" s="193"/>
      <c r="J126" s="194">
        <v>3748.0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/>
      <c r="G127" s="61"/>
      <c r="H127" s="61"/>
      <c r="I127" s="61"/>
      <c r="J127" s="130">
        <v>3749.0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/>
      <c r="G128" s="61"/>
      <c r="H128" s="61"/>
      <c r="I128" s="61"/>
      <c r="J128" s="130">
        <v>3750.0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/>
      <c r="G129" s="61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/>
      <c r="G130" s="61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/>
      <c r="G131" s="61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/>
      <c r="G132" s="61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/>
      <c r="G133" s="61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/>
      <c r="G134" s="61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/>
      <c r="G135" s="61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/>
      <c r="G136" s="61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38"/>
      <c r="G137" s="61"/>
      <c r="H137" s="61"/>
      <c r="I137" s="61"/>
      <c r="J137" s="46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38"/>
      <c r="G138" s="61"/>
      <c r="H138" s="61"/>
      <c r="I138" s="61"/>
      <c r="J138" s="46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38"/>
      <c r="G139" s="61"/>
      <c r="H139" s="61"/>
      <c r="I139" s="61"/>
      <c r="J139" s="46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38"/>
      <c r="G140" s="61"/>
      <c r="H140" s="61"/>
      <c r="I140" s="61"/>
      <c r="J140" s="46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38"/>
      <c r="G141" s="61"/>
      <c r="H141" s="61"/>
      <c r="I141" s="61"/>
      <c r="J141" s="46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38"/>
      <c r="G142" s="61"/>
      <c r="H142" s="61"/>
      <c r="I142" s="61"/>
      <c r="J142" s="46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38"/>
      <c r="G143" s="61"/>
      <c r="H143" s="61"/>
      <c r="I143" s="61"/>
      <c r="J143" s="46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38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38"/>
      <c r="G145" s="61"/>
      <c r="H145" s="61"/>
      <c r="I145" s="61"/>
      <c r="J145" s="46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38"/>
      <c r="G146" s="61"/>
      <c r="H146" s="61"/>
      <c r="I146" s="61"/>
      <c r="J146" s="46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38"/>
      <c r="G147" s="61"/>
      <c r="H147" s="61"/>
      <c r="I147" s="61"/>
      <c r="J147" s="46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38"/>
      <c r="G148" s="61"/>
      <c r="H148" s="61"/>
      <c r="I148" s="61"/>
      <c r="J148" s="46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54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1"/>
      <c r="E150" s="122"/>
      <c r="F150" s="123">
        <f t="shared" ref="F150:I150" si="4">SUM(F10:F149)</f>
        <v>57185</v>
      </c>
      <c r="G150" s="123">
        <f t="shared" si="4"/>
        <v>21665</v>
      </c>
      <c r="H150" s="123">
        <f t="shared" si="4"/>
        <v>35589</v>
      </c>
      <c r="I150" s="123">
        <f t="shared" si="4"/>
        <v>978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18"/>
      <c r="C151" s="118"/>
      <c r="D151" s="1"/>
      <c r="E151" s="124"/>
      <c r="F151" s="124"/>
      <c r="G151" s="124"/>
      <c r="H151" s="124"/>
      <c r="I151" s="12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18"/>
      <c r="C152" s="1"/>
      <c r="D152" s="1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26"/>
      <c r="H163" s="12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32509.0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712142.0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64673.0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F150-C15</f>
        <v>57107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G150-W33</f>
        <v>21587</v>
      </c>
      <c r="D10" s="24"/>
      <c r="E10" s="43"/>
      <c r="F10" s="186"/>
      <c r="G10" s="187"/>
      <c r="H10" s="187">
        <v>600.0</v>
      </c>
      <c r="I10" s="187"/>
      <c r="J10" s="168">
        <v>3632.0</v>
      </c>
      <c r="K10" s="24"/>
      <c r="L10" s="47"/>
      <c r="M10" s="47">
        <v>1084.0</v>
      </c>
      <c r="N10" s="47">
        <v>3477.0</v>
      </c>
      <c r="O10" s="49"/>
      <c r="P10" s="85" t="s">
        <v>125</v>
      </c>
      <c r="Q10" s="51"/>
      <c r="R10" s="52">
        <v>100.0</v>
      </c>
      <c r="S10" s="53"/>
      <c r="T10" s="54"/>
      <c r="U10" s="55"/>
      <c r="V10" s="24"/>
      <c r="W10" s="47">
        <v>78.0</v>
      </c>
      <c r="X10" s="47"/>
      <c r="Y10" s="166" t="s">
        <v>124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H150-X33</f>
        <v>35712</v>
      </c>
      <c r="D11" s="24"/>
      <c r="E11" s="43">
        <v>2.0</v>
      </c>
      <c r="F11" s="56">
        <v>570.0</v>
      </c>
      <c r="G11" s="57">
        <v>500.0</v>
      </c>
      <c r="H11" s="188">
        <v>70.0</v>
      </c>
      <c r="I11" s="59"/>
      <c r="J11" s="130">
        <v>3633.0</v>
      </c>
      <c r="K11" s="24"/>
      <c r="L11" s="47">
        <v>4267.0</v>
      </c>
      <c r="M11" s="48"/>
      <c r="N11" s="47">
        <v>3461.0</v>
      </c>
      <c r="O11" s="49"/>
      <c r="P11" s="72" t="s">
        <v>126</v>
      </c>
      <c r="Q11" s="51"/>
      <c r="R11" s="52">
        <v>13027.0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I150</f>
        <v>978</v>
      </c>
      <c r="D12" s="24"/>
      <c r="E12" s="43">
        <v>3.0</v>
      </c>
      <c r="F12" s="63">
        <v>125.0</v>
      </c>
      <c r="G12" s="64">
        <v>125.0</v>
      </c>
      <c r="H12" s="64"/>
      <c r="I12" s="64"/>
      <c r="J12" s="130">
        <v>3634.0</v>
      </c>
      <c r="K12" s="24"/>
      <c r="L12" s="47">
        <v>12922.0</v>
      </c>
      <c r="M12" s="48"/>
      <c r="N12" s="47">
        <v>3462.0</v>
      </c>
      <c r="O12" s="49"/>
      <c r="P12" s="72" t="s">
        <v>127</v>
      </c>
      <c r="Q12" s="51"/>
      <c r="R12" s="52">
        <v>9561.0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21044</v>
      </c>
      <c r="D13" s="24"/>
      <c r="E13" s="43">
        <v>4.0</v>
      </c>
      <c r="F13" s="56">
        <v>181.0</v>
      </c>
      <c r="G13" s="64"/>
      <c r="H13" s="189">
        <v>181.0</v>
      </c>
      <c r="I13" s="65"/>
      <c r="J13" s="130">
        <v>3635.0</v>
      </c>
      <c r="K13" s="24"/>
      <c r="L13" s="47">
        <v>3855.0</v>
      </c>
      <c r="M13" s="48"/>
      <c r="N13" s="47">
        <v>3463.0</v>
      </c>
      <c r="O13" s="49"/>
      <c r="P13" s="72" t="s">
        <v>128</v>
      </c>
      <c r="Q13" s="51"/>
      <c r="R13" s="52">
        <v>3003.0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1772</v>
      </c>
      <c r="D14" s="24"/>
      <c r="E14" s="43">
        <v>5.0</v>
      </c>
      <c r="F14" s="56">
        <v>37.0</v>
      </c>
      <c r="G14" s="64">
        <v>37.0</v>
      </c>
      <c r="H14" s="65"/>
      <c r="I14" s="65"/>
      <c r="J14" s="130">
        <v>3636.0</v>
      </c>
      <c r="K14" s="24"/>
      <c r="L14" s="48"/>
      <c r="M14" s="47">
        <v>41.0</v>
      </c>
      <c r="N14" s="47">
        <v>1844.0</v>
      </c>
      <c r="O14" s="49"/>
      <c r="P14" s="72" t="s">
        <v>129</v>
      </c>
      <c r="Q14" s="51"/>
      <c r="R14" s="52">
        <v>652.0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78</v>
      </c>
      <c r="D15" s="24"/>
      <c r="E15" s="43">
        <v>6.0</v>
      </c>
      <c r="F15" s="56">
        <v>5.0</v>
      </c>
      <c r="G15" s="64"/>
      <c r="H15" s="189">
        <v>5.0</v>
      </c>
      <c r="I15" s="65"/>
      <c r="J15" s="130">
        <v>3637.0</v>
      </c>
      <c r="K15" s="24"/>
      <c r="L15" s="48"/>
      <c r="M15" s="47">
        <v>647.0</v>
      </c>
      <c r="N15" s="47">
        <v>2912.0</v>
      </c>
      <c r="O15" s="49"/>
      <c r="P15" s="72" t="s">
        <v>85</v>
      </c>
      <c r="Q15" s="51"/>
      <c r="R15" s="52">
        <v>70.0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26713</v>
      </c>
      <c r="D16" s="24"/>
      <c r="E16" s="43">
        <v>7.0</v>
      </c>
      <c r="F16" s="56">
        <v>252.0</v>
      </c>
      <c r="G16" s="64"/>
      <c r="H16" s="189">
        <v>252.0</v>
      </c>
      <c r="I16" s="65"/>
      <c r="J16" s="130">
        <v>3638.0</v>
      </c>
      <c r="K16" s="24"/>
      <c r="L16" s="48"/>
      <c r="M16" s="48"/>
      <c r="N16" s="48"/>
      <c r="O16" s="49"/>
      <c r="P16" s="72" t="s">
        <v>48</v>
      </c>
      <c r="Q16" s="51"/>
      <c r="R16" s="52">
        <v>300.0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26713</v>
      </c>
      <c r="D17" s="24"/>
      <c r="E17" s="43">
        <v>8.0</v>
      </c>
      <c r="F17" s="56">
        <v>586.0</v>
      </c>
      <c r="G17" s="64">
        <v>586.0</v>
      </c>
      <c r="H17" s="64"/>
      <c r="I17" s="65"/>
      <c r="J17" s="130">
        <v>3639.0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143.0</v>
      </c>
      <c r="G18" s="64">
        <v>143.0</v>
      </c>
      <c r="H18" s="64"/>
      <c r="I18" s="65"/>
      <c r="J18" s="130">
        <v>3640.0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255.0</v>
      </c>
      <c r="G19" s="64"/>
      <c r="H19" s="189">
        <v>390.0</v>
      </c>
      <c r="I19" s="65"/>
      <c r="J19" s="130" t="s">
        <v>130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42835</v>
      </c>
      <c r="D20" s="24"/>
      <c r="E20" s="43">
        <v>11.0</v>
      </c>
      <c r="F20" s="56">
        <v>174.0</v>
      </c>
      <c r="G20" s="65"/>
      <c r="H20" s="189">
        <v>174.0</v>
      </c>
      <c r="I20" s="65"/>
      <c r="J20" s="130">
        <v>3642.0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749626</v>
      </c>
      <c r="D21" s="24"/>
      <c r="E21" s="43">
        <v>12.0</v>
      </c>
      <c r="F21" s="56">
        <v>25.0</v>
      </c>
      <c r="G21" s="65"/>
      <c r="H21" s="189">
        <v>25.0</v>
      </c>
      <c r="I21" s="65"/>
      <c r="J21" s="130">
        <v>3643.0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48427</v>
      </c>
      <c r="D22" s="24"/>
      <c r="E22" s="43">
        <v>13.0</v>
      </c>
      <c r="F22" s="56">
        <v>766.0</v>
      </c>
      <c r="G22" s="64"/>
      <c r="H22" s="189">
        <v>766.0</v>
      </c>
      <c r="I22" s="65"/>
      <c r="J22" s="130">
        <v>3644.0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48505.0</v>
      </c>
      <c r="D23" s="24"/>
      <c r="E23" s="43">
        <v>14.0</v>
      </c>
      <c r="F23" s="56">
        <v>145.0</v>
      </c>
      <c r="G23" s="64">
        <v>145.0</v>
      </c>
      <c r="H23" s="65"/>
      <c r="I23" s="65"/>
      <c r="J23" s="130">
        <v>3645.0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-78</v>
      </c>
      <c r="D24" s="24"/>
      <c r="E24" s="43">
        <v>15.0</v>
      </c>
      <c r="F24" s="56">
        <v>610.0</v>
      </c>
      <c r="G24" s="64">
        <v>600.0</v>
      </c>
      <c r="H24" s="189">
        <v>10.0</v>
      </c>
      <c r="I24" s="65"/>
      <c r="J24" s="130">
        <v>3646.0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455.0</v>
      </c>
      <c r="G25" s="64"/>
      <c r="H25" s="189">
        <v>455.0</v>
      </c>
      <c r="I25" s="65"/>
      <c r="J25" s="130">
        <v>3647.0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F150</f>
        <v>57185</v>
      </c>
      <c r="D26" s="24"/>
      <c r="E26" s="43">
        <v>17.0</v>
      </c>
      <c r="F26" s="56">
        <v>75.0</v>
      </c>
      <c r="G26" s="64"/>
      <c r="H26" s="189">
        <v>75.0</v>
      </c>
      <c r="I26" s="65"/>
      <c r="J26" s="130">
        <v>3648.0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117.0</v>
      </c>
      <c r="D27" s="24"/>
      <c r="E27" s="43">
        <v>18.0</v>
      </c>
      <c r="F27" s="56">
        <v>341.0</v>
      </c>
      <c r="G27" s="64">
        <v>341.0</v>
      </c>
      <c r="H27" s="65"/>
      <c r="I27" s="65"/>
      <c r="J27" s="130">
        <v>3649.0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488.7606838</v>
      </c>
      <c r="D28" s="24"/>
      <c r="E28" s="43">
        <v>19.0</v>
      </c>
      <c r="F28" s="56">
        <v>1220.0</v>
      </c>
      <c r="G28" s="64"/>
      <c r="H28" s="182">
        <v>1220.0</v>
      </c>
      <c r="I28" s="182"/>
      <c r="J28" s="155" t="s">
        <v>131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72.0</v>
      </c>
      <c r="G29" s="64"/>
      <c r="H29" s="189">
        <v>72.0</v>
      </c>
      <c r="I29" s="65"/>
      <c r="J29" s="130">
        <v>3651.0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2115.0</v>
      </c>
      <c r="G30" s="93">
        <v>2115.0</v>
      </c>
      <c r="H30" s="92"/>
      <c r="I30" s="93"/>
      <c r="J30" s="130">
        <v>3652.0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767.0</v>
      </c>
      <c r="G31" s="93"/>
      <c r="H31" s="190">
        <v>767.0</v>
      </c>
      <c r="I31" s="92"/>
      <c r="J31" s="130">
        <v>3653.0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26713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4.0</v>
      </c>
      <c r="G32" s="93">
        <v>4.0</v>
      </c>
      <c r="H32" s="92"/>
      <c r="I32" s="92"/>
      <c r="J32" s="130">
        <v>3654.0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170.0</v>
      </c>
      <c r="G33" s="93">
        <v>170.0</v>
      </c>
      <c r="H33" s="92"/>
      <c r="I33" s="92"/>
      <c r="J33" s="130">
        <v>3655.0</v>
      </c>
      <c r="K33" s="24"/>
      <c r="L33" s="104">
        <f t="shared" ref="L33:M33" si="2">sum(L10:L32)</f>
        <v>21044</v>
      </c>
      <c r="M33" s="104">
        <f t="shared" si="2"/>
        <v>1772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78</v>
      </c>
      <c r="X33" s="104">
        <f t="shared" si="3"/>
        <v>0</v>
      </c>
      <c r="Y33" s="104">
        <f>W33+X33</f>
        <v>78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518.0</v>
      </c>
      <c r="G34" s="93">
        <v>500.0</v>
      </c>
      <c r="H34" s="190">
        <v>18.0</v>
      </c>
      <c r="I34" s="92"/>
      <c r="J34" s="130">
        <v>3656.0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500.0</v>
      </c>
      <c r="G35" s="92"/>
      <c r="H35" s="190">
        <v>500.0</v>
      </c>
      <c r="I35" s="92"/>
      <c r="J35" s="130">
        <v>3657.0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314.0</v>
      </c>
      <c r="G36" s="92"/>
      <c r="H36" s="190">
        <v>314.0</v>
      </c>
      <c r="I36" s="92"/>
      <c r="J36" s="130">
        <v>3658.0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50.0</v>
      </c>
      <c r="G37" s="93"/>
      <c r="H37" s="190">
        <v>50.0</v>
      </c>
      <c r="I37" s="92"/>
      <c r="J37" s="130">
        <v>3659.0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514.0</v>
      </c>
      <c r="G38" s="93"/>
      <c r="H38" s="190">
        <v>514.0</v>
      </c>
      <c r="I38" s="92"/>
      <c r="J38" s="130">
        <v>3660.0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109.0</v>
      </c>
      <c r="G39" s="93"/>
      <c r="H39" s="190">
        <v>109.0</v>
      </c>
      <c r="I39" s="92"/>
      <c r="J39" s="130">
        <v>3661.0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505.0</v>
      </c>
      <c r="G40" s="93">
        <v>505.0</v>
      </c>
      <c r="H40" s="93"/>
      <c r="I40" s="92"/>
      <c r="J40" s="130">
        <v>3662.0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72.0</v>
      </c>
      <c r="G41" s="93"/>
      <c r="H41" s="190">
        <v>72.0</v>
      </c>
      <c r="I41" s="92"/>
      <c r="J41" s="130">
        <v>3663.0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2205.0</v>
      </c>
      <c r="G42" s="93"/>
      <c r="H42" s="136">
        <v>2205.0</v>
      </c>
      <c r="I42" s="136"/>
      <c r="J42" s="155" t="s">
        <v>132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56.0</v>
      </c>
      <c r="G43" s="93"/>
      <c r="H43" s="190">
        <v>56.0</v>
      </c>
      <c r="I43" s="92"/>
      <c r="J43" s="130">
        <v>3665.0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7660.0</v>
      </c>
      <c r="G44" s="93"/>
      <c r="H44" s="190">
        <v>7660.0</v>
      </c>
      <c r="I44" s="92"/>
      <c r="J44" s="130">
        <v>3666.0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100.0</v>
      </c>
      <c r="G45" s="93">
        <v>100.0</v>
      </c>
      <c r="H45" s="92"/>
      <c r="I45" s="92"/>
      <c r="J45" s="130">
        <v>3667.0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490.0</v>
      </c>
      <c r="G46" s="93">
        <v>400.0</v>
      </c>
      <c r="H46" s="190">
        <v>90.0</v>
      </c>
      <c r="I46" s="92"/>
      <c r="J46" s="130">
        <v>3668.0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80.0</v>
      </c>
      <c r="G47" s="93">
        <v>80.0</v>
      </c>
      <c r="H47" s="93"/>
      <c r="I47" s="92"/>
      <c r="J47" s="130">
        <v>3669.0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23.0</v>
      </c>
      <c r="G48" s="93">
        <v>23.0</v>
      </c>
      <c r="H48" s="92"/>
      <c r="I48" s="92"/>
      <c r="J48" s="130">
        <v>3670.0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129.0</v>
      </c>
      <c r="G49" s="93">
        <v>129.0</v>
      </c>
      <c r="H49" s="92"/>
      <c r="I49" s="92"/>
      <c r="J49" s="130">
        <v>3671.0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16.0</v>
      </c>
      <c r="G50" s="93">
        <v>16.0</v>
      </c>
      <c r="H50" s="93"/>
      <c r="I50" s="92"/>
      <c r="J50" s="130">
        <v>3672.0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145.0</v>
      </c>
      <c r="G51" s="92"/>
      <c r="H51" s="190">
        <v>145.0</v>
      </c>
      <c r="I51" s="92"/>
      <c r="J51" s="130">
        <v>3673.0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86.0</v>
      </c>
      <c r="G52" s="93">
        <v>86.0</v>
      </c>
      <c r="H52" s="92"/>
      <c r="I52" s="92"/>
      <c r="J52" s="130">
        <v>3674.0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978.0</v>
      </c>
      <c r="G53" s="93"/>
      <c r="H53" s="92"/>
      <c r="I53" s="93">
        <v>978.0</v>
      </c>
      <c r="J53" s="130" t="s">
        <v>133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4227.0</v>
      </c>
      <c r="G54" s="92"/>
      <c r="H54" s="190">
        <v>4227.0</v>
      </c>
      <c r="I54" s="92"/>
      <c r="J54" s="130">
        <v>3676.0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1679.0</v>
      </c>
      <c r="G55" s="92"/>
      <c r="H55" s="190">
        <v>1679.0</v>
      </c>
      <c r="I55" s="92"/>
      <c r="J55" s="130">
        <v>3677.0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238.0</v>
      </c>
      <c r="G56" s="93">
        <v>238.0</v>
      </c>
      <c r="H56" s="92"/>
      <c r="I56" s="92"/>
      <c r="J56" s="130">
        <v>3678.0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41.0</v>
      </c>
      <c r="G57" s="92"/>
      <c r="H57" s="190">
        <v>41.0</v>
      </c>
      <c r="I57" s="92"/>
      <c r="J57" s="130">
        <v>3679.0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332.0</v>
      </c>
      <c r="G58" s="93">
        <v>332.0</v>
      </c>
      <c r="H58" s="92"/>
      <c r="I58" s="92"/>
      <c r="J58" s="130">
        <v>3680.0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459.0</v>
      </c>
      <c r="G59" s="92"/>
      <c r="H59" s="190">
        <v>459.0</v>
      </c>
      <c r="I59" s="92"/>
      <c r="J59" s="130">
        <v>3681.0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195.0</v>
      </c>
      <c r="G60" s="92"/>
      <c r="H60" s="190">
        <v>195.0</v>
      </c>
      <c r="I60" s="92"/>
      <c r="J60" s="130">
        <v>3682.0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99.0</v>
      </c>
      <c r="G61" s="92"/>
      <c r="H61" s="136">
        <v>99.0</v>
      </c>
      <c r="I61" s="173"/>
      <c r="J61" s="155" t="s">
        <v>134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127.0</v>
      </c>
      <c r="G62" s="93">
        <v>127.0</v>
      </c>
      <c r="H62" s="92"/>
      <c r="I62" s="92"/>
      <c r="J62" s="130">
        <v>3684.0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384.0</v>
      </c>
      <c r="G63" s="93">
        <v>384.0</v>
      </c>
      <c r="H63" s="92"/>
      <c r="I63" s="92"/>
      <c r="J63" s="130">
        <v>3685.0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1030.0</v>
      </c>
      <c r="G64" s="93">
        <v>870.0</v>
      </c>
      <c r="H64" s="190">
        <v>160.0</v>
      </c>
      <c r="I64" s="92"/>
      <c r="J64" s="130">
        <v>3686.0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576.0</v>
      </c>
      <c r="G65" s="93">
        <v>576.0</v>
      </c>
      <c r="H65" s="92"/>
      <c r="I65" s="92"/>
      <c r="J65" s="130">
        <v>3687.0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100.0</v>
      </c>
      <c r="G66" s="92"/>
      <c r="H66" s="190">
        <v>250.0</v>
      </c>
      <c r="I66" s="92"/>
      <c r="J66" s="130" t="s">
        <v>135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3392.0</v>
      </c>
      <c r="G67" s="93">
        <v>3392.0</v>
      </c>
      <c r="H67" s="92"/>
      <c r="I67" s="92"/>
      <c r="J67" s="130">
        <v>3689.0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313.0</v>
      </c>
      <c r="G68" s="92"/>
      <c r="H68" s="190">
        <v>313.0</v>
      </c>
      <c r="I68" s="92"/>
      <c r="J68" s="130">
        <v>3690.0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2077.0</v>
      </c>
      <c r="G69" s="92"/>
      <c r="H69" s="190">
        <v>2077.0</v>
      </c>
      <c r="I69" s="92"/>
      <c r="J69" s="130">
        <v>3691.0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731.0</v>
      </c>
      <c r="G70" s="92"/>
      <c r="H70" s="190">
        <v>731.0</v>
      </c>
      <c r="I70" s="92"/>
      <c r="J70" s="130">
        <v>3692.0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19.0</v>
      </c>
      <c r="G71" s="93">
        <v>19.0</v>
      </c>
      <c r="H71" s="92"/>
      <c r="I71" s="92"/>
      <c r="J71" s="130">
        <v>3693.0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88.0</v>
      </c>
      <c r="G72" s="92"/>
      <c r="H72" s="190">
        <v>88.0</v>
      </c>
      <c r="I72" s="92"/>
      <c r="J72" s="130">
        <v>3694.0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207.0</v>
      </c>
      <c r="G73" s="93">
        <v>207.0</v>
      </c>
      <c r="H73" s="92"/>
      <c r="I73" s="92"/>
      <c r="J73" s="130">
        <v>3695.0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1143.0</v>
      </c>
      <c r="G74" s="93">
        <v>1000.0</v>
      </c>
      <c r="H74" s="190">
        <v>143.0</v>
      </c>
      <c r="I74" s="92"/>
      <c r="J74" s="130">
        <v>3696.0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43.0</v>
      </c>
      <c r="G75" s="93">
        <v>43.0</v>
      </c>
      <c r="H75" s="92"/>
      <c r="I75" s="92"/>
      <c r="J75" s="130">
        <v>3697.0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300.0</v>
      </c>
      <c r="G76" s="92"/>
      <c r="H76" s="190">
        <v>300.0</v>
      </c>
      <c r="I76" s="92"/>
      <c r="J76" s="130">
        <v>3698.0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190.0</v>
      </c>
      <c r="G77" s="93"/>
      <c r="H77" s="190">
        <v>190.0</v>
      </c>
      <c r="I77" s="92"/>
      <c r="J77" s="130">
        <v>3699.0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2000.0</v>
      </c>
      <c r="G78" s="93">
        <v>2000.0</v>
      </c>
      <c r="H78" s="92"/>
      <c r="I78" s="92"/>
      <c r="J78" s="130">
        <v>3700.0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509.0</v>
      </c>
      <c r="G79" s="92"/>
      <c r="H79" s="190">
        <v>509.0</v>
      </c>
      <c r="I79" s="92"/>
      <c r="J79" s="130">
        <v>3701.0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269.0</v>
      </c>
      <c r="G80" s="92"/>
      <c r="H80" s="190">
        <v>269.0</v>
      </c>
      <c r="I80" s="92"/>
      <c r="J80" s="130">
        <v>3702.0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1022.0</v>
      </c>
      <c r="G81" s="93">
        <v>1022.0</v>
      </c>
      <c r="H81" s="92"/>
      <c r="I81" s="92"/>
      <c r="J81" s="130">
        <v>3703.0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494.0</v>
      </c>
      <c r="G82" s="54">
        <v>490.0</v>
      </c>
      <c r="H82" s="190">
        <v>4.0</v>
      </c>
      <c r="I82" s="61"/>
      <c r="J82" s="130">
        <v>3704.0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52.0</v>
      </c>
      <c r="G83" s="54">
        <v>52.0</v>
      </c>
      <c r="H83" s="61"/>
      <c r="I83" s="61"/>
      <c r="J83" s="130">
        <v>3705.0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130.0</v>
      </c>
      <c r="G84" s="54">
        <v>130.0</v>
      </c>
      <c r="H84" s="61"/>
      <c r="I84" s="61"/>
      <c r="J84" s="130">
        <v>3706.0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242.0</v>
      </c>
      <c r="G85" s="61"/>
      <c r="H85" s="190">
        <v>242.0</v>
      </c>
      <c r="I85" s="61"/>
      <c r="J85" s="130">
        <v>3707.0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100.0</v>
      </c>
      <c r="G86" s="54">
        <v>100.0</v>
      </c>
      <c r="H86" s="61"/>
      <c r="I86" s="61"/>
      <c r="J86" s="130">
        <v>3708.0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270.0</v>
      </c>
      <c r="G87" s="54">
        <v>270.0</v>
      </c>
      <c r="H87" s="61"/>
      <c r="I87" s="61"/>
      <c r="J87" s="130">
        <v>3709.0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226.0</v>
      </c>
      <c r="G88" s="54">
        <v>226.0</v>
      </c>
      <c r="H88" s="61"/>
      <c r="I88" s="61"/>
      <c r="J88" s="130">
        <v>3710.0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14.0</v>
      </c>
      <c r="G89" s="61"/>
      <c r="H89" s="190">
        <v>14.0</v>
      </c>
      <c r="I89" s="61"/>
      <c r="J89" s="130">
        <v>3711.0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737.0</v>
      </c>
      <c r="G90" s="61"/>
      <c r="H90" s="190">
        <v>737.0</v>
      </c>
      <c r="I90" s="61"/>
      <c r="J90" s="130">
        <v>3712.0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2546.0</v>
      </c>
      <c r="G91" s="61"/>
      <c r="H91" s="190">
        <v>2546.0</v>
      </c>
      <c r="I91" s="61"/>
      <c r="J91" s="130">
        <v>3713.0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171.0</v>
      </c>
      <c r="G92" s="61"/>
      <c r="H92" s="190">
        <v>171.0</v>
      </c>
      <c r="I92" s="61"/>
      <c r="J92" s="130">
        <v>3714.0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82.0</v>
      </c>
      <c r="G93" s="61"/>
      <c r="H93" s="190">
        <v>82.0</v>
      </c>
      <c r="I93" s="61"/>
      <c r="J93" s="130">
        <v>3715.0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155.0</v>
      </c>
      <c r="G94" s="54">
        <v>155.0</v>
      </c>
      <c r="H94" s="61"/>
      <c r="I94" s="61"/>
      <c r="J94" s="130">
        <v>3716.0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141.0</v>
      </c>
      <c r="G95" s="54">
        <v>141.0</v>
      </c>
      <c r="H95" s="61"/>
      <c r="I95" s="61"/>
      <c r="J95" s="130">
        <v>3717.0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103.0</v>
      </c>
      <c r="G96" s="61"/>
      <c r="H96" s="190">
        <v>103.0</v>
      </c>
      <c r="I96" s="61"/>
      <c r="J96" s="130">
        <v>3718.0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16.0</v>
      </c>
      <c r="G97" s="54">
        <v>16.0</v>
      </c>
      <c r="H97" s="61"/>
      <c r="I97" s="61"/>
      <c r="J97" s="130">
        <v>3719.0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1097.0</v>
      </c>
      <c r="G98" s="54">
        <v>1097.0</v>
      </c>
      <c r="H98" s="61"/>
      <c r="I98" s="61"/>
      <c r="J98" s="130">
        <v>3720.0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99.0</v>
      </c>
      <c r="G99" s="54">
        <v>99.0</v>
      </c>
      <c r="H99" s="61"/>
      <c r="I99" s="61"/>
      <c r="J99" s="130">
        <v>3721.0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244.0</v>
      </c>
      <c r="G100" s="61"/>
      <c r="H100" s="190">
        <v>394.0</v>
      </c>
      <c r="I100" s="61"/>
      <c r="J100" s="130" t="s">
        <v>136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20.0</v>
      </c>
      <c r="G101" s="54">
        <v>20.0</v>
      </c>
      <c r="H101" s="61"/>
      <c r="I101" s="61"/>
      <c r="J101" s="130">
        <v>3723.0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218.0</v>
      </c>
      <c r="G102" s="54">
        <v>218.0</v>
      </c>
      <c r="H102" s="61"/>
      <c r="I102" s="61"/>
      <c r="J102" s="130">
        <v>3724.0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702.0</v>
      </c>
      <c r="G103" s="54">
        <v>630.0</v>
      </c>
      <c r="H103" s="190">
        <v>72.0</v>
      </c>
      <c r="I103" s="61"/>
      <c r="J103" s="130">
        <v>3725.0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114.0</v>
      </c>
      <c r="G104" s="54">
        <v>114.0</v>
      </c>
      <c r="H104" s="61"/>
      <c r="I104" s="61"/>
      <c r="J104" s="130">
        <v>3726.0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861.0</v>
      </c>
      <c r="G105" s="61"/>
      <c r="H105" s="136">
        <v>861.0</v>
      </c>
      <c r="I105" s="173"/>
      <c r="J105" s="155" t="s">
        <v>137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85.0</v>
      </c>
      <c r="G106" s="54">
        <v>85.0</v>
      </c>
      <c r="H106" s="61"/>
      <c r="I106" s="61"/>
      <c r="J106" s="130">
        <v>3728.0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40.0</v>
      </c>
      <c r="G107" s="61"/>
      <c r="H107" s="190">
        <v>40.0</v>
      </c>
      <c r="I107" s="61"/>
      <c r="J107" s="130">
        <v>3729.0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192.0</v>
      </c>
      <c r="G108" s="61"/>
      <c r="H108" s="190">
        <v>327.0</v>
      </c>
      <c r="I108" s="61"/>
      <c r="J108" s="130" t="s">
        <v>138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132.0</v>
      </c>
      <c r="G109" s="61"/>
      <c r="H109" s="190">
        <v>132.0</v>
      </c>
      <c r="I109" s="61"/>
      <c r="J109" s="130">
        <v>3731.0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231.0</v>
      </c>
      <c r="G110" s="54">
        <v>231.0</v>
      </c>
      <c r="H110" s="61"/>
      <c r="I110" s="61"/>
      <c r="J110" s="130">
        <v>3732.0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288.0</v>
      </c>
      <c r="G111" s="61"/>
      <c r="H111" s="190">
        <v>288.0</v>
      </c>
      <c r="I111" s="61"/>
      <c r="J111" s="130">
        <v>3733.0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16.0</v>
      </c>
      <c r="G112" s="61"/>
      <c r="H112" s="190">
        <v>16.0</v>
      </c>
      <c r="I112" s="61"/>
      <c r="J112" s="130">
        <v>3734.0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94.0</v>
      </c>
      <c r="G113" s="54">
        <v>94.0</v>
      </c>
      <c r="H113" s="61"/>
      <c r="I113" s="61"/>
      <c r="J113" s="130">
        <v>3735.0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9.0</v>
      </c>
      <c r="G114" s="61"/>
      <c r="H114" s="190">
        <v>9.0</v>
      </c>
      <c r="I114" s="61"/>
      <c r="J114" s="130">
        <v>3736.0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12.0</v>
      </c>
      <c r="G115" s="61"/>
      <c r="H115" s="190">
        <v>12.0</v>
      </c>
      <c r="I115" s="61"/>
      <c r="J115" s="130">
        <v>3737.0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151.0</v>
      </c>
      <c r="G116" s="61"/>
      <c r="H116" s="190">
        <v>151.0</v>
      </c>
      <c r="I116" s="61"/>
      <c r="J116" s="130">
        <v>3738.0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12.0</v>
      </c>
      <c r="G117" s="61"/>
      <c r="H117" s="190">
        <v>12.0</v>
      </c>
      <c r="I117" s="61"/>
      <c r="J117" s="130">
        <v>3739.0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88.0</v>
      </c>
      <c r="G118" s="61"/>
      <c r="H118" s="190">
        <v>88.0</v>
      </c>
      <c r="I118" s="61"/>
      <c r="J118" s="130">
        <v>3740.0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381.0</v>
      </c>
      <c r="G119" s="54">
        <v>381.0</v>
      </c>
      <c r="H119" s="61"/>
      <c r="I119" s="61"/>
      <c r="J119" s="130">
        <v>3741.0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25.0</v>
      </c>
      <c r="G120" s="54">
        <v>25.0</v>
      </c>
      <c r="H120" s="61"/>
      <c r="I120" s="61"/>
      <c r="J120" s="130">
        <v>3742.0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465.0</v>
      </c>
      <c r="G121" s="61"/>
      <c r="H121" s="190">
        <v>465.0</v>
      </c>
      <c r="I121" s="61"/>
      <c r="J121" s="130">
        <v>3743.0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20.0</v>
      </c>
      <c r="G122" s="61"/>
      <c r="H122" s="190">
        <v>20.0</v>
      </c>
      <c r="I122" s="61"/>
      <c r="J122" s="130">
        <v>3744.0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276.0</v>
      </c>
      <c r="G123" s="54">
        <v>276.0</v>
      </c>
      <c r="H123" s="61"/>
      <c r="I123" s="61"/>
      <c r="J123" s="130">
        <v>3745.0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251.0</v>
      </c>
      <c r="G124" s="61"/>
      <c r="H124" s="190">
        <v>251.0</v>
      </c>
      <c r="I124" s="61"/>
      <c r="J124" s="130">
        <v>3746.0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27.0</v>
      </c>
      <c r="G125" s="61"/>
      <c r="H125" s="190">
        <v>27.0</v>
      </c>
      <c r="I125" s="61"/>
      <c r="J125" s="130">
        <v>3747.0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91">
        <v>117.0</v>
      </c>
      <c r="F126" s="192">
        <v>123.0</v>
      </c>
      <c r="G126" s="193"/>
      <c r="H126" s="170">
        <v>123.0</v>
      </c>
      <c r="I126" s="193"/>
      <c r="J126" s="194">
        <v>3748.0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/>
      <c r="G127" s="61"/>
      <c r="H127" s="61"/>
      <c r="I127" s="61"/>
      <c r="J127" s="130">
        <v>3749.0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/>
      <c r="G128" s="61"/>
      <c r="H128" s="61"/>
      <c r="I128" s="61"/>
      <c r="J128" s="130">
        <v>3750.0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/>
      <c r="G129" s="61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/>
      <c r="G130" s="61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/>
      <c r="G131" s="61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/>
      <c r="G132" s="61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/>
      <c r="G133" s="61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/>
      <c r="G134" s="61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/>
      <c r="G135" s="61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/>
      <c r="G136" s="61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38"/>
      <c r="G137" s="61"/>
      <c r="H137" s="61"/>
      <c r="I137" s="61"/>
      <c r="J137" s="46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38"/>
      <c r="G138" s="61"/>
      <c r="H138" s="61"/>
      <c r="I138" s="61"/>
      <c r="J138" s="46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38"/>
      <c r="G139" s="61"/>
      <c r="H139" s="61"/>
      <c r="I139" s="61"/>
      <c r="J139" s="46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38"/>
      <c r="G140" s="61"/>
      <c r="H140" s="61"/>
      <c r="I140" s="61"/>
      <c r="J140" s="46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38"/>
      <c r="G141" s="61"/>
      <c r="H141" s="61"/>
      <c r="I141" s="61"/>
      <c r="J141" s="46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38"/>
      <c r="G142" s="61"/>
      <c r="H142" s="61"/>
      <c r="I142" s="61"/>
      <c r="J142" s="46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38"/>
      <c r="G143" s="61"/>
      <c r="H143" s="61"/>
      <c r="I143" s="61"/>
      <c r="J143" s="46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38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38"/>
      <c r="G145" s="61"/>
      <c r="H145" s="61"/>
      <c r="I145" s="61"/>
      <c r="J145" s="46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38"/>
      <c r="G146" s="61"/>
      <c r="H146" s="61"/>
      <c r="I146" s="61"/>
      <c r="J146" s="46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38"/>
      <c r="G147" s="61"/>
      <c r="H147" s="61"/>
      <c r="I147" s="61"/>
      <c r="J147" s="46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38"/>
      <c r="G148" s="61"/>
      <c r="H148" s="61"/>
      <c r="I148" s="61"/>
      <c r="J148" s="46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54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1"/>
      <c r="E150" s="122"/>
      <c r="F150" s="123">
        <f t="shared" ref="F150:I150" si="4">SUM(F10:F149)</f>
        <v>57185</v>
      </c>
      <c r="G150" s="123">
        <f t="shared" si="4"/>
        <v>21665</v>
      </c>
      <c r="H150" s="123">
        <f t="shared" si="4"/>
        <v>35712</v>
      </c>
      <c r="I150" s="123">
        <f t="shared" si="4"/>
        <v>978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18"/>
      <c r="C151" s="118"/>
      <c r="D151" s="1"/>
      <c r="E151" s="124"/>
      <c r="F151" s="124"/>
      <c r="G151" s="124"/>
      <c r="H151" s="124"/>
      <c r="I151" s="12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18"/>
      <c r="C152" s="1"/>
      <c r="D152" s="1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26"/>
      <c r="H163" s="12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43928.0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37361.0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41857.0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F160-C15</f>
        <v>55293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G160-W33</f>
        <v>17969</v>
      </c>
      <c r="D10" s="24"/>
      <c r="E10" s="191"/>
      <c r="F10" s="195"/>
      <c r="G10" s="159"/>
      <c r="H10" s="159">
        <v>123.0</v>
      </c>
      <c r="I10" s="159"/>
      <c r="J10" s="194"/>
      <c r="K10" s="24"/>
      <c r="L10" s="47"/>
      <c r="M10" s="196">
        <v>978.0</v>
      </c>
      <c r="N10" s="47">
        <v>3675.0</v>
      </c>
      <c r="O10" s="49"/>
      <c r="P10" s="85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H160-X33</f>
        <v>30247</v>
      </c>
      <c r="D11" s="24"/>
      <c r="E11" s="43">
        <v>2.0</v>
      </c>
      <c r="F11" s="56">
        <v>174.0</v>
      </c>
      <c r="G11" s="57"/>
      <c r="H11" s="188">
        <v>174.0</v>
      </c>
      <c r="I11" s="59"/>
      <c r="J11" s="130">
        <v>3749.0</v>
      </c>
      <c r="K11" s="24"/>
      <c r="L11" s="47">
        <v>6610.0</v>
      </c>
      <c r="M11" s="48"/>
      <c r="N11" s="47">
        <v>3546.0</v>
      </c>
      <c r="O11" s="49"/>
      <c r="P11" s="72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I160</f>
        <v>7773</v>
      </c>
      <c r="D12" s="24"/>
      <c r="E12" s="43">
        <v>3.0</v>
      </c>
      <c r="F12" s="63">
        <v>71.0</v>
      </c>
      <c r="G12" s="64">
        <v>71.0</v>
      </c>
      <c r="H12" s="64" t="s">
        <v>139</v>
      </c>
      <c r="I12" s="65"/>
      <c r="J12" s="130">
        <v>3750.0</v>
      </c>
      <c r="K12" s="24"/>
      <c r="L12" s="48"/>
      <c r="M12" s="47"/>
      <c r="N12" s="47"/>
      <c r="O12" s="49"/>
      <c r="P12" s="197" t="s">
        <v>140</v>
      </c>
      <c r="Q12" s="198"/>
      <c r="R12" s="199">
        <v>478.0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6610</v>
      </c>
      <c r="D13" s="24"/>
      <c r="E13" s="43">
        <v>4.0</v>
      </c>
      <c r="F13" s="56">
        <v>219.0</v>
      </c>
      <c r="G13" s="64"/>
      <c r="H13" s="189">
        <v>219.0</v>
      </c>
      <c r="I13" s="65"/>
      <c r="J13" s="130">
        <v>3751.0</v>
      </c>
      <c r="K13" s="24"/>
      <c r="L13" s="48"/>
      <c r="M13" s="48"/>
      <c r="N13" s="48"/>
      <c r="O13" s="49"/>
      <c r="P13" s="72" t="s">
        <v>141</v>
      </c>
      <c r="Q13" s="51"/>
      <c r="R13" s="52">
        <v>684.0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978</v>
      </c>
      <c r="D14" s="24"/>
      <c r="E14" s="43">
        <v>5.0</v>
      </c>
      <c r="F14" s="56">
        <v>84.0</v>
      </c>
      <c r="G14" s="64">
        <v>84.0</v>
      </c>
      <c r="H14" s="65"/>
      <c r="I14" s="65"/>
      <c r="J14" s="130">
        <v>3752.0</v>
      </c>
      <c r="K14" s="24"/>
      <c r="L14" s="48"/>
      <c r="M14" s="48"/>
      <c r="N14" s="48"/>
      <c r="O14" s="49"/>
      <c r="P14" s="72" t="s">
        <v>140</v>
      </c>
      <c r="Q14" s="51"/>
      <c r="R14" s="52">
        <v>119.0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899.0</v>
      </c>
      <c r="G15" s="64"/>
      <c r="H15" s="64"/>
      <c r="I15" s="64">
        <v>899.0</v>
      </c>
      <c r="J15" s="130" t="s">
        <v>142</v>
      </c>
      <c r="K15" s="24"/>
      <c r="L15" s="48"/>
      <c r="M15" s="48"/>
      <c r="N15" s="48"/>
      <c r="O15" s="49"/>
      <c r="P15" s="72" t="s">
        <v>143</v>
      </c>
      <c r="Q15" s="51"/>
      <c r="R15" s="52">
        <v>120.0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1701</v>
      </c>
      <c r="D16" s="24"/>
      <c r="E16" s="43">
        <v>7.0</v>
      </c>
      <c r="F16" s="56">
        <v>142.0</v>
      </c>
      <c r="G16" s="64">
        <v>142.0</v>
      </c>
      <c r="H16" s="64"/>
      <c r="I16" s="65"/>
      <c r="J16" s="130">
        <v>3754.0</v>
      </c>
      <c r="K16" s="24"/>
      <c r="L16" s="48"/>
      <c r="M16" s="48"/>
      <c r="N16" s="48"/>
      <c r="O16" s="49"/>
      <c r="P16" s="72" t="s">
        <v>48</v>
      </c>
      <c r="Q16" s="51"/>
      <c r="R16" s="52">
        <v>300.0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1701</v>
      </c>
      <c r="D17" s="24"/>
      <c r="E17" s="43">
        <v>8.0</v>
      </c>
      <c r="F17" s="56">
        <v>10.0</v>
      </c>
      <c r="G17" s="64">
        <v>10.0</v>
      </c>
      <c r="H17" s="64"/>
      <c r="I17" s="65"/>
      <c r="J17" s="130">
        <v>3755.0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380.0</v>
      </c>
      <c r="G18" s="64">
        <v>380.0</v>
      </c>
      <c r="H18" s="64"/>
      <c r="I18" s="65"/>
      <c r="J18" s="130">
        <v>3756.0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135.0</v>
      </c>
      <c r="G19" s="64">
        <v>135.0</v>
      </c>
      <c r="H19" s="65"/>
      <c r="I19" s="65"/>
      <c r="J19" s="130">
        <v>3757.0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42042</v>
      </c>
      <c r="D20" s="24"/>
      <c r="E20" s="43">
        <v>11.0</v>
      </c>
      <c r="F20" s="56">
        <v>9.0</v>
      </c>
      <c r="G20" s="64">
        <v>9.0</v>
      </c>
      <c r="H20" s="64"/>
      <c r="I20" s="65"/>
      <c r="J20" s="130">
        <v>3758.0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31225</v>
      </c>
      <c r="D21" s="24"/>
      <c r="E21" s="43">
        <v>12.0</v>
      </c>
      <c r="F21" s="56">
        <v>538.0</v>
      </c>
      <c r="G21" s="65"/>
      <c r="H21" s="189">
        <v>538.0</v>
      </c>
      <c r="I21" s="65"/>
      <c r="J21" s="130">
        <v>3759.0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66806</v>
      </c>
      <c r="D22" s="24"/>
      <c r="E22" s="43">
        <v>13.0</v>
      </c>
      <c r="F22" s="56">
        <v>303.0</v>
      </c>
      <c r="G22" s="64">
        <v>303.0</v>
      </c>
      <c r="H22" s="64"/>
      <c r="I22" s="65"/>
      <c r="J22" s="130">
        <v>3760.0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70930.0</v>
      </c>
      <c r="D23" s="24"/>
      <c r="E23" s="43">
        <v>14.0</v>
      </c>
      <c r="F23" s="56">
        <v>236.0</v>
      </c>
      <c r="G23" s="64">
        <v>236.0</v>
      </c>
      <c r="H23" s="65"/>
      <c r="I23" s="65"/>
      <c r="J23" s="130">
        <v>3761.0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-4124</v>
      </c>
      <c r="D24" s="24"/>
      <c r="E24" s="43">
        <v>15.0</v>
      </c>
      <c r="F24" s="56">
        <v>265.0</v>
      </c>
      <c r="G24" s="64">
        <v>265.0</v>
      </c>
      <c r="H24" s="65"/>
      <c r="I24" s="65"/>
      <c r="J24" s="130">
        <v>3762.0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1587.0</v>
      </c>
      <c r="G25" s="64"/>
      <c r="H25" s="189">
        <v>1587.0</v>
      </c>
      <c r="I25" s="65"/>
      <c r="J25" s="130">
        <v>3763.0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F160</f>
        <v>55293</v>
      </c>
      <c r="D26" s="24"/>
      <c r="E26" s="43">
        <v>17.0</v>
      </c>
      <c r="F26" s="56">
        <v>404.0</v>
      </c>
      <c r="G26" s="64"/>
      <c r="H26" s="189">
        <v>404.0</v>
      </c>
      <c r="I26" s="65"/>
      <c r="J26" s="130">
        <v>3764.0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136.0</v>
      </c>
      <c r="D27" s="24"/>
      <c r="E27" s="43">
        <v>18.0</v>
      </c>
      <c r="F27" s="56">
        <v>10.0</v>
      </c>
      <c r="G27" s="64">
        <v>5.0</v>
      </c>
      <c r="H27" s="189">
        <v>5.0</v>
      </c>
      <c r="I27" s="65"/>
      <c r="J27" s="130">
        <v>3765.0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406.5661765</v>
      </c>
      <c r="D28" s="24"/>
      <c r="E28" s="43">
        <v>19.0</v>
      </c>
      <c r="F28" s="56">
        <v>683.0</v>
      </c>
      <c r="G28" s="64">
        <v>683.0</v>
      </c>
      <c r="H28" s="65"/>
      <c r="I28" s="65"/>
      <c r="J28" s="130">
        <v>3766.0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103.0</v>
      </c>
      <c r="G29" s="64">
        <v>103.0</v>
      </c>
      <c r="H29" s="65"/>
      <c r="I29" s="65"/>
      <c r="J29" s="130">
        <v>3767.0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1287.0</v>
      </c>
      <c r="G30" s="92"/>
      <c r="H30" s="190">
        <v>1287.0</v>
      </c>
      <c r="I30" s="93"/>
      <c r="J30" s="130">
        <v>3768.0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37361</v>
      </c>
      <c r="D31" s="24"/>
      <c r="E31" s="43">
        <v>22.0</v>
      </c>
      <c r="F31" s="56">
        <v>39.0</v>
      </c>
      <c r="G31" s="93"/>
      <c r="H31" s="190"/>
      <c r="I31" s="92"/>
      <c r="J31" s="130">
        <v>3769.0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1701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251.0</v>
      </c>
      <c r="G32" s="93">
        <v>251.0</v>
      </c>
      <c r="H32" s="92"/>
      <c r="I32" s="92"/>
      <c r="J32" s="130">
        <v>3770.0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220.0</v>
      </c>
      <c r="G33" s="93"/>
      <c r="H33" s="190">
        <v>220.0</v>
      </c>
      <c r="I33" s="92"/>
      <c r="J33" s="130">
        <v>3771.0</v>
      </c>
      <c r="K33" s="24"/>
      <c r="L33" s="104">
        <f t="shared" ref="L33:M33" si="2">sum(L10:L32)</f>
        <v>6610</v>
      </c>
      <c r="M33" s="104">
        <f t="shared" si="2"/>
        <v>978</v>
      </c>
      <c r="N33" s="104"/>
      <c r="O33" s="105"/>
      <c r="P33" s="85" t="s">
        <v>38</v>
      </c>
      <c r="Q33" s="51"/>
      <c r="R33" s="100"/>
      <c r="S33" s="52">
        <v>37361.0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1241.0</v>
      </c>
      <c r="G34" s="93">
        <v>1200.0</v>
      </c>
      <c r="H34" s="190">
        <v>41.0</v>
      </c>
      <c r="I34" s="92"/>
      <c r="J34" s="130">
        <v>3772.0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668.0</v>
      </c>
      <c r="G35" s="93">
        <v>668.0</v>
      </c>
      <c r="H35" s="93"/>
      <c r="I35" s="92"/>
      <c r="J35" s="130">
        <v>3773.0</v>
      </c>
      <c r="K35" s="24"/>
      <c r="L35" s="112"/>
      <c r="M35" s="137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399.0</v>
      </c>
      <c r="G36" s="92"/>
      <c r="H36" s="190">
        <v>399.0</v>
      </c>
      <c r="I36" s="92"/>
      <c r="J36" s="130">
        <v>3774.0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261.0</v>
      </c>
      <c r="G37" s="93">
        <v>261.0</v>
      </c>
      <c r="H37" s="92"/>
      <c r="I37" s="92"/>
      <c r="J37" s="130">
        <v>3775.0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16.0</v>
      </c>
      <c r="G38" s="93"/>
      <c r="H38" s="190">
        <v>16.0</v>
      </c>
      <c r="I38" s="92"/>
      <c r="J38" s="130">
        <v>3776.0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270.0</v>
      </c>
      <c r="G39" s="93"/>
      <c r="H39" s="200">
        <v>270.0</v>
      </c>
      <c r="I39" s="92"/>
      <c r="J39" s="130">
        <v>3777.0</v>
      </c>
      <c r="K39" s="24"/>
      <c r="L39" s="112"/>
      <c r="M39" s="117"/>
      <c r="N39" s="112"/>
      <c r="O39" s="112"/>
      <c r="P39" s="137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150.0</v>
      </c>
      <c r="G40" s="92"/>
      <c r="H40" s="200">
        <v>150.0</v>
      </c>
      <c r="I40" s="92"/>
      <c r="J40" s="130">
        <v>3778.0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281.0</v>
      </c>
      <c r="G41" s="92"/>
      <c r="H41" s="201">
        <v>281.0</v>
      </c>
      <c r="I41" s="202"/>
      <c r="J41" s="203" t="s">
        <v>144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365.0</v>
      </c>
      <c r="G42" s="93"/>
      <c r="H42" s="201">
        <v>365.0</v>
      </c>
      <c r="I42" s="202"/>
      <c r="J42" s="203" t="s">
        <v>145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1119.0</v>
      </c>
      <c r="G43" s="93"/>
      <c r="H43" s="136">
        <v>1119.0</v>
      </c>
      <c r="I43" s="173"/>
      <c r="J43" s="155" t="s">
        <v>146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145.0</v>
      </c>
      <c r="G44" s="93">
        <v>145.0</v>
      </c>
      <c r="H44" s="93"/>
      <c r="I44" s="92"/>
      <c r="J44" s="130">
        <v>3782.0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135.0</v>
      </c>
      <c r="G45" s="93">
        <v>135.0</v>
      </c>
      <c r="H45" s="92"/>
      <c r="I45" s="92"/>
      <c r="J45" s="130">
        <v>3783.0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290.0</v>
      </c>
      <c r="G46" s="93"/>
      <c r="H46" s="190">
        <v>290.0</v>
      </c>
      <c r="I46" s="92"/>
      <c r="J46" s="130">
        <v>3784.0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1917.0</v>
      </c>
      <c r="G47" s="92"/>
      <c r="H47" s="190">
        <v>1917.0</v>
      </c>
      <c r="I47" s="92"/>
      <c r="J47" s="130">
        <v>3785.0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35.0</v>
      </c>
      <c r="G48" s="93">
        <v>35.0</v>
      </c>
      <c r="H48" s="92"/>
      <c r="I48" s="92"/>
      <c r="J48" s="130">
        <v>3786.0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110.0</v>
      </c>
      <c r="G49" s="92"/>
      <c r="H49" s="190">
        <v>110.0</v>
      </c>
      <c r="I49" s="92"/>
      <c r="J49" s="130">
        <v>3787.0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468.0</v>
      </c>
      <c r="G50" s="92"/>
      <c r="H50" s="190">
        <v>468.0</v>
      </c>
      <c r="I50" s="92"/>
      <c r="J50" s="130">
        <v>3788.0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10.0</v>
      </c>
      <c r="G51" s="93">
        <v>10.0</v>
      </c>
      <c r="H51" s="92"/>
      <c r="I51" s="92"/>
      <c r="J51" s="130">
        <v>3789.0</v>
      </c>
      <c r="K51" s="24"/>
      <c r="L51" s="112"/>
      <c r="M51" s="137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137.0</v>
      </c>
      <c r="G52" s="93">
        <v>137.0</v>
      </c>
      <c r="H52" s="92"/>
      <c r="I52" s="92"/>
      <c r="J52" s="130">
        <v>3790.0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138.0</v>
      </c>
      <c r="G53" s="92"/>
      <c r="H53" s="190">
        <v>550.0</v>
      </c>
      <c r="I53" s="92"/>
      <c r="J53" s="130" t="s">
        <v>147</v>
      </c>
      <c r="K53" s="24"/>
      <c r="L53" s="112"/>
      <c r="M53" s="112"/>
      <c r="N53" s="112"/>
      <c r="O53" s="112"/>
      <c r="P53" s="117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75.0</v>
      </c>
      <c r="G54" s="93">
        <v>75.0</v>
      </c>
      <c r="H54" s="92"/>
      <c r="I54" s="92"/>
      <c r="J54" s="130">
        <v>3792.0</v>
      </c>
      <c r="K54" s="24"/>
      <c r="L54" s="112"/>
      <c r="M54" s="112"/>
      <c r="N54" s="112"/>
      <c r="O54" s="112"/>
      <c r="P54" s="117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927.0</v>
      </c>
      <c r="G55" s="92"/>
      <c r="H55" s="204">
        <v>927.0</v>
      </c>
      <c r="I55" s="92"/>
      <c r="J55" s="205" t="s">
        <v>148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126.0</v>
      </c>
      <c r="G56" s="93">
        <v>120.0</v>
      </c>
      <c r="H56" s="190">
        <v>6.0</v>
      </c>
      <c r="I56" s="92"/>
      <c r="J56" s="130">
        <v>3794.0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99.0</v>
      </c>
      <c r="G57" s="93">
        <v>99.0</v>
      </c>
      <c r="H57" s="92"/>
      <c r="I57" s="92"/>
      <c r="J57" s="130">
        <v>3795.0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1135.0</v>
      </c>
      <c r="G58" s="92"/>
      <c r="H58" s="177">
        <v>1135.0</v>
      </c>
      <c r="I58" s="92"/>
      <c r="J58" s="130" t="s">
        <v>149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194.0</v>
      </c>
      <c r="G59" s="92"/>
      <c r="H59" s="190">
        <v>194.0</v>
      </c>
      <c r="I59" s="92"/>
      <c r="J59" s="130">
        <v>3797.0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326.0</v>
      </c>
      <c r="G60" s="92"/>
      <c r="H60" s="177">
        <v>326.0</v>
      </c>
      <c r="I60" s="92"/>
      <c r="J60" s="168" t="s">
        <v>150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210.0</v>
      </c>
      <c r="G61" s="93">
        <v>200.0</v>
      </c>
      <c r="H61" s="190">
        <v>10.0</v>
      </c>
      <c r="I61" s="92"/>
      <c r="J61" s="130">
        <v>3799.0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1697.0</v>
      </c>
      <c r="G62" s="92"/>
      <c r="H62" s="136">
        <v>1697.0</v>
      </c>
      <c r="I62" s="173"/>
      <c r="J62" s="155" t="s">
        <v>151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270.0</v>
      </c>
      <c r="G63" s="93">
        <v>270.0</v>
      </c>
      <c r="H63" s="152"/>
      <c r="I63" s="92"/>
      <c r="J63" s="130">
        <v>3801.0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150.0</v>
      </c>
      <c r="G64" s="152"/>
      <c r="H64" s="190">
        <v>150.0</v>
      </c>
      <c r="I64" s="93"/>
      <c r="J64" s="130">
        <v>3802.0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20.0</v>
      </c>
      <c r="G65" s="93">
        <v>20.0</v>
      </c>
      <c r="H65" s="92"/>
      <c r="I65" s="92"/>
      <c r="J65" s="130">
        <v>3803.0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206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40.0</v>
      </c>
      <c r="G66" s="93">
        <v>40.0</v>
      </c>
      <c r="H66" s="92"/>
      <c r="I66" s="92"/>
      <c r="J66" s="130">
        <v>3804.0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859.0</v>
      </c>
      <c r="G67" s="204">
        <v>750.0</v>
      </c>
      <c r="H67" s="204">
        <v>109.0</v>
      </c>
      <c r="I67" s="92"/>
      <c r="J67" s="130">
        <v>3805.0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1270.0</v>
      </c>
      <c r="G68" s="92"/>
      <c r="H68" s="190">
        <v>1270.0</v>
      </c>
      <c r="I68" s="92"/>
      <c r="J68" s="130">
        <v>3806.0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22.0</v>
      </c>
      <c r="G69" s="92"/>
      <c r="H69" s="190">
        <v>22.0</v>
      </c>
      <c r="I69" s="92"/>
      <c r="J69" s="130">
        <v>3807.0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261.0</v>
      </c>
      <c r="G70" s="92"/>
      <c r="H70" s="190">
        <v>261.0</v>
      </c>
      <c r="I70" s="92"/>
      <c r="J70" s="130">
        <v>3808.0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255.0</v>
      </c>
      <c r="G71" s="92"/>
      <c r="H71" s="190">
        <v>255.0</v>
      </c>
      <c r="I71" s="92"/>
      <c r="J71" s="130">
        <v>3809.0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896.0</v>
      </c>
      <c r="G72" s="152"/>
      <c r="H72" s="207">
        <v>896.0</v>
      </c>
      <c r="I72" s="92"/>
      <c r="J72" s="130">
        <v>3810.0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538.0</v>
      </c>
      <c r="G73" s="92"/>
      <c r="H73" s="136">
        <v>538.0</v>
      </c>
      <c r="I73" s="173"/>
      <c r="J73" s="155" t="s">
        <v>152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/>
      <c r="H74" s="177">
        <v>10.0</v>
      </c>
      <c r="I74" s="92"/>
      <c r="J74" s="130">
        <v>3812.0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337.0</v>
      </c>
      <c r="G75" s="93"/>
      <c r="H75" s="177">
        <v>337.0</v>
      </c>
      <c r="I75" s="92"/>
      <c r="J75" s="130">
        <v>3813.0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104.0</v>
      </c>
      <c r="G76" s="93">
        <v>104.0</v>
      </c>
      <c r="H76" s="92"/>
      <c r="I76" s="92"/>
      <c r="J76" s="130">
        <v>3814.0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50.0</v>
      </c>
      <c r="G77" s="92"/>
      <c r="H77" s="190">
        <v>50.0</v>
      </c>
      <c r="I77" s="92"/>
      <c r="J77" s="130">
        <v>3815.0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44.0</v>
      </c>
      <c r="G78" s="92"/>
      <c r="H78" s="190">
        <v>44.0</v>
      </c>
      <c r="I78" s="92"/>
      <c r="J78" s="130">
        <v>3816.0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236.0</v>
      </c>
      <c r="G79" s="93">
        <v>236.0</v>
      </c>
      <c r="H79" s="92"/>
      <c r="I79" s="92"/>
      <c r="J79" s="130">
        <v>3817.0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300.0</v>
      </c>
      <c r="G80" s="92"/>
      <c r="H80" s="190">
        <v>300.0</v>
      </c>
      <c r="I80" s="92"/>
      <c r="J80" s="130">
        <v>3818.0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247.0</v>
      </c>
      <c r="G81" s="93">
        <v>247.0</v>
      </c>
      <c r="H81" s="92"/>
      <c r="I81" s="92"/>
      <c r="J81" s="130">
        <v>3819.0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522.0</v>
      </c>
      <c r="G82" s="54">
        <v>522.0</v>
      </c>
      <c r="H82" s="61"/>
      <c r="I82" s="61"/>
      <c r="J82" s="130">
        <v>3820.0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645.0</v>
      </c>
      <c r="G83" s="54">
        <v>645.0</v>
      </c>
      <c r="H83" s="61"/>
      <c r="I83" s="61"/>
      <c r="J83" s="130">
        <v>3821.0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300.0</v>
      </c>
      <c r="G84" s="61"/>
      <c r="H84" s="190">
        <v>300.0</v>
      </c>
      <c r="I84" s="61"/>
      <c r="J84" s="130">
        <v>3822.0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27.0</v>
      </c>
      <c r="G85" s="61"/>
      <c r="H85" s="190">
        <v>27.0</v>
      </c>
      <c r="I85" s="61"/>
      <c r="J85" s="130">
        <v>3823.0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417.0</v>
      </c>
      <c r="G86" s="54">
        <v>417.0</v>
      </c>
      <c r="H86" s="54"/>
      <c r="I86" s="61"/>
      <c r="J86" s="130">
        <v>3824.0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374.0</v>
      </c>
      <c r="G87" s="61"/>
      <c r="H87" s="190">
        <v>374.0</v>
      </c>
      <c r="I87" s="61"/>
      <c r="J87" s="130">
        <v>3825.0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158">
        <v>79.0</v>
      </c>
      <c r="F88" s="138">
        <v>31.0</v>
      </c>
      <c r="G88" s="54">
        <v>31.0</v>
      </c>
      <c r="H88" s="61"/>
      <c r="I88" s="61"/>
      <c r="J88" s="130">
        <v>3826.0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158">
        <v>80.0</v>
      </c>
      <c r="F89" s="138">
        <v>1324.0</v>
      </c>
      <c r="G89" s="61"/>
      <c r="H89" s="136">
        <v>1324.0</v>
      </c>
      <c r="I89" s="136"/>
      <c r="J89" s="155" t="s">
        <v>153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158">
        <v>81.0</v>
      </c>
      <c r="F90" s="138">
        <v>339.0</v>
      </c>
      <c r="G90" s="54"/>
      <c r="H90" s="61"/>
      <c r="I90" s="54">
        <v>339.0</v>
      </c>
      <c r="J90" s="130" t="s">
        <v>154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158">
        <v>82.0</v>
      </c>
      <c r="F91" s="138">
        <v>278.0</v>
      </c>
      <c r="G91" s="61"/>
      <c r="H91" s="190">
        <v>278.0</v>
      </c>
      <c r="I91" s="61"/>
      <c r="J91" s="130">
        <v>3829.0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158">
        <v>83.0</v>
      </c>
      <c r="F92" s="138">
        <v>31.0</v>
      </c>
      <c r="G92" s="61"/>
      <c r="H92" s="190">
        <v>31.0</v>
      </c>
      <c r="I92" s="61"/>
      <c r="J92" s="130">
        <v>3830.0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158">
        <v>84.0</v>
      </c>
      <c r="F93" s="138">
        <v>399.0</v>
      </c>
      <c r="G93" s="61"/>
      <c r="H93" s="190">
        <v>399.0</v>
      </c>
      <c r="I93" s="61"/>
      <c r="J93" s="130">
        <v>3831.0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158">
        <v>85.0</v>
      </c>
      <c r="F94" s="138">
        <v>101.0</v>
      </c>
      <c r="G94" s="61"/>
      <c r="H94" s="190">
        <v>101.0</v>
      </c>
      <c r="I94" s="61"/>
      <c r="J94" s="130">
        <v>3832.0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158">
        <v>86.0</v>
      </c>
      <c r="F95" s="138">
        <v>127.0</v>
      </c>
      <c r="G95" s="61"/>
      <c r="H95" s="190">
        <v>127.0</v>
      </c>
      <c r="I95" s="61"/>
      <c r="J95" s="130">
        <v>3833.0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158">
        <v>87.0</v>
      </c>
      <c r="F96" s="138">
        <v>1650.0</v>
      </c>
      <c r="G96" s="61"/>
      <c r="H96" s="190">
        <v>1650.0</v>
      </c>
      <c r="I96" s="61"/>
      <c r="J96" s="130">
        <v>3834.0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158">
        <v>88.0</v>
      </c>
      <c r="F97" s="138">
        <v>100.0</v>
      </c>
      <c r="G97" s="54">
        <v>100.0</v>
      </c>
      <c r="H97" s="61"/>
      <c r="I97" s="61"/>
      <c r="J97" s="130">
        <v>3835.0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58">
        <v>89.0</v>
      </c>
      <c r="F98" s="138">
        <v>330.0</v>
      </c>
      <c r="G98" s="54">
        <v>330.0</v>
      </c>
      <c r="H98" s="61"/>
      <c r="I98" s="61"/>
      <c r="J98" s="130">
        <v>3836.0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158">
        <v>90.0</v>
      </c>
      <c r="F99" s="138">
        <v>523.0</v>
      </c>
      <c r="G99" s="54">
        <v>523.0</v>
      </c>
      <c r="H99" s="61"/>
      <c r="I99" s="61"/>
      <c r="J99" s="130">
        <v>3837.0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158">
        <v>91.0</v>
      </c>
      <c r="F100" s="138">
        <v>653.0</v>
      </c>
      <c r="G100" s="54">
        <v>653.0</v>
      </c>
      <c r="H100" s="61"/>
      <c r="I100" s="61"/>
      <c r="J100" s="130">
        <v>3838.0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158">
        <v>92.0</v>
      </c>
      <c r="F101" s="138">
        <v>3940.0</v>
      </c>
      <c r="G101" s="54"/>
      <c r="H101" s="61"/>
      <c r="I101" s="54">
        <v>3940.0</v>
      </c>
      <c r="J101" s="130" t="s">
        <v>155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58">
        <v>93.0</v>
      </c>
      <c r="F102" s="138">
        <v>11.0</v>
      </c>
      <c r="G102" s="61"/>
      <c r="H102" s="190">
        <v>11.0</v>
      </c>
      <c r="I102" s="61"/>
      <c r="J102" s="130">
        <v>3840.0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158">
        <v>94.0</v>
      </c>
      <c r="F103" s="138">
        <v>198.0</v>
      </c>
      <c r="G103" s="54">
        <v>198.0</v>
      </c>
      <c r="H103" s="61"/>
      <c r="I103" s="61"/>
      <c r="J103" s="130">
        <v>3841.0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158">
        <v>95.0</v>
      </c>
      <c r="F104" s="138">
        <v>494.0</v>
      </c>
      <c r="G104" s="54">
        <v>494.0</v>
      </c>
      <c r="H104" s="61"/>
      <c r="I104" s="61"/>
      <c r="J104" s="130">
        <v>3842.0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158">
        <v>96.0</v>
      </c>
      <c r="F105" s="138">
        <v>328.0</v>
      </c>
      <c r="G105" s="54">
        <v>328.0</v>
      </c>
      <c r="H105" s="61"/>
      <c r="I105" s="61"/>
      <c r="J105" s="130">
        <v>3843.0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58">
        <v>97.0</v>
      </c>
      <c r="F106" s="138">
        <v>182.0</v>
      </c>
      <c r="G106" s="54">
        <v>12.0</v>
      </c>
      <c r="H106" s="208">
        <v>170.0</v>
      </c>
      <c r="I106" s="61"/>
      <c r="J106" s="130">
        <v>3844.0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158">
        <v>98.0</v>
      </c>
      <c r="F107" s="138">
        <v>150.0</v>
      </c>
      <c r="G107" s="61"/>
      <c r="H107" s="190">
        <v>150.0</v>
      </c>
      <c r="I107" s="61"/>
      <c r="J107" s="130">
        <v>3845.0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158">
        <v>99.0</v>
      </c>
      <c r="F108" s="138">
        <v>558.0</v>
      </c>
      <c r="G108" s="54"/>
      <c r="H108" s="61"/>
      <c r="I108" s="54">
        <v>558.0</v>
      </c>
      <c r="J108" s="130">
        <v>3846.0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158">
        <v>100.0</v>
      </c>
      <c r="F109" s="138">
        <v>69.0</v>
      </c>
      <c r="G109" s="54">
        <v>69.0</v>
      </c>
      <c r="H109" s="61"/>
      <c r="I109" s="61"/>
      <c r="J109" s="130">
        <v>3847.0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158">
        <v>101.0</v>
      </c>
      <c r="F110" s="138">
        <v>1080.0</v>
      </c>
      <c r="G110" s="152">
        <v>1080.0</v>
      </c>
      <c r="H110" s="152"/>
      <c r="I110" s="61"/>
      <c r="J110" s="130">
        <v>3848.0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158">
        <v>102.0</v>
      </c>
      <c r="F111" s="138">
        <v>238.0</v>
      </c>
      <c r="G111" s="61"/>
      <c r="H111" s="61"/>
      <c r="I111" s="54">
        <v>238.0</v>
      </c>
      <c r="J111" s="130" t="s">
        <v>156</v>
      </c>
      <c r="K111" s="24"/>
      <c r="L111" s="112"/>
      <c r="M111" s="112"/>
      <c r="N111" s="209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158">
        <v>103.0</v>
      </c>
      <c r="F112" s="138">
        <v>133.0</v>
      </c>
      <c r="G112" s="61"/>
      <c r="H112" s="190">
        <v>133.0</v>
      </c>
      <c r="I112" s="61"/>
      <c r="J112" s="130">
        <v>3850.0</v>
      </c>
      <c r="K112" s="24"/>
      <c r="L112" s="112"/>
      <c r="M112" s="112"/>
      <c r="N112" s="210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158">
        <v>104.0</v>
      </c>
      <c r="F113" s="138">
        <v>54.0</v>
      </c>
      <c r="G113" s="54">
        <v>50.0</v>
      </c>
      <c r="H113" s="190">
        <v>4.0</v>
      </c>
      <c r="I113" s="61"/>
      <c r="J113" s="130">
        <v>3851.0</v>
      </c>
      <c r="K113" s="24"/>
      <c r="L113" s="112"/>
      <c r="M113" s="112"/>
      <c r="N113" s="211"/>
      <c r="O113" s="112"/>
      <c r="P113" s="117" t="s">
        <v>157</v>
      </c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158">
        <v>105.0</v>
      </c>
      <c r="F114" s="138">
        <v>419.0</v>
      </c>
      <c r="G114" s="61"/>
      <c r="H114" s="190">
        <v>419.0</v>
      </c>
      <c r="I114" s="61"/>
      <c r="J114" s="130">
        <v>3852.0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158">
        <v>106.0</v>
      </c>
      <c r="F115" s="138">
        <v>2138.0</v>
      </c>
      <c r="G115" s="54">
        <v>2138.0</v>
      </c>
      <c r="H115" s="61"/>
      <c r="I115" s="61"/>
      <c r="J115" s="130">
        <v>3853.0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158">
        <v>107.0</v>
      </c>
      <c r="F116" s="138">
        <v>606.0</v>
      </c>
      <c r="G116" s="54">
        <v>606.0</v>
      </c>
      <c r="H116" s="61"/>
      <c r="I116" s="61"/>
      <c r="J116" s="130">
        <v>3854.0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158">
        <v>108.0</v>
      </c>
      <c r="F117" s="138">
        <v>234.0</v>
      </c>
      <c r="G117" s="54">
        <v>234.0</v>
      </c>
      <c r="H117" s="61"/>
      <c r="I117" s="61"/>
      <c r="J117" s="130">
        <v>3855.0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158">
        <v>109.0</v>
      </c>
      <c r="F118" s="138">
        <v>195.0</v>
      </c>
      <c r="G118" s="54">
        <v>195.0</v>
      </c>
      <c r="H118" s="61"/>
      <c r="I118" s="61"/>
      <c r="J118" s="130">
        <v>3856.0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158">
        <v>110.0</v>
      </c>
      <c r="F119" s="138">
        <v>584.0</v>
      </c>
      <c r="G119" s="61"/>
      <c r="H119" s="190">
        <v>584.0</v>
      </c>
      <c r="I119" s="61"/>
      <c r="J119" s="130">
        <v>3857.0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158">
        <v>111.0</v>
      </c>
      <c r="F120" s="138">
        <v>182.0</v>
      </c>
      <c r="G120" s="61"/>
      <c r="H120" s="190">
        <v>182.0</v>
      </c>
      <c r="I120" s="61"/>
      <c r="J120" s="130">
        <v>3858.0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158">
        <v>112.0</v>
      </c>
      <c r="F121" s="138">
        <v>757.0</v>
      </c>
      <c r="G121" s="61"/>
      <c r="H121" s="190">
        <v>757.0</v>
      </c>
      <c r="I121" s="61"/>
      <c r="J121" s="130">
        <v>3859.0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158">
        <v>113.0</v>
      </c>
      <c r="F122" s="138">
        <v>523.0</v>
      </c>
      <c r="G122" s="61"/>
      <c r="H122" s="190">
        <v>523.0</v>
      </c>
      <c r="I122" s="61"/>
      <c r="J122" s="130">
        <v>3860.0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158">
        <v>114.0</v>
      </c>
      <c r="F123" s="138">
        <v>105.0</v>
      </c>
      <c r="G123" s="54">
        <v>105.0</v>
      </c>
      <c r="H123" s="61"/>
      <c r="I123" s="61"/>
      <c r="J123" s="130">
        <v>3861.0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158">
        <v>115.0</v>
      </c>
      <c r="F124" s="138">
        <v>52.0</v>
      </c>
      <c r="G124" s="61"/>
      <c r="H124" s="190">
        <v>52.0</v>
      </c>
      <c r="I124" s="61"/>
      <c r="J124" s="130">
        <v>3862.0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158">
        <v>116.0</v>
      </c>
      <c r="F125" s="138">
        <v>241.0</v>
      </c>
      <c r="G125" s="61"/>
      <c r="H125" s="190">
        <v>241.0</v>
      </c>
      <c r="I125" s="61"/>
      <c r="J125" s="130">
        <v>3863.0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58">
        <v>117.0</v>
      </c>
      <c r="F126" s="138">
        <v>37.0</v>
      </c>
      <c r="G126" s="61"/>
      <c r="H126" s="190">
        <v>37.0</v>
      </c>
      <c r="I126" s="61"/>
      <c r="J126" s="130">
        <v>3864.0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158">
        <v>118.0</v>
      </c>
      <c r="F127" s="138">
        <v>880.0</v>
      </c>
      <c r="G127" s="61"/>
      <c r="H127" s="190">
        <v>880.0</v>
      </c>
      <c r="I127" s="61"/>
      <c r="J127" s="130">
        <v>3865.0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158">
        <v>119.0</v>
      </c>
      <c r="F128" s="138">
        <v>25.0</v>
      </c>
      <c r="G128" s="61"/>
      <c r="H128" s="190">
        <v>25.0</v>
      </c>
      <c r="I128" s="61"/>
      <c r="J128" s="130">
        <v>3866.0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158">
        <v>120.0</v>
      </c>
      <c r="F129" s="138">
        <v>36.0</v>
      </c>
      <c r="G129" s="61"/>
      <c r="H129" s="190">
        <v>36.0</v>
      </c>
      <c r="I129" s="61"/>
      <c r="J129" s="130">
        <v>3867.0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158">
        <v>121.0</v>
      </c>
      <c r="F130" s="138">
        <v>89.0</v>
      </c>
      <c r="G130" s="54">
        <v>89.0</v>
      </c>
      <c r="H130" s="61"/>
      <c r="I130" s="61"/>
      <c r="J130" s="130">
        <v>3868.0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158">
        <v>122.0</v>
      </c>
      <c r="F131" s="138">
        <v>32.0</v>
      </c>
      <c r="G131" s="54">
        <v>142.0</v>
      </c>
      <c r="H131" s="61"/>
      <c r="I131" s="61"/>
      <c r="J131" s="130" t="s">
        <v>158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158">
        <v>123.0</v>
      </c>
      <c r="F132" s="138">
        <v>349.0</v>
      </c>
      <c r="G132" s="61"/>
      <c r="H132" s="190">
        <v>349.0</v>
      </c>
      <c r="I132" s="61"/>
      <c r="J132" s="130">
        <v>3870.0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158">
        <v>124.0</v>
      </c>
      <c r="F133" s="138">
        <v>211.0</v>
      </c>
      <c r="G133" s="61"/>
      <c r="H133" s="136">
        <v>211.0</v>
      </c>
      <c r="I133" s="173"/>
      <c r="J133" s="155" t="s">
        <v>159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158">
        <v>125.0</v>
      </c>
      <c r="F134" s="138">
        <v>85.0</v>
      </c>
      <c r="G134" s="61"/>
      <c r="H134" s="190">
        <v>85.0</v>
      </c>
      <c r="I134" s="61"/>
      <c r="J134" s="130">
        <v>3872.0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158">
        <v>126.0</v>
      </c>
      <c r="F135" s="138">
        <v>486.0</v>
      </c>
      <c r="G135" s="54">
        <v>486.0</v>
      </c>
      <c r="H135" s="61"/>
      <c r="I135" s="61"/>
      <c r="J135" s="130">
        <v>3873.0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158">
        <v>127.0</v>
      </c>
      <c r="F136" s="138">
        <v>95.0</v>
      </c>
      <c r="G136" s="61"/>
      <c r="H136" s="190">
        <v>95.0</v>
      </c>
      <c r="I136" s="61"/>
      <c r="J136" s="130">
        <v>3874.0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158">
        <v>128.0</v>
      </c>
      <c r="F137" s="138">
        <v>10.0</v>
      </c>
      <c r="G137" s="61"/>
      <c r="H137" s="61"/>
      <c r="I137" s="54">
        <v>10.0</v>
      </c>
      <c r="J137" s="130" t="s">
        <v>160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158">
        <v>129.0</v>
      </c>
      <c r="F138" s="138">
        <v>256.0</v>
      </c>
      <c r="G138" s="61"/>
      <c r="H138" s="190">
        <v>256.0</v>
      </c>
      <c r="I138" s="61"/>
      <c r="J138" s="130">
        <v>3876.0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158">
        <v>130.0</v>
      </c>
      <c r="F139" s="138">
        <v>70.0</v>
      </c>
      <c r="G139" s="54">
        <v>20.0</v>
      </c>
      <c r="H139" s="54">
        <v>50.0</v>
      </c>
      <c r="I139" s="61"/>
      <c r="J139" s="130">
        <v>3877.0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158">
        <v>131.0</v>
      </c>
      <c r="F140" s="138">
        <v>526.0</v>
      </c>
      <c r="G140" s="61"/>
      <c r="H140" s="190">
        <v>526.0</v>
      </c>
      <c r="I140" s="61"/>
      <c r="J140" s="130">
        <v>3878.0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158">
        <v>132.0</v>
      </c>
      <c r="F141" s="138">
        <v>947.0</v>
      </c>
      <c r="G141" s="54">
        <v>947.0</v>
      </c>
      <c r="H141" s="61"/>
      <c r="I141" s="61"/>
      <c r="J141" s="130">
        <v>3879.0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158">
        <v>133.0</v>
      </c>
      <c r="F142" s="138">
        <v>126.0</v>
      </c>
      <c r="G142" s="54">
        <v>126.0</v>
      </c>
      <c r="H142" s="54"/>
      <c r="I142" s="61"/>
      <c r="J142" s="130">
        <v>3880.0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158">
        <v>134.0</v>
      </c>
      <c r="F143" s="138">
        <v>1610.0</v>
      </c>
      <c r="G143" s="61"/>
      <c r="H143" s="61"/>
      <c r="I143" s="54">
        <v>1610.0</v>
      </c>
      <c r="J143" s="130" t="s">
        <v>161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158">
        <v>135.0</v>
      </c>
      <c r="F144" s="138">
        <v>700.0</v>
      </c>
      <c r="G144" s="54"/>
      <c r="H144" s="190">
        <v>700.0</v>
      </c>
      <c r="I144" s="61"/>
      <c r="J144" s="130">
        <v>3882.0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158">
        <v>136.0</v>
      </c>
      <c r="F145" s="138">
        <v>179.0</v>
      </c>
      <c r="G145" s="61"/>
      <c r="H145" s="61"/>
      <c r="I145" s="54">
        <v>179.0</v>
      </c>
      <c r="J145" s="130" t="s">
        <v>162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158"/>
      <c r="F146" s="121"/>
      <c r="G146" s="61"/>
      <c r="H146" s="61"/>
      <c r="I146" s="61"/>
      <c r="J146" s="130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158"/>
      <c r="F147" s="121"/>
      <c r="G147" s="61"/>
      <c r="H147" s="61"/>
      <c r="I147" s="61"/>
      <c r="J147" s="130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158"/>
      <c r="F148" s="121"/>
      <c r="G148" s="61"/>
      <c r="H148" s="61"/>
      <c r="I148" s="61"/>
      <c r="J148" s="130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46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46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46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61"/>
      <c r="I153" s="61"/>
      <c r="J153" s="46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61"/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54"/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54"/>
      <c r="I156" s="61"/>
      <c r="J156" s="46"/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61"/>
      <c r="I157" s="61"/>
      <c r="J157" s="46"/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54"/>
      <c r="H158" s="61"/>
      <c r="I158" s="61"/>
      <c r="J158" s="130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24"/>
      <c r="E159" s="43"/>
      <c r="F159" s="121"/>
      <c r="G159" s="61"/>
      <c r="H159" s="170">
        <v>90.0</v>
      </c>
      <c r="I159" s="193"/>
      <c r="J159" s="212" t="s">
        <v>163</v>
      </c>
      <c r="K159" s="24"/>
      <c r="L159" s="112"/>
      <c r="M159" s="112"/>
      <c r="N159" s="112"/>
      <c r="O159" s="112"/>
      <c r="P159" s="112"/>
      <c r="Q159" s="113"/>
      <c r="R159" s="114"/>
      <c r="S159" s="114"/>
      <c r="T159" s="114"/>
      <c r="U159" s="115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4.25" customHeight="1">
      <c r="A160" s="1"/>
      <c r="B160" s="1"/>
      <c r="C160" s="1"/>
      <c r="D160" s="1"/>
      <c r="E160" s="122"/>
      <c r="F160" s="123">
        <f t="shared" ref="F160:I160" si="4">SUM(F10:F159)</f>
        <v>55293</v>
      </c>
      <c r="G160" s="123">
        <f t="shared" si="4"/>
        <v>17969</v>
      </c>
      <c r="H160" s="123">
        <f t="shared" si="4"/>
        <v>30247</v>
      </c>
      <c r="I160" s="123">
        <f t="shared" si="4"/>
        <v>7773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18"/>
      <c r="D161" s="1"/>
      <c r="E161" s="124"/>
      <c r="F161" s="124"/>
      <c r="G161" s="124"/>
      <c r="H161" s="124"/>
      <c r="I161" s="12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18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26"/>
      <c r="H173" s="12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48002.0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749626.0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41857.0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F160-C15</f>
        <v>55293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G160-W33</f>
        <v>17969</v>
      </c>
      <c r="D10" s="24"/>
      <c r="E10" s="191"/>
      <c r="F10" s="195"/>
      <c r="G10" s="159"/>
      <c r="H10" s="159">
        <v>123.0</v>
      </c>
      <c r="I10" s="159"/>
      <c r="J10" s="194"/>
      <c r="K10" s="24"/>
      <c r="L10" s="47"/>
      <c r="M10" s="196">
        <v>978.0</v>
      </c>
      <c r="N10" s="47">
        <v>3675.0</v>
      </c>
      <c r="O10" s="49"/>
      <c r="P10" s="85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H160-X33</f>
        <v>30286</v>
      </c>
      <c r="D11" s="24"/>
      <c r="E11" s="43">
        <v>2.0</v>
      </c>
      <c r="F11" s="56">
        <v>174.0</v>
      </c>
      <c r="G11" s="57"/>
      <c r="H11" s="188">
        <v>174.0</v>
      </c>
      <c r="I11" s="59"/>
      <c r="J11" s="130">
        <v>3749.0</v>
      </c>
      <c r="K11" s="24"/>
      <c r="L11" s="47">
        <v>6610.0</v>
      </c>
      <c r="M11" s="48"/>
      <c r="N11" s="47">
        <v>3546.0</v>
      </c>
      <c r="O11" s="49"/>
      <c r="P11" s="72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I160</f>
        <v>7773</v>
      </c>
      <c r="D12" s="24"/>
      <c r="E12" s="43">
        <v>3.0</v>
      </c>
      <c r="F12" s="63">
        <v>71.0</v>
      </c>
      <c r="G12" s="64">
        <v>71.0</v>
      </c>
      <c r="H12" s="64" t="s">
        <v>139</v>
      </c>
      <c r="I12" s="65"/>
      <c r="J12" s="130">
        <v>3750.0</v>
      </c>
      <c r="K12" s="24"/>
      <c r="L12" s="48"/>
      <c r="M12" s="47"/>
      <c r="N12" s="47"/>
      <c r="O12" s="49"/>
      <c r="P12" s="197" t="s">
        <v>140</v>
      </c>
      <c r="Q12" s="198"/>
      <c r="R12" s="199">
        <v>478.0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6610</v>
      </c>
      <c r="D13" s="24"/>
      <c r="E13" s="43">
        <v>4.0</v>
      </c>
      <c r="F13" s="56">
        <v>219.0</v>
      </c>
      <c r="G13" s="64"/>
      <c r="H13" s="189">
        <v>219.0</v>
      </c>
      <c r="I13" s="65"/>
      <c r="J13" s="130">
        <v>3751.0</v>
      </c>
      <c r="K13" s="24"/>
      <c r="L13" s="48"/>
      <c r="M13" s="48"/>
      <c r="N13" s="48"/>
      <c r="O13" s="49"/>
      <c r="P13" s="72" t="s">
        <v>141</v>
      </c>
      <c r="Q13" s="51"/>
      <c r="R13" s="52">
        <v>684.0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978</v>
      </c>
      <c r="D14" s="24"/>
      <c r="E14" s="43">
        <v>5.0</v>
      </c>
      <c r="F14" s="56">
        <v>84.0</v>
      </c>
      <c r="G14" s="64">
        <v>84.0</v>
      </c>
      <c r="H14" s="65"/>
      <c r="I14" s="65"/>
      <c r="J14" s="130">
        <v>3752.0</v>
      </c>
      <c r="K14" s="24"/>
      <c r="L14" s="48"/>
      <c r="M14" s="48"/>
      <c r="N14" s="48"/>
      <c r="O14" s="49"/>
      <c r="P14" s="72" t="s">
        <v>140</v>
      </c>
      <c r="Q14" s="51"/>
      <c r="R14" s="52">
        <v>119.0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899.0</v>
      </c>
      <c r="G15" s="64"/>
      <c r="H15" s="64"/>
      <c r="I15" s="64">
        <v>899.0</v>
      </c>
      <c r="J15" s="130" t="s">
        <v>142</v>
      </c>
      <c r="K15" s="24"/>
      <c r="L15" s="48"/>
      <c r="M15" s="48"/>
      <c r="N15" s="48"/>
      <c r="O15" s="49"/>
      <c r="P15" s="72" t="s">
        <v>143</v>
      </c>
      <c r="Q15" s="51"/>
      <c r="R15" s="52">
        <v>120.0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1701</v>
      </c>
      <c r="D16" s="24"/>
      <c r="E16" s="43">
        <v>7.0</v>
      </c>
      <c r="F16" s="56">
        <v>142.0</v>
      </c>
      <c r="G16" s="64">
        <v>142.0</v>
      </c>
      <c r="H16" s="64"/>
      <c r="I16" s="65"/>
      <c r="J16" s="130">
        <v>3754.0</v>
      </c>
      <c r="K16" s="24"/>
      <c r="L16" s="48"/>
      <c r="M16" s="48"/>
      <c r="N16" s="48"/>
      <c r="O16" s="49"/>
      <c r="P16" s="72" t="s">
        <v>48</v>
      </c>
      <c r="Q16" s="51"/>
      <c r="R16" s="52">
        <v>300.0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1701</v>
      </c>
      <c r="D17" s="24"/>
      <c r="E17" s="43">
        <v>8.0</v>
      </c>
      <c r="F17" s="56">
        <v>10.0</v>
      </c>
      <c r="G17" s="64">
        <v>10.0</v>
      </c>
      <c r="H17" s="64"/>
      <c r="I17" s="65"/>
      <c r="J17" s="130">
        <v>3755.0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380.0</v>
      </c>
      <c r="G18" s="64">
        <v>380.0</v>
      </c>
      <c r="H18" s="64"/>
      <c r="I18" s="65"/>
      <c r="J18" s="130">
        <v>3756.0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135.0</v>
      </c>
      <c r="G19" s="64">
        <v>135.0</v>
      </c>
      <c r="H19" s="65"/>
      <c r="I19" s="65"/>
      <c r="J19" s="130">
        <v>3757.0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42042</v>
      </c>
      <c r="D20" s="24"/>
      <c r="E20" s="43">
        <v>11.0</v>
      </c>
      <c r="F20" s="56">
        <v>9.0</v>
      </c>
      <c r="G20" s="64">
        <v>9.0</v>
      </c>
      <c r="H20" s="64"/>
      <c r="I20" s="65"/>
      <c r="J20" s="130">
        <v>3758.0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780890</v>
      </c>
      <c r="D21" s="24"/>
      <c r="E21" s="43">
        <v>12.0</v>
      </c>
      <c r="F21" s="56">
        <v>538.0</v>
      </c>
      <c r="G21" s="65"/>
      <c r="H21" s="189">
        <v>538.0</v>
      </c>
      <c r="I21" s="65"/>
      <c r="J21" s="130">
        <v>3759.0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70880</v>
      </c>
      <c r="D22" s="24"/>
      <c r="E22" s="43">
        <v>13.0</v>
      </c>
      <c r="F22" s="56">
        <v>303.0</v>
      </c>
      <c r="G22" s="64">
        <v>303.0</v>
      </c>
      <c r="H22" s="64"/>
      <c r="I22" s="65"/>
      <c r="J22" s="130">
        <v>3760.0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70930.0</v>
      </c>
      <c r="D23" s="24"/>
      <c r="E23" s="43">
        <v>14.0</v>
      </c>
      <c r="F23" s="56">
        <v>236.0</v>
      </c>
      <c r="G23" s="64">
        <v>236.0</v>
      </c>
      <c r="H23" s="65"/>
      <c r="I23" s="65"/>
      <c r="J23" s="130">
        <v>3761.0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-50</v>
      </c>
      <c r="D24" s="24"/>
      <c r="E24" s="43">
        <v>15.0</v>
      </c>
      <c r="F24" s="56">
        <v>265.0</v>
      </c>
      <c r="G24" s="64">
        <v>265.0</v>
      </c>
      <c r="H24" s="65"/>
      <c r="I24" s="65"/>
      <c r="J24" s="130">
        <v>3762.0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1587.0</v>
      </c>
      <c r="G25" s="64"/>
      <c r="H25" s="189">
        <v>1587.0</v>
      </c>
      <c r="I25" s="65"/>
      <c r="J25" s="130">
        <v>3763.0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F160</f>
        <v>55293</v>
      </c>
      <c r="D26" s="24"/>
      <c r="E26" s="43">
        <v>17.0</v>
      </c>
      <c r="F26" s="56">
        <v>404.0</v>
      </c>
      <c r="G26" s="64"/>
      <c r="H26" s="189">
        <v>404.0</v>
      </c>
      <c r="I26" s="65"/>
      <c r="J26" s="130">
        <v>3764.0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136.0</v>
      </c>
      <c r="D27" s="24"/>
      <c r="E27" s="43">
        <v>18.0</v>
      </c>
      <c r="F27" s="56">
        <v>10.0</v>
      </c>
      <c r="G27" s="64">
        <v>5.0</v>
      </c>
      <c r="H27" s="189">
        <v>5.0</v>
      </c>
      <c r="I27" s="65"/>
      <c r="J27" s="130">
        <v>3765.0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406.5661765</v>
      </c>
      <c r="D28" s="24"/>
      <c r="E28" s="43">
        <v>19.0</v>
      </c>
      <c r="F28" s="56">
        <v>683.0</v>
      </c>
      <c r="G28" s="64">
        <v>683.0</v>
      </c>
      <c r="H28" s="65"/>
      <c r="I28" s="65"/>
      <c r="J28" s="130">
        <v>3766.0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103.0</v>
      </c>
      <c r="G29" s="64">
        <v>103.0</v>
      </c>
      <c r="H29" s="65"/>
      <c r="I29" s="65"/>
      <c r="J29" s="130">
        <v>3767.0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1287.0</v>
      </c>
      <c r="G30" s="92"/>
      <c r="H30" s="190">
        <v>1287.0</v>
      </c>
      <c r="I30" s="93"/>
      <c r="J30" s="130">
        <v>3768.0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39.0</v>
      </c>
      <c r="G31" s="93"/>
      <c r="H31" s="190">
        <v>39.0</v>
      </c>
      <c r="I31" s="92"/>
      <c r="J31" s="130">
        <v>3769.0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1701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251.0</v>
      </c>
      <c r="G32" s="93">
        <v>251.0</v>
      </c>
      <c r="H32" s="92"/>
      <c r="I32" s="92"/>
      <c r="J32" s="130">
        <v>3770.0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220.0</v>
      </c>
      <c r="G33" s="93"/>
      <c r="H33" s="190">
        <v>220.0</v>
      </c>
      <c r="I33" s="92"/>
      <c r="J33" s="130">
        <v>3771.0</v>
      </c>
      <c r="K33" s="24"/>
      <c r="L33" s="104">
        <f t="shared" ref="L33:M33" si="2">sum(L10:L32)</f>
        <v>6610</v>
      </c>
      <c r="M33" s="104">
        <f t="shared" si="2"/>
        <v>978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1241.0</v>
      </c>
      <c r="G34" s="93">
        <v>1200.0</v>
      </c>
      <c r="H34" s="190">
        <v>41.0</v>
      </c>
      <c r="I34" s="92"/>
      <c r="J34" s="130">
        <v>3772.0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668.0</v>
      </c>
      <c r="G35" s="93">
        <v>668.0</v>
      </c>
      <c r="H35" s="93"/>
      <c r="I35" s="92"/>
      <c r="J35" s="130">
        <v>3773.0</v>
      </c>
      <c r="K35" s="24"/>
      <c r="L35" s="112"/>
      <c r="M35" s="137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399.0</v>
      </c>
      <c r="G36" s="92"/>
      <c r="H36" s="190">
        <v>399.0</v>
      </c>
      <c r="I36" s="92"/>
      <c r="J36" s="130">
        <v>3774.0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261.0</v>
      </c>
      <c r="G37" s="93">
        <v>261.0</v>
      </c>
      <c r="H37" s="92"/>
      <c r="I37" s="92"/>
      <c r="J37" s="130">
        <v>3775.0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16.0</v>
      </c>
      <c r="G38" s="93"/>
      <c r="H38" s="190">
        <v>16.0</v>
      </c>
      <c r="I38" s="92"/>
      <c r="J38" s="130">
        <v>3776.0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270.0</v>
      </c>
      <c r="G39" s="93"/>
      <c r="H39" s="200">
        <v>270.0</v>
      </c>
      <c r="I39" s="92"/>
      <c r="J39" s="130">
        <v>3777.0</v>
      </c>
      <c r="K39" s="24"/>
      <c r="L39" s="112"/>
      <c r="M39" s="117"/>
      <c r="N39" s="112"/>
      <c r="O39" s="112"/>
      <c r="P39" s="137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150.0</v>
      </c>
      <c r="G40" s="92"/>
      <c r="H40" s="200">
        <v>150.0</v>
      </c>
      <c r="I40" s="92"/>
      <c r="J40" s="130">
        <v>3778.0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281.0</v>
      </c>
      <c r="G41" s="92"/>
      <c r="H41" s="201">
        <v>281.0</v>
      </c>
      <c r="I41" s="202"/>
      <c r="J41" s="203" t="s">
        <v>144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365.0</v>
      </c>
      <c r="G42" s="93"/>
      <c r="H42" s="201">
        <v>365.0</v>
      </c>
      <c r="I42" s="202"/>
      <c r="J42" s="203" t="s">
        <v>145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1119.0</v>
      </c>
      <c r="G43" s="93"/>
      <c r="H43" s="136">
        <v>1119.0</v>
      </c>
      <c r="I43" s="173"/>
      <c r="J43" s="155" t="s">
        <v>146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145.0</v>
      </c>
      <c r="G44" s="93">
        <v>145.0</v>
      </c>
      <c r="H44" s="93"/>
      <c r="I44" s="92"/>
      <c r="J44" s="130">
        <v>3782.0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135.0</v>
      </c>
      <c r="G45" s="93">
        <v>135.0</v>
      </c>
      <c r="H45" s="92"/>
      <c r="I45" s="92"/>
      <c r="J45" s="130">
        <v>3783.0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290.0</v>
      </c>
      <c r="G46" s="93"/>
      <c r="H46" s="190">
        <v>290.0</v>
      </c>
      <c r="I46" s="92"/>
      <c r="J46" s="130">
        <v>3784.0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1917.0</v>
      </c>
      <c r="G47" s="92"/>
      <c r="H47" s="190">
        <v>1917.0</v>
      </c>
      <c r="I47" s="92"/>
      <c r="J47" s="130">
        <v>3785.0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35.0</v>
      </c>
      <c r="G48" s="93">
        <v>35.0</v>
      </c>
      <c r="H48" s="92"/>
      <c r="I48" s="92"/>
      <c r="J48" s="130">
        <v>3786.0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110.0</v>
      </c>
      <c r="G49" s="92"/>
      <c r="H49" s="190">
        <v>110.0</v>
      </c>
      <c r="I49" s="92"/>
      <c r="J49" s="130">
        <v>3787.0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468.0</v>
      </c>
      <c r="G50" s="92"/>
      <c r="H50" s="190">
        <v>468.0</v>
      </c>
      <c r="I50" s="92"/>
      <c r="J50" s="130">
        <v>3788.0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10.0</v>
      </c>
      <c r="G51" s="93">
        <v>10.0</v>
      </c>
      <c r="H51" s="92"/>
      <c r="I51" s="92"/>
      <c r="J51" s="130">
        <v>3789.0</v>
      </c>
      <c r="K51" s="24"/>
      <c r="L51" s="112"/>
      <c r="M51" s="137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137.0</v>
      </c>
      <c r="G52" s="93">
        <v>137.0</v>
      </c>
      <c r="H52" s="92"/>
      <c r="I52" s="92"/>
      <c r="J52" s="130">
        <v>3790.0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138.0</v>
      </c>
      <c r="G53" s="92"/>
      <c r="H53" s="190">
        <v>550.0</v>
      </c>
      <c r="I53" s="92"/>
      <c r="J53" s="130" t="s">
        <v>147</v>
      </c>
      <c r="K53" s="24"/>
      <c r="L53" s="112"/>
      <c r="M53" s="112"/>
      <c r="N53" s="112"/>
      <c r="O53" s="112"/>
      <c r="P53" s="117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75.0</v>
      </c>
      <c r="G54" s="93">
        <v>75.0</v>
      </c>
      <c r="H54" s="92"/>
      <c r="I54" s="92"/>
      <c r="J54" s="130">
        <v>3792.0</v>
      </c>
      <c r="K54" s="24"/>
      <c r="L54" s="112"/>
      <c r="M54" s="112"/>
      <c r="N54" s="112"/>
      <c r="O54" s="112"/>
      <c r="P54" s="117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927.0</v>
      </c>
      <c r="G55" s="92"/>
      <c r="H55" s="204">
        <v>927.0</v>
      </c>
      <c r="I55" s="92"/>
      <c r="J55" s="205" t="s">
        <v>148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126.0</v>
      </c>
      <c r="G56" s="93">
        <v>120.0</v>
      </c>
      <c r="H56" s="190">
        <v>6.0</v>
      </c>
      <c r="I56" s="92"/>
      <c r="J56" s="130">
        <v>3794.0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99.0</v>
      </c>
      <c r="G57" s="93">
        <v>99.0</v>
      </c>
      <c r="H57" s="92"/>
      <c r="I57" s="92"/>
      <c r="J57" s="130">
        <v>3795.0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1135.0</v>
      </c>
      <c r="G58" s="92"/>
      <c r="H58" s="177">
        <v>1135.0</v>
      </c>
      <c r="I58" s="92"/>
      <c r="J58" s="130" t="s">
        <v>149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194.0</v>
      </c>
      <c r="G59" s="92"/>
      <c r="H59" s="190">
        <v>194.0</v>
      </c>
      <c r="I59" s="92"/>
      <c r="J59" s="130">
        <v>3797.0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326.0</v>
      </c>
      <c r="G60" s="92"/>
      <c r="H60" s="177">
        <v>326.0</v>
      </c>
      <c r="I60" s="92"/>
      <c r="J60" s="168" t="s">
        <v>150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210.0</v>
      </c>
      <c r="G61" s="93">
        <v>200.0</v>
      </c>
      <c r="H61" s="190">
        <v>10.0</v>
      </c>
      <c r="I61" s="92"/>
      <c r="J61" s="130">
        <v>3799.0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1697.0</v>
      </c>
      <c r="G62" s="92"/>
      <c r="H62" s="136">
        <v>1697.0</v>
      </c>
      <c r="I62" s="173"/>
      <c r="J62" s="155" t="s">
        <v>151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270.0</v>
      </c>
      <c r="G63" s="93">
        <v>270.0</v>
      </c>
      <c r="H63" s="152"/>
      <c r="I63" s="92"/>
      <c r="J63" s="130">
        <v>3801.0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150.0</v>
      </c>
      <c r="G64" s="152"/>
      <c r="H64" s="190">
        <v>150.0</v>
      </c>
      <c r="I64" s="93"/>
      <c r="J64" s="130">
        <v>3802.0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20.0</v>
      </c>
      <c r="G65" s="93">
        <v>20.0</v>
      </c>
      <c r="H65" s="92"/>
      <c r="I65" s="92"/>
      <c r="J65" s="130">
        <v>3803.0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206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40.0</v>
      </c>
      <c r="G66" s="93">
        <v>40.0</v>
      </c>
      <c r="H66" s="92"/>
      <c r="I66" s="92"/>
      <c r="J66" s="130">
        <v>3804.0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859.0</v>
      </c>
      <c r="G67" s="204">
        <v>750.0</v>
      </c>
      <c r="H67" s="204">
        <v>109.0</v>
      </c>
      <c r="I67" s="92"/>
      <c r="J67" s="130">
        <v>3805.0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1270.0</v>
      </c>
      <c r="G68" s="92"/>
      <c r="H68" s="190">
        <v>1270.0</v>
      </c>
      <c r="I68" s="92"/>
      <c r="J68" s="130">
        <v>3806.0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22.0</v>
      </c>
      <c r="G69" s="92"/>
      <c r="H69" s="190">
        <v>22.0</v>
      </c>
      <c r="I69" s="92"/>
      <c r="J69" s="130">
        <v>3807.0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261.0</v>
      </c>
      <c r="G70" s="92"/>
      <c r="H70" s="190">
        <v>261.0</v>
      </c>
      <c r="I70" s="92"/>
      <c r="J70" s="130">
        <v>3808.0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255.0</v>
      </c>
      <c r="G71" s="92"/>
      <c r="H71" s="190">
        <v>255.0</v>
      </c>
      <c r="I71" s="92"/>
      <c r="J71" s="130">
        <v>3809.0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896.0</v>
      </c>
      <c r="G72" s="152"/>
      <c r="H72" s="207">
        <v>896.0</v>
      </c>
      <c r="I72" s="92"/>
      <c r="J72" s="130">
        <v>3810.0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538.0</v>
      </c>
      <c r="G73" s="92"/>
      <c r="H73" s="136">
        <v>538.0</v>
      </c>
      <c r="I73" s="173"/>
      <c r="J73" s="155" t="s">
        <v>152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/>
      <c r="H74" s="177">
        <v>10.0</v>
      </c>
      <c r="I74" s="92"/>
      <c r="J74" s="130">
        <v>3812.0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337.0</v>
      </c>
      <c r="G75" s="93"/>
      <c r="H75" s="177">
        <v>337.0</v>
      </c>
      <c r="I75" s="92"/>
      <c r="J75" s="130">
        <v>3813.0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104.0</v>
      </c>
      <c r="G76" s="93">
        <v>104.0</v>
      </c>
      <c r="H76" s="92"/>
      <c r="I76" s="92"/>
      <c r="J76" s="130">
        <v>3814.0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50.0</v>
      </c>
      <c r="G77" s="92"/>
      <c r="H77" s="190">
        <v>50.0</v>
      </c>
      <c r="I77" s="92"/>
      <c r="J77" s="130">
        <v>3815.0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44.0</v>
      </c>
      <c r="G78" s="92"/>
      <c r="H78" s="190">
        <v>44.0</v>
      </c>
      <c r="I78" s="92"/>
      <c r="J78" s="130">
        <v>3816.0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236.0</v>
      </c>
      <c r="G79" s="93">
        <v>236.0</v>
      </c>
      <c r="H79" s="92"/>
      <c r="I79" s="92"/>
      <c r="J79" s="130">
        <v>3817.0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300.0</v>
      </c>
      <c r="G80" s="92"/>
      <c r="H80" s="190">
        <v>300.0</v>
      </c>
      <c r="I80" s="92"/>
      <c r="J80" s="130">
        <v>3818.0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247.0</v>
      </c>
      <c r="G81" s="93">
        <v>247.0</v>
      </c>
      <c r="H81" s="92"/>
      <c r="I81" s="92"/>
      <c r="J81" s="130">
        <v>3819.0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522.0</v>
      </c>
      <c r="G82" s="54">
        <v>522.0</v>
      </c>
      <c r="H82" s="61"/>
      <c r="I82" s="61"/>
      <c r="J82" s="130">
        <v>3820.0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645.0</v>
      </c>
      <c r="G83" s="54">
        <v>645.0</v>
      </c>
      <c r="H83" s="61"/>
      <c r="I83" s="61"/>
      <c r="J83" s="130">
        <v>3821.0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300.0</v>
      </c>
      <c r="G84" s="61"/>
      <c r="H84" s="190">
        <v>300.0</v>
      </c>
      <c r="I84" s="61"/>
      <c r="J84" s="130">
        <v>3822.0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27.0</v>
      </c>
      <c r="G85" s="61"/>
      <c r="H85" s="190">
        <v>27.0</v>
      </c>
      <c r="I85" s="61"/>
      <c r="J85" s="130">
        <v>3823.0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417.0</v>
      </c>
      <c r="G86" s="54">
        <v>417.0</v>
      </c>
      <c r="H86" s="54"/>
      <c r="I86" s="61"/>
      <c r="J86" s="130">
        <v>3824.0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374.0</v>
      </c>
      <c r="G87" s="61"/>
      <c r="H87" s="190">
        <v>374.0</v>
      </c>
      <c r="I87" s="61"/>
      <c r="J87" s="130">
        <v>3825.0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158">
        <v>79.0</v>
      </c>
      <c r="F88" s="138">
        <v>31.0</v>
      </c>
      <c r="G88" s="54">
        <v>31.0</v>
      </c>
      <c r="H88" s="61"/>
      <c r="I88" s="61"/>
      <c r="J88" s="130">
        <v>3826.0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158">
        <v>80.0</v>
      </c>
      <c r="F89" s="138">
        <v>1324.0</v>
      </c>
      <c r="G89" s="61"/>
      <c r="H89" s="136">
        <v>1324.0</v>
      </c>
      <c r="I89" s="136"/>
      <c r="J89" s="155" t="s">
        <v>153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158">
        <v>81.0</v>
      </c>
      <c r="F90" s="138">
        <v>339.0</v>
      </c>
      <c r="G90" s="54"/>
      <c r="H90" s="61"/>
      <c r="I90" s="54">
        <v>339.0</v>
      </c>
      <c r="J90" s="130" t="s">
        <v>154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158">
        <v>82.0</v>
      </c>
      <c r="F91" s="138">
        <v>278.0</v>
      </c>
      <c r="G91" s="61"/>
      <c r="H91" s="190">
        <v>278.0</v>
      </c>
      <c r="I91" s="61"/>
      <c r="J91" s="130">
        <v>3829.0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158">
        <v>83.0</v>
      </c>
      <c r="F92" s="138">
        <v>31.0</v>
      </c>
      <c r="G92" s="61"/>
      <c r="H92" s="190">
        <v>31.0</v>
      </c>
      <c r="I92" s="61"/>
      <c r="J92" s="130">
        <v>3830.0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158">
        <v>84.0</v>
      </c>
      <c r="F93" s="138">
        <v>399.0</v>
      </c>
      <c r="G93" s="61"/>
      <c r="H93" s="190">
        <v>399.0</v>
      </c>
      <c r="I93" s="61"/>
      <c r="J93" s="130">
        <v>3831.0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158">
        <v>85.0</v>
      </c>
      <c r="F94" s="138">
        <v>101.0</v>
      </c>
      <c r="G94" s="61"/>
      <c r="H94" s="190">
        <v>101.0</v>
      </c>
      <c r="I94" s="61"/>
      <c r="J94" s="130">
        <v>3832.0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158">
        <v>86.0</v>
      </c>
      <c r="F95" s="138">
        <v>127.0</v>
      </c>
      <c r="G95" s="61"/>
      <c r="H95" s="190">
        <v>127.0</v>
      </c>
      <c r="I95" s="61"/>
      <c r="J95" s="130">
        <v>3833.0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158">
        <v>87.0</v>
      </c>
      <c r="F96" s="138">
        <v>1650.0</v>
      </c>
      <c r="G96" s="61"/>
      <c r="H96" s="190">
        <v>1650.0</v>
      </c>
      <c r="I96" s="61"/>
      <c r="J96" s="130">
        <v>3834.0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158">
        <v>88.0</v>
      </c>
      <c r="F97" s="138">
        <v>100.0</v>
      </c>
      <c r="G97" s="54">
        <v>100.0</v>
      </c>
      <c r="H97" s="61"/>
      <c r="I97" s="61"/>
      <c r="J97" s="130">
        <v>3835.0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58">
        <v>89.0</v>
      </c>
      <c r="F98" s="138">
        <v>330.0</v>
      </c>
      <c r="G98" s="54">
        <v>330.0</v>
      </c>
      <c r="H98" s="61"/>
      <c r="I98" s="61"/>
      <c r="J98" s="130">
        <v>3836.0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158">
        <v>90.0</v>
      </c>
      <c r="F99" s="138">
        <v>523.0</v>
      </c>
      <c r="G99" s="54">
        <v>523.0</v>
      </c>
      <c r="H99" s="61"/>
      <c r="I99" s="61"/>
      <c r="J99" s="130">
        <v>3837.0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158">
        <v>91.0</v>
      </c>
      <c r="F100" s="138">
        <v>653.0</v>
      </c>
      <c r="G100" s="54">
        <v>653.0</v>
      </c>
      <c r="H100" s="61"/>
      <c r="I100" s="61"/>
      <c r="J100" s="130">
        <v>3838.0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158">
        <v>92.0</v>
      </c>
      <c r="F101" s="138">
        <v>3940.0</v>
      </c>
      <c r="G101" s="54"/>
      <c r="H101" s="61"/>
      <c r="I101" s="54">
        <v>3940.0</v>
      </c>
      <c r="J101" s="130" t="s">
        <v>155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58">
        <v>93.0</v>
      </c>
      <c r="F102" s="138">
        <v>11.0</v>
      </c>
      <c r="G102" s="61"/>
      <c r="H102" s="190">
        <v>11.0</v>
      </c>
      <c r="I102" s="61"/>
      <c r="J102" s="130">
        <v>3840.0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158">
        <v>94.0</v>
      </c>
      <c r="F103" s="138">
        <v>198.0</v>
      </c>
      <c r="G103" s="54">
        <v>198.0</v>
      </c>
      <c r="H103" s="61"/>
      <c r="I103" s="61"/>
      <c r="J103" s="130">
        <v>3841.0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158">
        <v>95.0</v>
      </c>
      <c r="F104" s="138">
        <v>494.0</v>
      </c>
      <c r="G104" s="54">
        <v>494.0</v>
      </c>
      <c r="H104" s="61"/>
      <c r="I104" s="61"/>
      <c r="J104" s="130">
        <v>3842.0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158">
        <v>96.0</v>
      </c>
      <c r="F105" s="138">
        <v>328.0</v>
      </c>
      <c r="G105" s="54">
        <v>328.0</v>
      </c>
      <c r="H105" s="61"/>
      <c r="I105" s="61"/>
      <c r="J105" s="130">
        <v>3843.0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58">
        <v>97.0</v>
      </c>
      <c r="F106" s="138">
        <v>182.0</v>
      </c>
      <c r="G106" s="54">
        <v>12.0</v>
      </c>
      <c r="H106" s="208">
        <v>170.0</v>
      </c>
      <c r="I106" s="61"/>
      <c r="J106" s="130">
        <v>3844.0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158">
        <v>98.0</v>
      </c>
      <c r="F107" s="138">
        <v>150.0</v>
      </c>
      <c r="G107" s="61"/>
      <c r="H107" s="190">
        <v>150.0</v>
      </c>
      <c r="I107" s="61"/>
      <c r="J107" s="130">
        <v>3845.0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158">
        <v>99.0</v>
      </c>
      <c r="F108" s="138">
        <v>558.0</v>
      </c>
      <c r="G108" s="54"/>
      <c r="H108" s="61"/>
      <c r="I108" s="54">
        <v>558.0</v>
      </c>
      <c r="J108" s="130">
        <v>3846.0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158">
        <v>100.0</v>
      </c>
      <c r="F109" s="138">
        <v>69.0</v>
      </c>
      <c r="G109" s="54">
        <v>69.0</v>
      </c>
      <c r="H109" s="61"/>
      <c r="I109" s="61"/>
      <c r="J109" s="130">
        <v>3847.0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158">
        <v>101.0</v>
      </c>
      <c r="F110" s="138">
        <v>1080.0</v>
      </c>
      <c r="G110" s="152">
        <v>1080.0</v>
      </c>
      <c r="H110" s="152"/>
      <c r="I110" s="61"/>
      <c r="J110" s="130">
        <v>3848.0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158">
        <v>102.0</v>
      </c>
      <c r="F111" s="138">
        <v>238.0</v>
      </c>
      <c r="G111" s="61"/>
      <c r="H111" s="61"/>
      <c r="I111" s="54">
        <v>238.0</v>
      </c>
      <c r="J111" s="130" t="s">
        <v>156</v>
      </c>
      <c r="K111" s="24"/>
      <c r="L111" s="112"/>
      <c r="M111" s="112"/>
      <c r="N111" s="209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158">
        <v>103.0</v>
      </c>
      <c r="F112" s="138">
        <v>133.0</v>
      </c>
      <c r="G112" s="61"/>
      <c r="H112" s="190">
        <v>133.0</v>
      </c>
      <c r="I112" s="61"/>
      <c r="J112" s="130">
        <v>3850.0</v>
      </c>
      <c r="K112" s="24"/>
      <c r="L112" s="112"/>
      <c r="M112" s="112"/>
      <c r="N112" s="210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158">
        <v>104.0</v>
      </c>
      <c r="F113" s="138">
        <v>54.0</v>
      </c>
      <c r="G113" s="54">
        <v>50.0</v>
      </c>
      <c r="H113" s="190">
        <v>4.0</v>
      </c>
      <c r="I113" s="61"/>
      <c r="J113" s="130">
        <v>3851.0</v>
      </c>
      <c r="K113" s="24"/>
      <c r="L113" s="112"/>
      <c r="M113" s="112"/>
      <c r="N113" s="211"/>
      <c r="O113" s="112"/>
      <c r="P113" s="117" t="s">
        <v>157</v>
      </c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158">
        <v>105.0</v>
      </c>
      <c r="F114" s="138">
        <v>419.0</v>
      </c>
      <c r="G114" s="61"/>
      <c r="H114" s="190">
        <v>419.0</v>
      </c>
      <c r="I114" s="61"/>
      <c r="J114" s="130">
        <v>3852.0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158">
        <v>106.0</v>
      </c>
      <c r="F115" s="138">
        <v>2138.0</v>
      </c>
      <c r="G115" s="54">
        <v>2138.0</v>
      </c>
      <c r="H115" s="61"/>
      <c r="I115" s="61"/>
      <c r="J115" s="130">
        <v>3853.0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158">
        <v>107.0</v>
      </c>
      <c r="F116" s="138">
        <v>606.0</v>
      </c>
      <c r="G116" s="54">
        <v>606.0</v>
      </c>
      <c r="H116" s="61"/>
      <c r="I116" s="61"/>
      <c r="J116" s="130">
        <v>3854.0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158">
        <v>108.0</v>
      </c>
      <c r="F117" s="138">
        <v>234.0</v>
      </c>
      <c r="G117" s="54">
        <v>234.0</v>
      </c>
      <c r="H117" s="61"/>
      <c r="I117" s="61"/>
      <c r="J117" s="130">
        <v>3855.0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158">
        <v>109.0</v>
      </c>
      <c r="F118" s="138">
        <v>195.0</v>
      </c>
      <c r="G118" s="54">
        <v>195.0</v>
      </c>
      <c r="H118" s="61"/>
      <c r="I118" s="61"/>
      <c r="J118" s="130">
        <v>3856.0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158">
        <v>110.0</v>
      </c>
      <c r="F119" s="138">
        <v>584.0</v>
      </c>
      <c r="G119" s="61"/>
      <c r="H119" s="190">
        <v>584.0</v>
      </c>
      <c r="I119" s="61"/>
      <c r="J119" s="130">
        <v>3857.0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158">
        <v>111.0</v>
      </c>
      <c r="F120" s="138">
        <v>182.0</v>
      </c>
      <c r="G120" s="61"/>
      <c r="H120" s="190">
        <v>182.0</v>
      </c>
      <c r="I120" s="61"/>
      <c r="J120" s="130">
        <v>3858.0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158">
        <v>112.0</v>
      </c>
      <c r="F121" s="138">
        <v>757.0</v>
      </c>
      <c r="G121" s="61"/>
      <c r="H121" s="190">
        <v>757.0</v>
      </c>
      <c r="I121" s="61"/>
      <c r="J121" s="130">
        <v>3859.0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158">
        <v>113.0</v>
      </c>
      <c r="F122" s="138">
        <v>523.0</v>
      </c>
      <c r="G122" s="61"/>
      <c r="H122" s="190">
        <v>523.0</v>
      </c>
      <c r="I122" s="61"/>
      <c r="J122" s="130">
        <v>3860.0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158">
        <v>114.0</v>
      </c>
      <c r="F123" s="138">
        <v>105.0</v>
      </c>
      <c r="G123" s="54">
        <v>105.0</v>
      </c>
      <c r="H123" s="61"/>
      <c r="I123" s="61"/>
      <c r="J123" s="130">
        <v>3861.0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158">
        <v>115.0</v>
      </c>
      <c r="F124" s="138">
        <v>52.0</v>
      </c>
      <c r="G124" s="61"/>
      <c r="H124" s="190">
        <v>52.0</v>
      </c>
      <c r="I124" s="61"/>
      <c r="J124" s="130">
        <v>3862.0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158">
        <v>116.0</v>
      </c>
      <c r="F125" s="138">
        <v>241.0</v>
      </c>
      <c r="G125" s="61"/>
      <c r="H125" s="190">
        <v>241.0</v>
      </c>
      <c r="I125" s="61"/>
      <c r="J125" s="130">
        <v>3863.0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58">
        <v>117.0</v>
      </c>
      <c r="F126" s="138">
        <v>37.0</v>
      </c>
      <c r="G126" s="61"/>
      <c r="H126" s="190">
        <v>37.0</v>
      </c>
      <c r="I126" s="61"/>
      <c r="J126" s="130">
        <v>3864.0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158">
        <v>118.0</v>
      </c>
      <c r="F127" s="138">
        <v>880.0</v>
      </c>
      <c r="G127" s="61"/>
      <c r="H127" s="190">
        <v>880.0</v>
      </c>
      <c r="I127" s="61"/>
      <c r="J127" s="130">
        <v>3865.0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158">
        <v>119.0</v>
      </c>
      <c r="F128" s="138">
        <v>25.0</v>
      </c>
      <c r="G128" s="61"/>
      <c r="H128" s="190">
        <v>25.0</v>
      </c>
      <c r="I128" s="61"/>
      <c r="J128" s="130">
        <v>3866.0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158">
        <v>120.0</v>
      </c>
      <c r="F129" s="138">
        <v>36.0</v>
      </c>
      <c r="G129" s="61"/>
      <c r="H129" s="190">
        <v>36.0</v>
      </c>
      <c r="I129" s="61"/>
      <c r="J129" s="130">
        <v>3867.0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158">
        <v>121.0</v>
      </c>
      <c r="F130" s="138">
        <v>89.0</v>
      </c>
      <c r="G130" s="54">
        <v>89.0</v>
      </c>
      <c r="H130" s="61"/>
      <c r="I130" s="61"/>
      <c r="J130" s="130">
        <v>3868.0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158">
        <v>122.0</v>
      </c>
      <c r="F131" s="138">
        <v>32.0</v>
      </c>
      <c r="G131" s="54">
        <v>142.0</v>
      </c>
      <c r="H131" s="61"/>
      <c r="I131" s="61"/>
      <c r="J131" s="130" t="s">
        <v>158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158">
        <v>123.0</v>
      </c>
      <c r="F132" s="138">
        <v>349.0</v>
      </c>
      <c r="G132" s="61"/>
      <c r="H132" s="190">
        <v>349.0</v>
      </c>
      <c r="I132" s="61"/>
      <c r="J132" s="130">
        <v>3870.0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158">
        <v>124.0</v>
      </c>
      <c r="F133" s="138">
        <v>211.0</v>
      </c>
      <c r="G133" s="61"/>
      <c r="H133" s="136">
        <v>211.0</v>
      </c>
      <c r="I133" s="173"/>
      <c r="J133" s="155" t="s">
        <v>159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158">
        <v>125.0</v>
      </c>
      <c r="F134" s="138">
        <v>85.0</v>
      </c>
      <c r="G134" s="61"/>
      <c r="H134" s="190">
        <v>85.0</v>
      </c>
      <c r="I134" s="61"/>
      <c r="J134" s="130">
        <v>3872.0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158">
        <v>126.0</v>
      </c>
      <c r="F135" s="138">
        <v>486.0</v>
      </c>
      <c r="G135" s="54">
        <v>486.0</v>
      </c>
      <c r="H135" s="61"/>
      <c r="I135" s="61"/>
      <c r="J135" s="130">
        <v>3873.0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158">
        <v>127.0</v>
      </c>
      <c r="F136" s="138">
        <v>95.0</v>
      </c>
      <c r="G136" s="61"/>
      <c r="H136" s="190">
        <v>95.0</v>
      </c>
      <c r="I136" s="61"/>
      <c r="J136" s="130">
        <v>3874.0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158">
        <v>128.0</v>
      </c>
      <c r="F137" s="138">
        <v>10.0</v>
      </c>
      <c r="G137" s="61"/>
      <c r="H137" s="61"/>
      <c r="I137" s="54">
        <v>10.0</v>
      </c>
      <c r="J137" s="130" t="s">
        <v>160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158">
        <v>129.0</v>
      </c>
      <c r="F138" s="138">
        <v>256.0</v>
      </c>
      <c r="G138" s="61"/>
      <c r="H138" s="190">
        <v>256.0</v>
      </c>
      <c r="I138" s="61"/>
      <c r="J138" s="130">
        <v>3876.0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158">
        <v>130.0</v>
      </c>
      <c r="F139" s="138">
        <v>70.0</v>
      </c>
      <c r="G139" s="54">
        <v>20.0</v>
      </c>
      <c r="H139" s="54">
        <v>50.0</v>
      </c>
      <c r="I139" s="61"/>
      <c r="J139" s="130">
        <v>3877.0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158">
        <v>131.0</v>
      </c>
      <c r="F140" s="138">
        <v>526.0</v>
      </c>
      <c r="G140" s="61"/>
      <c r="H140" s="190">
        <v>526.0</v>
      </c>
      <c r="I140" s="61"/>
      <c r="J140" s="130">
        <v>3878.0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158">
        <v>132.0</v>
      </c>
      <c r="F141" s="138">
        <v>947.0</v>
      </c>
      <c r="G141" s="54">
        <v>947.0</v>
      </c>
      <c r="H141" s="61"/>
      <c r="I141" s="61"/>
      <c r="J141" s="130">
        <v>3879.0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158">
        <v>133.0</v>
      </c>
      <c r="F142" s="138">
        <v>126.0</v>
      </c>
      <c r="G142" s="54">
        <v>126.0</v>
      </c>
      <c r="H142" s="54"/>
      <c r="I142" s="61"/>
      <c r="J142" s="130">
        <v>3880.0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158">
        <v>134.0</v>
      </c>
      <c r="F143" s="138">
        <v>1610.0</v>
      </c>
      <c r="G143" s="61"/>
      <c r="H143" s="61"/>
      <c r="I143" s="54">
        <v>1610.0</v>
      </c>
      <c r="J143" s="130" t="s">
        <v>161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158">
        <v>135.0</v>
      </c>
      <c r="F144" s="138">
        <v>700.0</v>
      </c>
      <c r="G144" s="54"/>
      <c r="H144" s="190">
        <v>700.0</v>
      </c>
      <c r="I144" s="61"/>
      <c r="J144" s="130">
        <v>3882.0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158">
        <v>136.0</v>
      </c>
      <c r="F145" s="138">
        <v>179.0</v>
      </c>
      <c r="G145" s="61"/>
      <c r="H145" s="61"/>
      <c r="I145" s="54">
        <v>179.0</v>
      </c>
      <c r="J145" s="130" t="s">
        <v>162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158"/>
      <c r="F146" s="121"/>
      <c r="G146" s="61"/>
      <c r="H146" s="61"/>
      <c r="I146" s="61"/>
      <c r="J146" s="130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158"/>
      <c r="F147" s="121"/>
      <c r="G147" s="61"/>
      <c r="H147" s="61"/>
      <c r="I147" s="61"/>
      <c r="J147" s="130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158"/>
      <c r="F148" s="121"/>
      <c r="G148" s="61"/>
      <c r="H148" s="61"/>
      <c r="I148" s="61"/>
      <c r="J148" s="130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46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46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46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61"/>
      <c r="I153" s="61"/>
      <c r="J153" s="46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61"/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54"/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54"/>
      <c r="I156" s="61"/>
      <c r="J156" s="46"/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61"/>
      <c r="I157" s="61"/>
      <c r="J157" s="46"/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54"/>
      <c r="H158" s="61"/>
      <c r="I158" s="61"/>
      <c r="J158" s="130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24"/>
      <c r="E159" s="43"/>
      <c r="F159" s="121"/>
      <c r="G159" s="61"/>
      <c r="H159" s="170">
        <v>90.0</v>
      </c>
      <c r="I159" s="193"/>
      <c r="J159" s="212" t="s">
        <v>163</v>
      </c>
      <c r="K159" s="24"/>
      <c r="L159" s="112"/>
      <c r="M159" s="112"/>
      <c r="N159" s="112"/>
      <c r="O159" s="112"/>
      <c r="P159" s="112"/>
      <c r="Q159" s="113"/>
      <c r="R159" s="114"/>
      <c r="S159" s="114"/>
      <c r="T159" s="114"/>
      <c r="U159" s="115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4.25" customHeight="1">
      <c r="A160" s="1"/>
      <c r="B160" s="1"/>
      <c r="C160" s="1"/>
      <c r="D160" s="1"/>
      <c r="E160" s="122"/>
      <c r="F160" s="123">
        <f t="shared" ref="F160:I160" si="4">SUM(F10:F159)</f>
        <v>55293</v>
      </c>
      <c r="G160" s="123">
        <f t="shared" si="4"/>
        <v>17969</v>
      </c>
      <c r="H160" s="123">
        <f t="shared" si="4"/>
        <v>30286</v>
      </c>
      <c r="I160" s="123">
        <f t="shared" si="4"/>
        <v>7773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18"/>
      <c r="D161" s="1"/>
      <c r="E161" s="124"/>
      <c r="F161" s="124"/>
      <c r="G161" s="124"/>
      <c r="H161" s="124"/>
      <c r="I161" s="12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18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26"/>
      <c r="H173" s="12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6.86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66806.0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31225.0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42042.0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70475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21804</v>
      </c>
      <c r="D10" s="24"/>
      <c r="E10" s="43">
        <v>1.0</v>
      </c>
      <c r="F10" s="44">
        <v>377.0</v>
      </c>
      <c r="G10" s="45"/>
      <c r="H10" s="45"/>
      <c r="I10" s="45">
        <v>377.0</v>
      </c>
      <c r="J10" s="130" t="s">
        <v>164</v>
      </c>
      <c r="K10" s="24"/>
      <c r="L10" s="47">
        <v>339.0</v>
      </c>
      <c r="M10" s="47"/>
      <c r="N10" s="47">
        <v>3828.0</v>
      </c>
      <c r="O10" s="49"/>
      <c r="P10" s="85" t="s">
        <v>141</v>
      </c>
      <c r="Q10" s="51"/>
      <c r="R10" s="52">
        <v>587.0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42607</v>
      </c>
      <c r="D11" s="24"/>
      <c r="E11" s="43">
        <v>2.0</v>
      </c>
      <c r="F11" s="56">
        <v>83.0</v>
      </c>
      <c r="G11" s="57">
        <v>83.0</v>
      </c>
      <c r="H11" s="58"/>
      <c r="I11" s="59"/>
      <c r="J11" s="130">
        <v>3885.0</v>
      </c>
      <c r="K11" s="24"/>
      <c r="L11" s="47">
        <v>161.0</v>
      </c>
      <c r="M11" s="48"/>
      <c r="N11" s="47">
        <v>3846.0</v>
      </c>
      <c r="O11" s="49"/>
      <c r="P11" s="72" t="s">
        <v>141</v>
      </c>
      <c r="Q11" s="51"/>
      <c r="R11" s="52">
        <v>1290.0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10680</v>
      </c>
      <c r="D12" s="24"/>
      <c r="E12" s="43">
        <v>3.0</v>
      </c>
      <c r="F12" s="63">
        <v>100.0</v>
      </c>
      <c r="G12" s="64"/>
      <c r="H12" s="150">
        <v>100.0</v>
      </c>
      <c r="I12" s="65"/>
      <c r="J12" s="130">
        <v>3886.0</v>
      </c>
      <c r="K12" s="24"/>
      <c r="L12" s="47"/>
      <c r="M12" s="48"/>
      <c r="N12" s="47">
        <v>3849.0</v>
      </c>
      <c r="O12" s="49"/>
      <c r="P12" s="72" t="s">
        <v>129</v>
      </c>
      <c r="Q12" s="51"/>
      <c r="R12" s="52">
        <v>47.0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500</v>
      </c>
      <c r="D13" s="24"/>
      <c r="E13" s="43">
        <v>4.0</v>
      </c>
      <c r="F13" s="56">
        <v>299.0</v>
      </c>
      <c r="G13" s="64">
        <v>299.0</v>
      </c>
      <c r="H13" s="65"/>
      <c r="I13" s="65"/>
      <c r="J13" s="130">
        <v>3887.0</v>
      </c>
      <c r="K13" s="24"/>
      <c r="L13" s="48"/>
      <c r="M13" s="146">
        <v>1610.0</v>
      </c>
      <c r="N13" s="47">
        <v>3881.0</v>
      </c>
      <c r="O13" s="49"/>
      <c r="P13" s="72" t="s">
        <v>165</v>
      </c>
      <c r="Q13" s="51"/>
      <c r="R13" s="52">
        <v>788.0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1610</v>
      </c>
      <c r="D14" s="24"/>
      <c r="E14" s="43">
        <v>5.0</v>
      </c>
      <c r="F14" s="56">
        <v>37.0</v>
      </c>
      <c r="G14" s="64">
        <v>37.0</v>
      </c>
      <c r="H14" s="65"/>
      <c r="I14" s="65"/>
      <c r="J14" s="130">
        <v>3888.0</v>
      </c>
      <c r="K14" s="24"/>
      <c r="L14" s="48"/>
      <c r="M14" s="48"/>
      <c r="N14" s="48"/>
      <c r="O14" s="49"/>
      <c r="P14" s="72" t="s">
        <v>166</v>
      </c>
      <c r="Q14" s="51"/>
      <c r="R14" s="52">
        <v>375.0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560.0</v>
      </c>
      <c r="G15" s="64">
        <v>560.0</v>
      </c>
      <c r="H15" s="64"/>
      <c r="I15" s="65"/>
      <c r="J15" s="130">
        <v>3889.0</v>
      </c>
      <c r="K15" s="24"/>
      <c r="L15" s="48"/>
      <c r="M15" s="48"/>
      <c r="N15" s="48"/>
      <c r="O15" s="49"/>
      <c r="P15" s="72" t="s">
        <v>141</v>
      </c>
      <c r="Q15" s="51"/>
      <c r="R15" s="52">
        <v>1600.0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4887</v>
      </c>
      <c r="D16" s="24"/>
      <c r="E16" s="43">
        <v>7.0</v>
      </c>
      <c r="F16" s="56">
        <v>40.0</v>
      </c>
      <c r="G16" s="64">
        <v>40.0</v>
      </c>
      <c r="H16" s="64"/>
      <c r="I16" s="65"/>
      <c r="J16" s="130">
        <v>3890.0</v>
      </c>
      <c r="K16" s="24"/>
      <c r="L16" s="48"/>
      <c r="M16" s="48"/>
      <c r="N16" s="48"/>
      <c r="O16" s="49"/>
      <c r="P16" s="72" t="s">
        <v>48</v>
      </c>
      <c r="Q16" s="51"/>
      <c r="R16" s="52">
        <v>150.0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4887</v>
      </c>
      <c r="D17" s="24"/>
      <c r="E17" s="43">
        <v>8.0</v>
      </c>
      <c r="F17" s="56">
        <v>46.0</v>
      </c>
      <c r="G17" s="64">
        <v>46.0</v>
      </c>
      <c r="H17" s="64"/>
      <c r="I17" s="65"/>
      <c r="J17" s="130">
        <v>3891.0</v>
      </c>
      <c r="K17" s="24"/>
      <c r="L17" s="48"/>
      <c r="M17" s="48"/>
      <c r="N17" s="48"/>
      <c r="O17" s="49"/>
      <c r="P17" s="72" t="s">
        <v>167</v>
      </c>
      <c r="Q17" s="51"/>
      <c r="R17" s="52">
        <v>50.0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471.0</v>
      </c>
      <c r="G18" s="64"/>
      <c r="H18" s="150">
        <v>471.0</v>
      </c>
      <c r="I18" s="65"/>
      <c r="J18" s="130">
        <v>3892.0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80.0</v>
      </c>
      <c r="G19" s="64"/>
      <c r="H19" s="150">
        <v>80.0</v>
      </c>
      <c r="I19" s="65"/>
      <c r="J19" s="130">
        <v>3893.0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50612</v>
      </c>
      <c r="D20" s="24"/>
      <c r="E20" s="43">
        <v>11.0</v>
      </c>
      <c r="F20" s="56">
        <v>1430.0</v>
      </c>
      <c r="G20" s="64">
        <v>1430.0</v>
      </c>
      <c r="H20" s="64"/>
      <c r="I20" s="65"/>
      <c r="J20" s="130">
        <v>3894.0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44217</v>
      </c>
      <c r="D21" s="24"/>
      <c r="E21" s="43">
        <v>12.0</v>
      </c>
      <c r="F21" s="56">
        <v>223.0</v>
      </c>
      <c r="G21" s="64">
        <v>223.0</v>
      </c>
      <c r="H21" s="64"/>
      <c r="I21" s="65"/>
      <c r="J21" s="130">
        <v>3895.0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84223</v>
      </c>
      <c r="D22" s="24"/>
      <c r="E22" s="43">
        <v>13.0</v>
      </c>
      <c r="F22" s="56">
        <v>10.0</v>
      </c>
      <c r="G22" s="64">
        <v>10.0</v>
      </c>
      <c r="H22" s="64"/>
      <c r="I22" s="65"/>
      <c r="J22" s="130">
        <v>3896.0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88077.0</v>
      </c>
      <c r="D23" s="24"/>
      <c r="E23" s="43">
        <v>14.0</v>
      </c>
      <c r="F23" s="56">
        <v>73.0</v>
      </c>
      <c r="G23" s="65"/>
      <c r="H23" s="150">
        <v>74.0</v>
      </c>
      <c r="I23" s="65"/>
      <c r="J23" s="130">
        <v>3897.0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-3854</v>
      </c>
      <c r="D24" s="24"/>
      <c r="E24" s="43">
        <v>15.0</v>
      </c>
      <c r="F24" s="56">
        <v>121.0</v>
      </c>
      <c r="G24" s="64"/>
      <c r="H24" s="150">
        <v>121.0</v>
      </c>
      <c r="I24" s="65"/>
      <c r="J24" s="130">
        <v>3898.0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9.0</v>
      </c>
      <c r="G25" s="64">
        <v>9.0</v>
      </c>
      <c r="H25" s="65"/>
      <c r="I25" s="65"/>
      <c r="J25" s="130">
        <v>3899.0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70475</v>
      </c>
      <c r="D26" s="24"/>
      <c r="E26" s="158">
        <v>17.0</v>
      </c>
      <c r="F26" s="56">
        <v>74.0</v>
      </c>
      <c r="G26" s="64"/>
      <c r="H26" s="150">
        <v>74.0</v>
      </c>
      <c r="I26" s="65"/>
      <c r="J26" s="130">
        <v>3900.0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144.0</v>
      </c>
      <c r="D27" s="24"/>
      <c r="E27" s="43">
        <v>18.0</v>
      </c>
      <c r="F27" s="56">
        <v>460.0</v>
      </c>
      <c r="G27" s="64">
        <v>460.0</v>
      </c>
      <c r="H27" s="64"/>
      <c r="I27" s="151"/>
      <c r="J27" s="213">
        <v>3901.0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489.4097222</v>
      </c>
      <c r="D28" s="24"/>
      <c r="E28" s="43">
        <v>19.0</v>
      </c>
      <c r="F28" s="56">
        <v>32.0</v>
      </c>
      <c r="G28" s="64">
        <v>32.0</v>
      </c>
      <c r="H28" s="65"/>
      <c r="I28" s="151"/>
      <c r="J28" s="213">
        <v>3902.0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556.0</v>
      </c>
      <c r="G29" s="64">
        <v>556.0</v>
      </c>
      <c r="H29" s="64"/>
      <c r="I29" s="151"/>
      <c r="J29" s="213">
        <v>3903.0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378.0</v>
      </c>
      <c r="G30" s="93">
        <v>378.0</v>
      </c>
      <c r="H30" s="93"/>
      <c r="I30" s="152"/>
      <c r="J30" s="213">
        <v>3904.0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31225</v>
      </c>
      <c r="D31" s="24"/>
      <c r="E31" s="43">
        <v>22.0</v>
      </c>
      <c r="F31" s="56">
        <v>140.0</v>
      </c>
      <c r="G31" s="93"/>
      <c r="H31" s="157">
        <v>325.0</v>
      </c>
      <c r="I31" s="92"/>
      <c r="J31" s="130" t="s">
        <v>168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4887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1418.0</v>
      </c>
      <c r="G32" s="93"/>
      <c r="H32" s="157">
        <v>1418.0</v>
      </c>
      <c r="I32" s="92"/>
      <c r="J32" s="130">
        <v>3906.0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32.0</v>
      </c>
      <c r="G33" s="93">
        <v>32.0</v>
      </c>
      <c r="H33" s="92"/>
      <c r="I33" s="92"/>
      <c r="J33" s="130">
        <v>3907.0</v>
      </c>
      <c r="K33" s="24"/>
      <c r="L33" s="104">
        <f t="shared" ref="L33:M33" si="2">sum(L10:L32)</f>
        <v>500</v>
      </c>
      <c r="M33" s="104">
        <f t="shared" si="2"/>
        <v>1610</v>
      </c>
      <c r="N33" s="104"/>
      <c r="O33" s="105"/>
      <c r="P33" s="85" t="s">
        <v>38</v>
      </c>
      <c r="Q33" s="51"/>
      <c r="R33" s="100"/>
      <c r="S33" s="52">
        <v>31225.0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214">
        <v>88077.0</v>
      </c>
      <c r="D34" s="24"/>
      <c r="E34" s="43">
        <v>25.0</v>
      </c>
      <c r="F34" s="56">
        <v>98.0</v>
      </c>
      <c r="G34" s="93"/>
      <c r="H34" s="157">
        <v>98.0</v>
      </c>
      <c r="I34" s="92"/>
      <c r="J34" s="130">
        <v>3908.0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875.0</v>
      </c>
      <c r="G35" s="93">
        <v>875.0</v>
      </c>
      <c r="H35" s="93"/>
      <c r="I35" s="92"/>
      <c r="J35" s="130">
        <v>3909.0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27.0</v>
      </c>
      <c r="G36" s="93">
        <v>27.0</v>
      </c>
      <c r="H36" s="93"/>
      <c r="I36" s="92"/>
      <c r="J36" s="130">
        <v>3910.0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10.0</v>
      </c>
      <c r="G37" s="93">
        <v>10.0</v>
      </c>
      <c r="H37" s="92"/>
      <c r="I37" s="92"/>
      <c r="J37" s="130">
        <v>3911.0</v>
      </c>
      <c r="K37" s="24"/>
      <c r="L37" s="117">
        <v>1241.0</v>
      </c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1653.0</v>
      </c>
      <c r="G38" s="93">
        <v>1653.0</v>
      </c>
      <c r="H38" s="93"/>
      <c r="I38" s="92"/>
      <c r="J38" s="130">
        <v>3912.0</v>
      </c>
      <c r="K38" s="24"/>
      <c r="L38" s="117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400.0</v>
      </c>
      <c r="G39" s="93"/>
      <c r="H39" s="157">
        <v>400.0</v>
      </c>
      <c r="I39" s="92"/>
      <c r="J39" s="130">
        <v>3913.0</v>
      </c>
      <c r="K39" s="24"/>
      <c r="L39" s="117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58.0</v>
      </c>
      <c r="G40" s="92"/>
      <c r="H40" s="157">
        <v>58.0</v>
      </c>
      <c r="I40" s="92"/>
      <c r="J40" s="130">
        <v>3914.0</v>
      </c>
      <c r="K40" s="24"/>
      <c r="L40" s="215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53.0</v>
      </c>
      <c r="G41" s="93">
        <v>53.0</v>
      </c>
      <c r="H41" s="93"/>
      <c r="I41" s="92"/>
      <c r="J41" s="130">
        <v>3915.0</v>
      </c>
      <c r="K41" s="24"/>
      <c r="L41" s="117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1551.0</v>
      </c>
      <c r="G42" s="93">
        <v>1551.0</v>
      </c>
      <c r="H42" s="93"/>
      <c r="I42" s="92"/>
      <c r="J42" s="130">
        <v>3916.0</v>
      </c>
      <c r="K42" s="24"/>
      <c r="L42" s="117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1054.0</v>
      </c>
      <c r="G43" s="93">
        <v>1054.0</v>
      </c>
      <c r="H43" s="93"/>
      <c r="I43" s="153"/>
      <c r="J43" s="213">
        <v>3917.0</v>
      </c>
      <c r="K43" s="24"/>
      <c r="L43" s="117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5.0</v>
      </c>
      <c r="G44" s="92"/>
      <c r="H44" s="157">
        <v>5.0</v>
      </c>
      <c r="I44" s="92"/>
      <c r="J44" s="130">
        <v>3918.0</v>
      </c>
      <c r="K44" s="24"/>
      <c r="L44" s="117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103.0</v>
      </c>
      <c r="G45" s="93">
        <v>103.0</v>
      </c>
      <c r="H45" s="92"/>
      <c r="I45" s="92"/>
      <c r="J45" s="130">
        <v>3919.0</v>
      </c>
      <c r="K45" s="24"/>
      <c r="L45" s="117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1134.0</v>
      </c>
      <c r="G46" s="93"/>
      <c r="H46" s="157">
        <v>1134.0</v>
      </c>
      <c r="I46" s="92"/>
      <c r="J46" s="130">
        <v>3920.0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840.0</v>
      </c>
      <c r="G47" s="92"/>
      <c r="H47" s="157">
        <v>840.0</v>
      </c>
      <c r="I47" s="92"/>
      <c r="J47" s="130">
        <v>3921.0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969.0</v>
      </c>
      <c r="G48" s="93">
        <v>99.0</v>
      </c>
      <c r="H48" s="157">
        <v>870.0</v>
      </c>
      <c r="I48" s="92"/>
      <c r="J48" s="130">
        <v>3922.0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1150.0</v>
      </c>
      <c r="G49" s="92"/>
      <c r="H49" s="157">
        <v>1150.0</v>
      </c>
      <c r="I49" s="92"/>
      <c r="J49" s="130">
        <v>3923.0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396.0</v>
      </c>
      <c r="G50" s="93"/>
      <c r="H50" s="93"/>
      <c r="I50" s="93">
        <v>396.0</v>
      </c>
      <c r="J50" s="130" t="s">
        <v>169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100.0</v>
      </c>
      <c r="G51" s="93">
        <v>100.0</v>
      </c>
      <c r="H51" s="92"/>
      <c r="I51" s="92"/>
      <c r="J51" s="130">
        <v>3925.0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351.0</v>
      </c>
      <c r="G52" s="93">
        <v>351.0</v>
      </c>
      <c r="H52" s="92"/>
      <c r="I52" s="92"/>
      <c r="J52" s="130">
        <v>3926.0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34.0</v>
      </c>
      <c r="G53" s="93">
        <v>34.0</v>
      </c>
      <c r="H53" s="92"/>
      <c r="I53" s="92"/>
      <c r="J53" s="130">
        <v>3927.0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646.0</v>
      </c>
      <c r="G54" s="93">
        <v>646.0</v>
      </c>
      <c r="H54" s="92"/>
      <c r="I54" s="92"/>
      <c r="J54" s="130">
        <v>3928.0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48.0</v>
      </c>
      <c r="G55" s="93">
        <v>48.0</v>
      </c>
      <c r="H55" s="92"/>
      <c r="I55" s="92"/>
      <c r="J55" s="130">
        <v>3929.0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59.0</v>
      </c>
      <c r="G56" s="93">
        <v>59.0</v>
      </c>
      <c r="H56" s="92"/>
      <c r="I56" s="92"/>
      <c r="J56" s="130">
        <v>3930.0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712.0</v>
      </c>
      <c r="G57" s="93">
        <v>712.0</v>
      </c>
      <c r="H57" s="92"/>
      <c r="I57" s="92"/>
      <c r="J57" s="130">
        <v>3931.0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74.0</v>
      </c>
      <c r="G58" s="93">
        <v>74.0</v>
      </c>
      <c r="H58" s="92"/>
      <c r="I58" s="92"/>
      <c r="J58" s="130">
        <v>3932.0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19.0</v>
      </c>
      <c r="G59" s="93">
        <v>19.0</v>
      </c>
      <c r="H59" s="92"/>
      <c r="I59" s="92"/>
      <c r="J59" s="130">
        <v>3933.0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866.0</v>
      </c>
      <c r="G60" s="92"/>
      <c r="H60" s="157">
        <v>866.0</v>
      </c>
      <c r="I60" s="92"/>
      <c r="J60" s="130">
        <v>3934.0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216">
        <v>3650.0</v>
      </c>
      <c r="G61" s="173"/>
      <c r="H61" s="93">
        <v>3650.0</v>
      </c>
      <c r="I61" s="173"/>
      <c r="J61" s="155" t="s">
        <v>170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131.0</v>
      </c>
      <c r="G62" s="93">
        <v>131.0</v>
      </c>
      <c r="H62" s="92"/>
      <c r="I62" s="92"/>
      <c r="J62" s="130">
        <v>3936.0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515.0</v>
      </c>
      <c r="G63" s="93">
        <v>515.0</v>
      </c>
      <c r="H63" s="92"/>
      <c r="I63" s="92"/>
      <c r="J63" s="130">
        <v>3937.0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216">
        <v>330.0</v>
      </c>
      <c r="G64" s="173"/>
      <c r="H64" s="93">
        <v>330.0</v>
      </c>
      <c r="I64" s="173"/>
      <c r="J64" s="155" t="s">
        <v>171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70.0</v>
      </c>
      <c r="G65" s="93">
        <v>70.0</v>
      </c>
      <c r="H65" s="92"/>
      <c r="I65" s="92"/>
      <c r="J65" s="130">
        <v>3939.0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1090.0</v>
      </c>
      <c r="G66" s="93">
        <v>1090.0</v>
      </c>
      <c r="H66" s="92"/>
      <c r="I66" s="92"/>
      <c r="J66" s="130">
        <v>3940.0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35.0</v>
      </c>
      <c r="G67" s="93">
        <v>35.0</v>
      </c>
      <c r="H67" s="92"/>
      <c r="I67" s="92"/>
      <c r="J67" s="130">
        <v>3941.0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364.0</v>
      </c>
      <c r="G68" s="93">
        <v>364.0</v>
      </c>
      <c r="H68" s="92"/>
      <c r="I68" s="92"/>
      <c r="J68" s="130">
        <v>3942.0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634.0</v>
      </c>
      <c r="G69" s="93"/>
      <c r="H69" s="92"/>
      <c r="I69" s="93">
        <v>634.0</v>
      </c>
      <c r="J69" s="130" t="s">
        <v>172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548.0</v>
      </c>
      <c r="G70" s="93">
        <v>548.0</v>
      </c>
      <c r="H70" s="156"/>
      <c r="I70" s="92"/>
      <c r="J70" s="130">
        <v>3944.0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495.0</v>
      </c>
      <c r="G71" s="92"/>
      <c r="H71" s="157">
        <v>495.0</v>
      </c>
      <c r="I71" s="92"/>
      <c r="J71" s="130">
        <v>3945.0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143.0</v>
      </c>
      <c r="G72" s="92"/>
      <c r="H72" s="157">
        <v>143.0</v>
      </c>
      <c r="I72" s="92"/>
      <c r="J72" s="130">
        <v>3946.0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399.0</v>
      </c>
      <c r="G73" s="93">
        <v>399.0</v>
      </c>
      <c r="H73" s="93"/>
      <c r="I73" s="92"/>
      <c r="J73" s="130">
        <v>3947.0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346.0</v>
      </c>
      <c r="G74" s="93">
        <v>346.0</v>
      </c>
      <c r="H74" s="93"/>
      <c r="I74" s="92"/>
      <c r="J74" s="130">
        <v>3948.0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3171.0</v>
      </c>
      <c r="G75" s="93"/>
      <c r="H75" s="92"/>
      <c r="I75" s="93">
        <v>3171.0</v>
      </c>
      <c r="J75" s="130" t="s">
        <v>173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1905.0</v>
      </c>
      <c r="G76" s="93"/>
      <c r="H76" s="92"/>
      <c r="I76" s="93">
        <v>1905.0</v>
      </c>
      <c r="J76" s="130" t="s">
        <v>174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470.0</v>
      </c>
      <c r="G77" s="93">
        <v>470.0</v>
      </c>
      <c r="H77" s="92"/>
      <c r="I77" s="92"/>
      <c r="J77" s="130">
        <v>3951.0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834.0</v>
      </c>
      <c r="G78" s="93">
        <v>834.0</v>
      </c>
      <c r="H78" s="92"/>
      <c r="I78" s="92"/>
      <c r="J78" s="130">
        <v>3952.0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125.0</v>
      </c>
      <c r="G79" s="93">
        <v>125.0</v>
      </c>
      <c r="H79" s="92"/>
      <c r="I79" s="92"/>
      <c r="J79" s="130">
        <v>3953.0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40.0</v>
      </c>
      <c r="G80" s="92"/>
      <c r="H80" s="157">
        <v>40.0</v>
      </c>
      <c r="I80" s="92"/>
      <c r="J80" s="130">
        <v>3954.0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177.0</v>
      </c>
      <c r="G81" s="93">
        <v>30.0</v>
      </c>
      <c r="H81" s="157">
        <v>147.0</v>
      </c>
      <c r="I81" s="92"/>
      <c r="J81" s="130">
        <v>3955.0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450.0</v>
      </c>
      <c r="G82" s="61"/>
      <c r="H82" s="157">
        <v>450.0</v>
      </c>
      <c r="I82" s="61"/>
      <c r="J82" s="130">
        <v>3956.0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175.0</v>
      </c>
      <c r="G83" s="61"/>
      <c r="H83" s="157">
        <v>175.0</v>
      </c>
      <c r="I83" s="61"/>
      <c r="J83" s="130">
        <v>3957.0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20.0</v>
      </c>
      <c r="G84" s="61"/>
      <c r="H84" s="157">
        <v>20.0</v>
      </c>
      <c r="I84" s="61"/>
      <c r="J84" s="130">
        <v>3958.0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51.0</v>
      </c>
      <c r="G85" s="54"/>
      <c r="H85" s="92"/>
      <c r="I85" s="54">
        <v>51.0</v>
      </c>
      <c r="J85" s="130" t="s">
        <v>175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261.0</v>
      </c>
      <c r="G86" s="54">
        <v>261.0</v>
      </c>
      <c r="H86" s="92"/>
      <c r="I86" s="61"/>
      <c r="J86" s="130">
        <v>3960.0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1882.0</v>
      </c>
      <c r="G87" s="54"/>
      <c r="H87" s="92"/>
      <c r="I87" s="54">
        <v>1882.0</v>
      </c>
      <c r="J87" s="130" t="s">
        <v>176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1043.0</v>
      </c>
      <c r="G88" s="54">
        <v>1043.0</v>
      </c>
      <c r="H88" s="93"/>
      <c r="I88" s="61"/>
      <c r="J88" s="130">
        <v>3962.0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454.0</v>
      </c>
      <c r="G89" s="54">
        <v>454.0</v>
      </c>
      <c r="H89" s="92"/>
      <c r="I89" s="61"/>
      <c r="J89" s="130">
        <v>3963.0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430.0</v>
      </c>
      <c r="G90" s="61"/>
      <c r="H90" s="157">
        <v>430.0</v>
      </c>
      <c r="I90" s="61"/>
      <c r="J90" s="130">
        <v>3964.0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324.0</v>
      </c>
      <c r="G91" s="54">
        <v>324.0</v>
      </c>
      <c r="H91" s="92"/>
      <c r="I91" s="61"/>
      <c r="J91" s="130">
        <v>3965.0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352.0</v>
      </c>
      <c r="G92" s="61"/>
      <c r="H92" s="157">
        <v>2.0</v>
      </c>
      <c r="I92" s="61"/>
      <c r="J92" s="130">
        <v>3966.0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144.0</v>
      </c>
      <c r="G93" s="61"/>
      <c r="H93" s="157">
        <v>144.0</v>
      </c>
      <c r="I93" s="61"/>
      <c r="J93" s="130">
        <v>3967.0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3132.0</v>
      </c>
      <c r="G94" s="61"/>
      <c r="H94" s="157">
        <v>3132.0</v>
      </c>
      <c r="I94" s="61"/>
      <c r="J94" s="130">
        <v>3968.0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492.0</v>
      </c>
      <c r="G95" s="54">
        <v>492.0</v>
      </c>
      <c r="H95" s="92"/>
      <c r="I95" s="61"/>
      <c r="J95" s="130">
        <v>3969.0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208.0</v>
      </c>
      <c r="G96" s="54">
        <v>208.0</v>
      </c>
      <c r="H96" s="92"/>
      <c r="I96" s="61"/>
      <c r="J96" s="130">
        <v>3970.0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488.0</v>
      </c>
      <c r="G97" s="61"/>
      <c r="H97" s="157">
        <v>488.0</v>
      </c>
      <c r="I97" s="61"/>
      <c r="J97" s="217" t="s">
        <v>177</v>
      </c>
      <c r="K97" s="218"/>
      <c r="L97" s="219"/>
      <c r="M97" s="117">
        <v>374.0</v>
      </c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323.0</v>
      </c>
      <c r="G98" s="54">
        <v>323.0</v>
      </c>
      <c r="H98" s="92"/>
      <c r="I98" s="61"/>
      <c r="J98" s="130">
        <v>3972.0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20.0</v>
      </c>
      <c r="G99" s="61"/>
      <c r="H99" s="157">
        <v>20.0</v>
      </c>
      <c r="I99" s="61"/>
      <c r="J99" s="130">
        <v>3973.0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220">
        <v>1170.0</v>
      </c>
      <c r="G100" s="152">
        <v>2.0</v>
      </c>
      <c r="H100" s="157">
        <v>1168.0</v>
      </c>
      <c r="I100" s="221"/>
      <c r="J100" s="222">
        <v>3974.0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220">
        <v>71.0</v>
      </c>
      <c r="G101" s="152">
        <v>71.0</v>
      </c>
      <c r="H101" s="135"/>
      <c r="I101" s="221"/>
      <c r="J101" s="222">
        <v>3975.0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220.0</v>
      </c>
      <c r="G102" s="54">
        <v>220.0</v>
      </c>
      <c r="H102" s="92"/>
      <c r="I102" s="61"/>
      <c r="J102" s="130">
        <v>3976.0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135.0</v>
      </c>
      <c r="G103" s="54">
        <v>120.0</v>
      </c>
      <c r="H103" s="157">
        <v>15.0</v>
      </c>
      <c r="I103" s="61"/>
      <c r="J103" s="130">
        <v>3977.0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975.0</v>
      </c>
      <c r="G104" s="61"/>
      <c r="H104" s="157">
        <v>975.0</v>
      </c>
      <c r="I104" s="61"/>
      <c r="J104" s="130">
        <v>3978.0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455.0</v>
      </c>
      <c r="G105" s="61"/>
      <c r="H105" s="157">
        <v>455.0</v>
      </c>
      <c r="I105" s="61"/>
      <c r="J105" s="130">
        <v>3979.0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348.0</v>
      </c>
      <c r="G106" s="61"/>
      <c r="H106" s="157">
        <v>348.0</v>
      </c>
      <c r="I106" s="61"/>
      <c r="J106" s="130">
        <v>3980.0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683.0</v>
      </c>
      <c r="G107" s="61"/>
      <c r="H107" s="157">
        <v>683.0</v>
      </c>
      <c r="I107" s="61"/>
      <c r="J107" s="130">
        <v>3981.0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223">
        <v>1800.0</v>
      </c>
      <c r="G108" s="224"/>
      <c r="H108" s="93">
        <v>1800.0</v>
      </c>
      <c r="I108" s="224"/>
      <c r="J108" s="225" t="s">
        <v>178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223">
        <v>1050.0</v>
      </c>
      <c r="G109" s="224"/>
      <c r="H109" s="93">
        <v>1050.0</v>
      </c>
      <c r="I109" s="224"/>
      <c r="J109" s="225" t="s">
        <v>179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78.0</v>
      </c>
      <c r="G110" s="61"/>
      <c r="H110" s="157">
        <v>78.0</v>
      </c>
      <c r="I110" s="61"/>
      <c r="J110" s="130">
        <v>3984.0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486.0</v>
      </c>
      <c r="G111" s="61"/>
      <c r="H111" s="157">
        <v>486.0</v>
      </c>
      <c r="I111" s="61"/>
      <c r="J111" s="130">
        <v>3985.0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17.0</v>
      </c>
      <c r="G112" s="61"/>
      <c r="H112" s="157">
        <v>17.0</v>
      </c>
      <c r="I112" s="61"/>
      <c r="J112" s="130">
        <v>3986.0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247.0</v>
      </c>
      <c r="G113" s="61"/>
      <c r="H113" s="157">
        <v>247.0</v>
      </c>
      <c r="I113" s="61"/>
      <c r="J113" s="130">
        <v>3987.0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374.0</v>
      </c>
      <c r="G114" s="54">
        <v>374.0</v>
      </c>
      <c r="H114" s="93"/>
      <c r="I114" s="61"/>
      <c r="J114" s="130">
        <v>3988.0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43.0</v>
      </c>
      <c r="G115" s="61"/>
      <c r="H115" s="157">
        <v>43.0</v>
      </c>
      <c r="I115" s="61"/>
      <c r="J115" s="130">
        <v>3989.0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345.0</v>
      </c>
      <c r="G116" s="61"/>
      <c r="H116" s="157">
        <v>345.0</v>
      </c>
      <c r="I116" s="61"/>
      <c r="J116" s="130">
        <v>3990.0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1300.0</v>
      </c>
      <c r="G117" s="54"/>
      <c r="H117" s="92"/>
      <c r="I117" s="54">
        <v>1300.0</v>
      </c>
      <c r="J117" s="130" t="s">
        <v>180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82.0</v>
      </c>
      <c r="G118" s="54">
        <v>82.0</v>
      </c>
      <c r="H118" s="92"/>
      <c r="I118" s="61"/>
      <c r="J118" s="130">
        <v>3992.0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242.0</v>
      </c>
      <c r="G119" s="61"/>
      <c r="H119" s="157">
        <v>242.0</v>
      </c>
      <c r="I119" s="61"/>
      <c r="J119" s="130">
        <v>3993.0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6.0</v>
      </c>
      <c r="G120" s="61"/>
      <c r="H120" s="157">
        <v>6.0</v>
      </c>
      <c r="I120" s="61"/>
      <c r="J120" s="130">
        <v>3994.0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1666.0</v>
      </c>
      <c r="G121" s="61"/>
      <c r="H121" s="157">
        <v>1666.0</v>
      </c>
      <c r="I121" s="61"/>
      <c r="J121" s="130">
        <v>3995.0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228.0</v>
      </c>
      <c r="G122" s="61"/>
      <c r="H122" s="157">
        <v>8.0</v>
      </c>
      <c r="I122" s="61"/>
      <c r="J122" s="130">
        <v>3996.0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214.0</v>
      </c>
      <c r="G123" s="61"/>
      <c r="H123" s="157">
        <v>214.0</v>
      </c>
      <c r="I123" s="61"/>
      <c r="J123" s="130">
        <v>3997.0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93.0</v>
      </c>
      <c r="G124" s="61"/>
      <c r="H124" s="157">
        <v>93.0</v>
      </c>
      <c r="I124" s="61"/>
      <c r="J124" s="130">
        <v>3998.0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2350.0</v>
      </c>
      <c r="G125" s="61"/>
      <c r="H125" s="157">
        <v>2350.0</v>
      </c>
      <c r="I125" s="61"/>
      <c r="J125" s="130">
        <v>3999.0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145.0</v>
      </c>
      <c r="G126" s="54">
        <v>145.0</v>
      </c>
      <c r="H126" s="92"/>
      <c r="I126" s="61"/>
      <c r="J126" s="130">
        <v>4000.0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1322.0</v>
      </c>
      <c r="G127" s="61"/>
      <c r="H127" s="157">
        <v>1322.0</v>
      </c>
      <c r="I127" s="61"/>
      <c r="J127" s="130">
        <v>4001.0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608.0</v>
      </c>
      <c r="G128" s="61"/>
      <c r="H128" s="157">
        <v>608.0</v>
      </c>
      <c r="I128" s="61"/>
      <c r="J128" s="130">
        <v>4002.0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134.0</v>
      </c>
      <c r="G129" s="61"/>
      <c r="H129" s="157">
        <v>134.0</v>
      </c>
      <c r="I129" s="61"/>
      <c r="J129" s="130">
        <v>4003.0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215.0</v>
      </c>
      <c r="G130" s="61"/>
      <c r="H130" s="157">
        <v>215.0</v>
      </c>
      <c r="I130" s="61"/>
      <c r="J130" s="130">
        <v>4004.0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183.0</v>
      </c>
      <c r="G131" s="54">
        <v>183.0</v>
      </c>
      <c r="H131" s="92"/>
      <c r="I131" s="61"/>
      <c r="J131" s="130">
        <v>4005.0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33.0</v>
      </c>
      <c r="G132" s="61"/>
      <c r="H132" s="157">
        <v>33.0</v>
      </c>
      <c r="I132" s="61"/>
      <c r="J132" s="130">
        <v>4006.0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40.0</v>
      </c>
      <c r="G133" s="61"/>
      <c r="H133" s="157">
        <v>40.0</v>
      </c>
      <c r="I133" s="61"/>
      <c r="J133" s="130">
        <v>4007.0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529.0</v>
      </c>
      <c r="G134" s="61"/>
      <c r="H134" s="157">
        <v>29.0</v>
      </c>
      <c r="I134" s="61"/>
      <c r="J134" s="130">
        <v>4008.0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53.0</v>
      </c>
      <c r="G135" s="61"/>
      <c r="H135" s="157">
        <v>53.0</v>
      </c>
      <c r="I135" s="61"/>
      <c r="J135" s="130">
        <v>4009.0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40.0</v>
      </c>
      <c r="G136" s="54">
        <v>40.0</v>
      </c>
      <c r="H136" s="92"/>
      <c r="I136" s="61"/>
      <c r="J136" s="130">
        <v>4010.0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199.0</v>
      </c>
      <c r="G137" s="61"/>
      <c r="H137" s="157">
        <v>199.0</v>
      </c>
      <c r="I137" s="61"/>
      <c r="J137" s="130">
        <v>4011.0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347.0</v>
      </c>
      <c r="G138" s="54">
        <v>347.0</v>
      </c>
      <c r="H138" s="92"/>
      <c r="I138" s="61"/>
      <c r="J138" s="130">
        <v>4012.0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35.0</v>
      </c>
      <c r="G139" s="61"/>
      <c r="H139" s="157">
        <v>35.0</v>
      </c>
      <c r="I139" s="61"/>
      <c r="J139" s="130">
        <v>4013.0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265.0</v>
      </c>
      <c r="G140" s="54">
        <v>265.0</v>
      </c>
      <c r="H140" s="92"/>
      <c r="I140" s="61"/>
      <c r="J140" s="130">
        <v>4014.0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35.0</v>
      </c>
      <c r="G141" s="61"/>
      <c r="H141" s="157">
        <v>35.0</v>
      </c>
      <c r="I141" s="61"/>
      <c r="J141" s="130">
        <v>4015.0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110.0</v>
      </c>
      <c r="G142" s="54">
        <v>110.0</v>
      </c>
      <c r="H142" s="92"/>
      <c r="I142" s="61"/>
      <c r="J142" s="130">
        <v>4016.0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872.0</v>
      </c>
      <c r="G143" s="61"/>
      <c r="H143" s="157">
        <v>872.0</v>
      </c>
      <c r="I143" s="61"/>
      <c r="J143" s="130">
        <v>4017.0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50.0</v>
      </c>
      <c r="G144" s="61"/>
      <c r="H144" s="157">
        <v>50.0</v>
      </c>
      <c r="I144" s="61"/>
      <c r="J144" s="130">
        <v>4018.0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69.0</v>
      </c>
      <c r="G145" s="61"/>
      <c r="H145" s="157">
        <v>69.0</v>
      </c>
      <c r="I145" s="61"/>
      <c r="J145" s="130">
        <v>4019.0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>
        <v>137.0</v>
      </c>
      <c r="F146" s="138">
        <v>238.0</v>
      </c>
      <c r="G146" s="61"/>
      <c r="H146" s="157">
        <v>238.0</v>
      </c>
      <c r="I146" s="61"/>
      <c r="J146" s="130">
        <v>4020.0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>
        <v>138.0</v>
      </c>
      <c r="F147" s="138">
        <v>221.0</v>
      </c>
      <c r="G147" s="61"/>
      <c r="H147" s="157">
        <v>221.0</v>
      </c>
      <c r="I147" s="61"/>
      <c r="J147" s="130">
        <v>4021.0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>
        <v>139.0</v>
      </c>
      <c r="F148" s="138">
        <v>961.0</v>
      </c>
      <c r="G148" s="61"/>
      <c r="H148" s="157">
        <v>961.0</v>
      </c>
      <c r="I148" s="61"/>
      <c r="J148" s="130">
        <v>4022.0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226">
        <v>140.0</v>
      </c>
      <c r="F149" s="176">
        <v>994.0</v>
      </c>
      <c r="G149" s="178"/>
      <c r="H149" s="92"/>
      <c r="I149" s="178"/>
      <c r="J149" s="168">
        <v>4023.0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>
        <v>141.0</v>
      </c>
      <c r="F150" s="138">
        <v>1050.0</v>
      </c>
      <c r="G150" s="61"/>
      <c r="H150" s="157">
        <v>1050.0</v>
      </c>
      <c r="I150" s="61"/>
      <c r="J150" s="227" t="s">
        <v>181</v>
      </c>
      <c r="K150" s="228"/>
      <c r="L150" s="229"/>
      <c r="M150" s="117">
        <v>550.0</v>
      </c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158">
        <v>142.0</v>
      </c>
      <c r="F151" s="138">
        <v>920.0</v>
      </c>
      <c r="G151" s="61"/>
      <c r="H151" s="92"/>
      <c r="I151" s="54">
        <v>920.0</v>
      </c>
      <c r="J151" s="130" t="s">
        <v>182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158">
        <v>143.0</v>
      </c>
      <c r="F152" s="138">
        <v>44.0</v>
      </c>
      <c r="G152" s="54"/>
      <c r="H152" s="92"/>
      <c r="I152" s="54">
        <v>44.0</v>
      </c>
      <c r="J152" s="130" t="s">
        <v>183</v>
      </c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158">
        <v>144.0</v>
      </c>
      <c r="F153" s="138">
        <v>30.0</v>
      </c>
      <c r="G153" s="54">
        <v>30.0</v>
      </c>
      <c r="H153" s="92"/>
      <c r="I153" s="61"/>
      <c r="J153" s="130">
        <v>4027.0</v>
      </c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158">
        <v>145.0</v>
      </c>
      <c r="F154" s="121"/>
      <c r="G154" s="54">
        <v>90.0</v>
      </c>
      <c r="H154" s="93" t="s">
        <v>184</v>
      </c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157">
        <v>1241.0</v>
      </c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157">
        <v>523.0</v>
      </c>
      <c r="I156" s="61"/>
      <c r="J156" s="46"/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157">
        <v>3041.0</v>
      </c>
      <c r="I157" s="61"/>
      <c r="J157" s="46"/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61"/>
      <c r="H158" s="157">
        <v>1599.0</v>
      </c>
      <c r="I158" s="61"/>
      <c r="J158" s="130" t="s">
        <v>185</v>
      </c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1"/>
      <c r="E159" s="122"/>
      <c r="F159" s="123">
        <f t="shared" ref="F159:I159" si="4">SUM(F10:F158)</f>
        <v>70475</v>
      </c>
      <c r="G159" s="123">
        <f t="shared" si="4"/>
        <v>21804</v>
      </c>
      <c r="H159" s="123">
        <f t="shared" si="4"/>
        <v>42607</v>
      </c>
      <c r="I159" s="123">
        <f t="shared" si="4"/>
        <v>10680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18"/>
      <c r="C160" s="118"/>
      <c r="D160" s="1"/>
      <c r="E160" s="124"/>
      <c r="F160" s="124"/>
      <c r="G160" s="124"/>
      <c r="H160" s="124"/>
      <c r="I160" s="12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26"/>
      <c r="H172" s="12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70930.0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780840.0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42042.0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F157-C15</f>
        <v>70475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G157-W33</f>
        <v>21731</v>
      </c>
      <c r="D10" s="24"/>
      <c r="E10" s="43">
        <v>1.0</v>
      </c>
      <c r="F10" s="44">
        <v>377.0</v>
      </c>
      <c r="G10" s="45"/>
      <c r="H10" s="143"/>
      <c r="I10" s="45">
        <v>377.0</v>
      </c>
      <c r="J10" s="130" t="s">
        <v>164</v>
      </c>
      <c r="K10" s="24"/>
      <c r="L10" s="47">
        <v>339.0</v>
      </c>
      <c r="M10" s="47"/>
      <c r="N10" s="47">
        <v>3828.0</v>
      </c>
      <c r="O10" s="49"/>
      <c r="P10" s="85" t="s">
        <v>141</v>
      </c>
      <c r="Q10" s="51"/>
      <c r="R10" s="52">
        <v>587.0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H157-X33</f>
        <v>37875</v>
      </c>
      <c r="D11" s="24"/>
      <c r="E11" s="43">
        <v>2.0</v>
      </c>
      <c r="F11" s="56">
        <v>83.0</v>
      </c>
      <c r="G11" s="57">
        <v>83.0</v>
      </c>
      <c r="H11" s="230"/>
      <c r="I11" s="59"/>
      <c r="J11" s="130">
        <v>3885.0</v>
      </c>
      <c r="K11" s="24"/>
      <c r="L11" s="47">
        <v>558.0</v>
      </c>
      <c r="M11" s="48"/>
      <c r="N11" s="47">
        <v>3846.0</v>
      </c>
      <c r="O11" s="49"/>
      <c r="P11" s="72" t="s">
        <v>141</v>
      </c>
      <c r="Q11" s="51"/>
      <c r="R11" s="52">
        <v>1290.0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I157</f>
        <v>10680</v>
      </c>
      <c r="D12" s="24"/>
      <c r="E12" s="43">
        <v>3.0</v>
      </c>
      <c r="F12" s="63">
        <v>100.0</v>
      </c>
      <c r="G12" s="64"/>
      <c r="H12" s="189">
        <v>100.0</v>
      </c>
      <c r="I12" s="65"/>
      <c r="J12" s="130">
        <v>3886.0</v>
      </c>
      <c r="K12" s="24"/>
      <c r="L12" s="47">
        <v>238.0</v>
      </c>
      <c r="M12" s="48"/>
      <c r="N12" s="47">
        <v>3849.0</v>
      </c>
      <c r="O12" s="49"/>
      <c r="P12" s="72" t="s">
        <v>129</v>
      </c>
      <c r="Q12" s="51"/>
      <c r="R12" s="52">
        <v>47.0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1135</v>
      </c>
      <c r="D13" s="24"/>
      <c r="E13" s="43">
        <v>4.0</v>
      </c>
      <c r="F13" s="56">
        <v>299.0</v>
      </c>
      <c r="G13" s="64">
        <v>299.0</v>
      </c>
      <c r="H13" s="151"/>
      <c r="I13" s="65"/>
      <c r="J13" s="130">
        <v>3887.0</v>
      </c>
      <c r="K13" s="24"/>
      <c r="L13" s="48"/>
      <c r="M13" s="196">
        <v>1610.0</v>
      </c>
      <c r="N13" s="47">
        <v>3881.0</v>
      </c>
      <c r="O13" s="49"/>
      <c r="P13" s="72" t="s">
        <v>165</v>
      </c>
      <c r="Q13" s="51"/>
      <c r="R13" s="52">
        <v>788.0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1610</v>
      </c>
      <c r="D14" s="24"/>
      <c r="E14" s="43">
        <v>5.0</v>
      </c>
      <c r="F14" s="56">
        <v>37.0</v>
      </c>
      <c r="G14" s="64">
        <v>37.0</v>
      </c>
      <c r="H14" s="151"/>
      <c r="I14" s="65"/>
      <c r="J14" s="130">
        <v>3888.0</v>
      </c>
      <c r="K14" s="24"/>
      <c r="L14" s="48"/>
      <c r="M14" s="48"/>
      <c r="N14" s="48"/>
      <c r="O14" s="49"/>
      <c r="P14" s="72" t="s">
        <v>166</v>
      </c>
      <c r="Q14" s="51"/>
      <c r="R14" s="52">
        <v>375.0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560.0</v>
      </c>
      <c r="G15" s="64">
        <v>560.0</v>
      </c>
      <c r="H15" s="149"/>
      <c r="I15" s="65"/>
      <c r="J15" s="130">
        <v>3889.0</v>
      </c>
      <c r="K15" s="24"/>
      <c r="L15" s="48"/>
      <c r="M15" s="48"/>
      <c r="N15" s="48"/>
      <c r="O15" s="49"/>
      <c r="P15" s="72" t="s">
        <v>141</v>
      </c>
      <c r="Q15" s="51"/>
      <c r="R15" s="52">
        <v>1600.0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4887</v>
      </c>
      <c r="D16" s="24"/>
      <c r="E16" s="43">
        <v>7.0</v>
      </c>
      <c r="F16" s="56">
        <v>40.0</v>
      </c>
      <c r="G16" s="64">
        <v>40.0</v>
      </c>
      <c r="H16" s="149"/>
      <c r="I16" s="65"/>
      <c r="J16" s="130">
        <v>3890.0</v>
      </c>
      <c r="K16" s="24"/>
      <c r="L16" s="48"/>
      <c r="M16" s="48"/>
      <c r="N16" s="48"/>
      <c r="O16" s="49"/>
      <c r="P16" s="72" t="s">
        <v>48</v>
      </c>
      <c r="Q16" s="51"/>
      <c r="R16" s="52">
        <v>150.0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4887</v>
      </c>
      <c r="D17" s="24"/>
      <c r="E17" s="43">
        <v>8.0</v>
      </c>
      <c r="F17" s="56">
        <v>46.0</v>
      </c>
      <c r="G17" s="64">
        <v>46.0</v>
      </c>
      <c r="H17" s="149"/>
      <c r="I17" s="65"/>
      <c r="J17" s="130">
        <v>3891.0</v>
      </c>
      <c r="K17" s="24"/>
      <c r="L17" s="48"/>
      <c r="M17" s="48"/>
      <c r="N17" s="48"/>
      <c r="O17" s="49"/>
      <c r="P17" s="72" t="s">
        <v>167</v>
      </c>
      <c r="Q17" s="51"/>
      <c r="R17" s="52">
        <v>50.0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471.0</v>
      </c>
      <c r="G18" s="64"/>
      <c r="H18" s="189">
        <v>471.0</v>
      </c>
      <c r="I18" s="65"/>
      <c r="J18" s="130">
        <v>3892.0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80.0</v>
      </c>
      <c r="G19" s="64"/>
      <c r="H19" s="189">
        <v>80.0</v>
      </c>
      <c r="I19" s="65"/>
      <c r="J19" s="130">
        <v>3893.0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49977</v>
      </c>
      <c r="D20" s="24"/>
      <c r="E20" s="43">
        <v>11.0</v>
      </c>
      <c r="F20" s="56">
        <v>1430.0</v>
      </c>
      <c r="G20" s="64">
        <v>1430.0</v>
      </c>
      <c r="H20" s="149"/>
      <c r="I20" s="65"/>
      <c r="J20" s="130">
        <v>3894.0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820325</v>
      </c>
      <c r="D21" s="24"/>
      <c r="E21" s="43">
        <v>12.0</v>
      </c>
      <c r="F21" s="56">
        <v>223.0</v>
      </c>
      <c r="G21" s="64">
        <v>223.0</v>
      </c>
      <c r="H21" s="149"/>
      <c r="I21" s="65"/>
      <c r="J21" s="130">
        <v>3895.0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88909</v>
      </c>
      <c r="D22" s="24"/>
      <c r="E22" s="43">
        <v>13.0</v>
      </c>
      <c r="F22" s="56">
        <v>10.0</v>
      </c>
      <c r="G22" s="64">
        <v>10.0</v>
      </c>
      <c r="H22" s="149"/>
      <c r="I22" s="65"/>
      <c r="J22" s="130">
        <v>3896.0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88077.0</v>
      </c>
      <c r="D23" s="24"/>
      <c r="E23" s="43">
        <v>14.0</v>
      </c>
      <c r="F23" s="56">
        <v>73.0</v>
      </c>
      <c r="G23" s="65"/>
      <c r="H23" s="189">
        <v>74.0</v>
      </c>
      <c r="I23" s="65"/>
      <c r="J23" s="130">
        <v>3897.0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832</v>
      </c>
      <c r="D24" s="24"/>
      <c r="E24" s="43">
        <v>15.0</v>
      </c>
      <c r="F24" s="56">
        <v>121.0</v>
      </c>
      <c r="G24" s="64"/>
      <c r="H24" s="189">
        <v>121.0</v>
      </c>
      <c r="I24" s="65"/>
      <c r="J24" s="130">
        <v>3898.0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9.0</v>
      </c>
      <c r="G25" s="64">
        <v>9.0</v>
      </c>
      <c r="H25" s="151"/>
      <c r="I25" s="65"/>
      <c r="J25" s="130">
        <v>3899.0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F157</f>
        <v>70475</v>
      </c>
      <c r="D26" s="24"/>
      <c r="E26" s="158">
        <v>17.0</v>
      </c>
      <c r="F26" s="56">
        <v>74.0</v>
      </c>
      <c r="G26" s="64"/>
      <c r="H26" s="189">
        <v>74.0</v>
      </c>
      <c r="I26" s="65"/>
      <c r="J26" s="130">
        <v>3900.0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144.0</v>
      </c>
      <c r="D27" s="24"/>
      <c r="E27" s="43">
        <v>18.0</v>
      </c>
      <c r="F27" s="56">
        <v>460.0</v>
      </c>
      <c r="G27" s="64">
        <v>460.0</v>
      </c>
      <c r="H27" s="149"/>
      <c r="I27" s="151"/>
      <c r="J27" s="213">
        <v>3901.0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489.4097222</v>
      </c>
      <c r="D28" s="24"/>
      <c r="E28" s="43">
        <v>19.0</v>
      </c>
      <c r="F28" s="56">
        <v>32.0</v>
      </c>
      <c r="G28" s="64">
        <v>32.0</v>
      </c>
      <c r="H28" s="151"/>
      <c r="I28" s="151"/>
      <c r="J28" s="213">
        <v>3902.0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556.0</v>
      </c>
      <c r="G29" s="64">
        <v>556.0</v>
      </c>
      <c r="H29" s="149"/>
      <c r="I29" s="151"/>
      <c r="J29" s="213">
        <v>3903.0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378.0</v>
      </c>
      <c r="G30" s="93">
        <v>378.0</v>
      </c>
      <c r="H30" s="152"/>
      <c r="I30" s="152"/>
      <c r="J30" s="213">
        <v>3904.0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140.0</v>
      </c>
      <c r="G31" s="93"/>
      <c r="H31" s="190">
        <v>325.0</v>
      </c>
      <c r="I31" s="92"/>
      <c r="J31" s="130" t="s">
        <v>168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4887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1418.0</v>
      </c>
      <c r="G32" s="93"/>
      <c r="H32" s="190">
        <v>1418.0</v>
      </c>
      <c r="I32" s="92"/>
      <c r="J32" s="130">
        <v>3906.0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32.0</v>
      </c>
      <c r="G33" s="93">
        <v>32.0</v>
      </c>
      <c r="H33" s="153"/>
      <c r="I33" s="92"/>
      <c r="J33" s="130">
        <v>3907.0</v>
      </c>
      <c r="K33" s="24"/>
      <c r="L33" s="104">
        <f t="shared" ref="L33:M33" si="2">sum(L10:L32)</f>
        <v>1135</v>
      </c>
      <c r="M33" s="104">
        <f t="shared" si="2"/>
        <v>1610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214">
        <v>88077.0</v>
      </c>
      <c r="D34" s="24"/>
      <c r="E34" s="43">
        <v>25.0</v>
      </c>
      <c r="F34" s="56">
        <v>98.0</v>
      </c>
      <c r="G34" s="93"/>
      <c r="H34" s="190">
        <v>98.0</v>
      </c>
      <c r="I34" s="92"/>
      <c r="J34" s="130">
        <v>3908.0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875.0</v>
      </c>
      <c r="G35" s="93">
        <v>875.0</v>
      </c>
      <c r="H35" s="152"/>
      <c r="I35" s="92"/>
      <c r="J35" s="130">
        <v>3909.0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27.0</v>
      </c>
      <c r="G36" s="93">
        <v>27.0</v>
      </c>
      <c r="H36" s="152"/>
      <c r="I36" s="92"/>
      <c r="J36" s="130">
        <v>3910.0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10.0</v>
      </c>
      <c r="G37" s="93">
        <v>10.0</v>
      </c>
      <c r="H37" s="153"/>
      <c r="I37" s="92"/>
      <c r="J37" s="130">
        <v>3911.0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1653.0</v>
      </c>
      <c r="G38" s="93">
        <v>1653.0</v>
      </c>
      <c r="H38" s="152"/>
      <c r="I38" s="92"/>
      <c r="J38" s="130">
        <v>3912.0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400.0</v>
      </c>
      <c r="G39" s="93"/>
      <c r="H39" s="190">
        <v>400.0</v>
      </c>
      <c r="I39" s="92"/>
      <c r="J39" s="130">
        <v>3913.0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58.0</v>
      </c>
      <c r="G40" s="92"/>
      <c r="H40" s="190">
        <v>58.0</v>
      </c>
      <c r="I40" s="92"/>
      <c r="J40" s="130">
        <v>3914.0</v>
      </c>
      <c r="K40" s="24"/>
      <c r="L40" s="137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53.0</v>
      </c>
      <c r="G41" s="93">
        <v>53.0</v>
      </c>
      <c r="H41" s="152"/>
      <c r="I41" s="92"/>
      <c r="J41" s="130">
        <v>3915.0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1551.0</v>
      </c>
      <c r="G42" s="93">
        <v>1551.0</v>
      </c>
      <c r="H42" s="152"/>
      <c r="I42" s="92"/>
      <c r="J42" s="130">
        <v>3916.0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1054.0</v>
      </c>
      <c r="G43" s="93">
        <v>1054.0</v>
      </c>
      <c r="H43" s="152"/>
      <c r="I43" s="153"/>
      <c r="J43" s="213">
        <v>3917.0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5.0</v>
      </c>
      <c r="G44" s="92"/>
      <c r="H44" s="190">
        <v>5.0</v>
      </c>
      <c r="I44" s="92"/>
      <c r="J44" s="130">
        <v>3918.0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103.0</v>
      </c>
      <c r="G45" s="93">
        <v>103.0</v>
      </c>
      <c r="H45" s="153"/>
      <c r="I45" s="92"/>
      <c r="J45" s="130">
        <v>3919.0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1134.0</v>
      </c>
      <c r="G46" s="93"/>
      <c r="H46" s="190">
        <v>1134.0</v>
      </c>
      <c r="I46" s="92"/>
      <c r="J46" s="130">
        <v>3920.0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840.0</v>
      </c>
      <c r="G47" s="92"/>
      <c r="H47" s="190">
        <v>840.0</v>
      </c>
      <c r="I47" s="92"/>
      <c r="J47" s="130">
        <v>3921.0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969.0</v>
      </c>
      <c r="G48" s="93">
        <v>99.0</v>
      </c>
      <c r="H48" s="190">
        <v>870.0</v>
      </c>
      <c r="I48" s="92"/>
      <c r="J48" s="130">
        <v>3922.0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1150.0</v>
      </c>
      <c r="G49" s="92"/>
      <c r="H49" s="190">
        <v>1150.0</v>
      </c>
      <c r="I49" s="92"/>
      <c r="J49" s="130">
        <v>3923.0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396.0</v>
      </c>
      <c r="G50" s="93"/>
      <c r="H50" s="152"/>
      <c r="I50" s="93">
        <v>396.0</v>
      </c>
      <c r="J50" s="130" t="s">
        <v>169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100.0</v>
      </c>
      <c r="G51" s="93">
        <v>100.0</v>
      </c>
      <c r="H51" s="153"/>
      <c r="I51" s="92"/>
      <c r="J51" s="130">
        <v>3925.0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351.0</v>
      </c>
      <c r="G52" s="93">
        <v>351.0</v>
      </c>
      <c r="H52" s="153"/>
      <c r="I52" s="92"/>
      <c r="J52" s="130">
        <v>3926.0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34.0</v>
      </c>
      <c r="G53" s="93">
        <v>34.0</v>
      </c>
      <c r="H53" s="153"/>
      <c r="I53" s="92"/>
      <c r="J53" s="130">
        <v>3927.0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646.0</v>
      </c>
      <c r="G54" s="93">
        <v>646.0</v>
      </c>
      <c r="H54" s="153"/>
      <c r="I54" s="92"/>
      <c r="J54" s="130">
        <v>3928.0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48.0</v>
      </c>
      <c r="G55" s="93">
        <v>48.0</v>
      </c>
      <c r="H55" s="153"/>
      <c r="I55" s="92"/>
      <c r="J55" s="130">
        <v>3929.0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59.0</v>
      </c>
      <c r="G56" s="93">
        <v>59.0</v>
      </c>
      <c r="H56" s="153"/>
      <c r="I56" s="92"/>
      <c r="J56" s="130">
        <v>3930.0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712.0</v>
      </c>
      <c r="G57" s="93">
        <v>712.0</v>
      </c>
      <c r="H57" s="153"/>
      <c r="I57" s="92"/>
      <c r="J57" s="130">
        <v>3931.0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74.0</v>
      </c>
      <c r="G58" s="93">
        <v>74.0</v>
      </c>
      <c r="H58" s="153"/>
      <c r="I58" s="92"/>
      <c r="J58" s="130">
        <v>3932.0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19.0</v>
      </c>
      <c r="G59" s="93">
        <v>19.0</v>
      </c>
      <c r="H59" s="153"/>
      <c r="I59" s="92"/>
      <c r="J59" s="130">
        <v>3933.0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866.0</v>
      </c>
      <c r="G60" s="92"/>
      <c r="H60" s="190">
        <v>866.0</v>
      </c>
      <c r="I60" s="92"/>
      <c r="J60" s="130">
        <v>3934.0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216">
        <v>3650.0</v>
      </c>
      <c r="G61" s="173"/>
      <c r="H61" s="136">
        <v>3650.0</v>
      </c>
      <c r="I61" s="173"/>
      <c r="J61" s="155" t="s">
        <v>170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131.0</v>
      </c>
      <c r="G62" s="93">
        <v>131.0</v>
      </c>
      <c r="H62" s="153"/>
      <c r="I62" s="92"/>
      <c r="J62" s="130">
        <v>3936.0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515.0</v>
      </c>
      <c r="G63" s="93">
        <v>515.0</v>
      </c>
      <c r="H63" s="153"/>
      <c r="I63" s="92"/>
      <c r="J63" s="130">
        <v>3937.0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216">
        <v>330.0</v>
      </c>
      <c r="G64" s="173"/>
      <c r="H64" s="136">
        <v>330.0</v>
      </c>
      <c r="I64" s="173"/>
      <c r="J64" s="155" t="s">
        <v>171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70.0</v>
      </c>
      <c r="G65" s="93">
        <v>70.0</v>
      </c>
      <c r="H65" s="153"/>
      <c r="I65" s="92"/>
      <c r="J65" s="130">
        <v>3939.0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1090.0</v>
      </c>
      <c r="G66" s="93">
        <v>1090.0</v>
      </c>
      <c r="H66" s="153"/>
      <c r="I66" s="92"/>
      <c r="J66" s="130">
        <v>3940.0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35.0</v>
      </c>
      <c r="G67" s="93">
        <v>35.0</v>
      </c>
      <c r="H67" s="153"/>
      <c r="I67" s="92"/>
      <c r="J67" s="130">
        <v>3941.0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364.0</v>
      </c>
      <c r="G68" s="93">
        <v>364.0</v>
      </c>
      <c r="H68" s="153"/>
      <c r="I68" s="92"/>
      <c r="J68" s="130">
        <v>3942.0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634.0</v>
      </c>
      <c r="G69" s="93"/>
      <c r="H69" s="153"/>
      <c r="I69" s="93">
        <v>634.0</v>
      </c>
      <c r="J69" s="130" t="s">
        <v>172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548.0</v>
      </c>
      <c r="G70" s="93">
        <v>548.0</v>
      </c>
      <c r="H70" s="153"/>
      <c r="I70" s="92"/>
      <c r="J70" s="130">
        <v>3944.0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495.0</v>
      </c>
      <c r="G71" s="92"/>
      <c r="H71" s="190">
        <v>495.0</v>
      </c>
      <c r="I71" s="92"/>
      <c r="J71" s="130">
        <v>3945.0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143.0</v>
      </c>
      <c r="G72" s="92"/>
      <c r="H72" s="190">
        <v>143.0</v>
      </c>
      <c r="I72" s="92"/>
      <c r="J72" s="130">
        <v>3946.0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399.0</v>
      </c>
      <c r="G73" s="93">
        <v>399.0</v>
      </c>
      <c r="H73" s="152"/>
      <c r="I73" s="92"/>
      <c r="J73" s="130">
        <v>3947.0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346.0</v>
      </c>
      <c r="G74" s="93">
        <v>346.0</v>
      </c>
      <c r="H74" s="152"/>
      <c r="I74" s="92"/>
      <c r="J74" s="130">
        <v>3948.0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3171.0</v>
      </c>
      <c r="G75" s="93"/>
      <c r="H75" s="153"/>
      <c r="I75" s="93">
        <v>3171.0</v>
      </c>
      <c r="J75" s="130" t="s">
        <v>173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1905.0</v>
      </c>
      <c r="G76" s="93"/>
      <c r="H76" s="153"/>
      <c r="I76" s="93">
        <v>1905.0</v>
      </c>
      <c r="J76" s="130" t="s">
        <v>174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470.0</v>
      </c>
      <c r="G77" s="93">
        <v>470.0</v>
      </c>
      <c r="H77" s="153"/>
      <c r="I77" s="92"/>
      <c r="J77" s="130">
        <v>3951.0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834.0</v>
      </c>
      <c r="G78" s="93">
        <v>834.0</v>
      </c>
      <c r="H78" s="153"/>
      <c r="I78" s="92"/>
      <c r="J78" s="130">
        <v>3952.0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125.0</v>
      </c>
      <c r="G79" s="93">
        <v>125.0</v>
      </c>
      <c r="H79" s="153"/>
      <c r="I79" s="92"/>
      <c r="J79" s="130">
        <v>3953.0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40.0</v>
      </c>
      <c r="G80" s="92"/>
      <c r="H80" s="190">
        <v>40.0</v>
      </c>
      <c r="I80" s="92"/>
      <c r="J80" s="130">
        <v>3954.0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177.0</v>
      </c>
      <c r="G81" s="93">
        <v>30.0</v>
      </c>
      <c r="H81" s="190">
        <v>147.0</v>
      </c>
      <c r="I81" s="92"/>
      <c r="J81" s="130">
        <v>3955.0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450.0</v>
      </c>
      <c r="G82" s="61"/>
      <c r="H82" s="190">
        <v>450.0</v>
      </c>
      <c r="I82" s="61"/>
      <c r="J82" s="130">
        <v>3956.0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175.0</v>
      </c>
      <c r="G83" s="61"/>
      <c r="H83" s="190">
        <v>175.0</v>
      </c>
      <c r="I83" s="61"/>
      <c r="J83" s="130">
        <v>3957.0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20.0</v>
      </c>
      <c r="G84" s="61"/>
      <c r="H84" s="190">
        <v>20.0</v>
      </c>
      <c r="I84" s="61"/>
      <c r="J84" s="130">
        <v>3958.0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51.0</v>
      </c>
      <c r="G85" s="54"/>
      <c r="H85" s="153"/>
      <c r="I85" s="54">
        <v>51.0</v>
      </c>
      <c r="J85" s="130" t="s">
        <v>175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261.0</v>
      </c>
      <c r="G86" s="54">
        <v>261.0</v>
      </c>
      <c r="H86" s="153"/>
      <c r="I86" s="61"/>
      <c r="J86" s="130">
        <v>3960.0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1882.0</v>
      </c>
      <c r="G87" s="54"/>
      <c r="H87" s="153"/>
      <c r="I87" s="54">
        <v>1882.0</v>
      </c>
      <c r="J87" s="130" t="s">
        <v>176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1043.0</v>
      </c>
      <c r="G88" s="54">
        <v>1043.0</v>
      </c>
      <c r="H88" s="152"/>
      <c r="I88" s="61"/>
      <c r="J88" s="130">
        <v>3962.0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454.0</v>
      </c>
      <c r="G89" s="54">
        <v>454.0</v>
      </c>
      <c r="H89" s="153"/>
      <c r="I89" s="61"/>
      <c r="J89" s="130">
        <v>3963.0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430.0</v>
      </c>
      <c r="G90" s="61"/>
      <c r="H90" s="190">
        <v>430.0</v>
      </c>
      <c r="I90" s="61"/>
      <c r="J90" s="130">
        <v>3964.0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324.0</v>
      </c>
      <c r="G91" s="54">
        <v>324.0</v>
      </c>
      <c r="H91" s="153"/>
      <c r="I91" s="61"/>
      <c r="J91" s="130">
        <v>3965.0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352.0</v>
      </c>
      <c r="G92" s="61"/>
      <c r="H92" s="190">
        <v>2.0</v>
      </c>
      <c r="I92" s="61"/>
      <c r="J92" s="130">
        <v>3966.0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144.0</v>
      </c>
      <c r="G93" s="61"/>
      <c r="H93" s="190">
        <v>144.0</v>
      </c>
      <c r="I93" s="61"/>
      <c r="J93" s="130">
        <v>3967.0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3132.0</v>
      </c>
      <c r="G94" s="61"/>
      <c r="H94" s="190">
        <v>3132.0</v>
      </c>
      <c r="I94" s="61"/>
      <c r="J94" s="130">
        <v>3968.0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492.0</v>
      </c>
      <c r="G95" s="54">
        <v>492.0</v>
      </c>
      <c r="H95" s="153"/>
      <c r="I95" s="61"/>
      <c r="J95" s="130">
        <v>3969.0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208.0</v>
      </c>
      <c r="G96" s="54">
        <v>208.0</v>
      </c>
      <c r="H96" s="153"/>
      <c r="I96" s="61"/>
      <c r="J96" s="130">
        <v>3970.0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488.0</v>
      </c>
      <c r="G97" s="61"/>
      <c r="H97" s="190">
        <v>488.0</v>
      </c>
      <c r="I97" s="61"/>
      <c r="J97" s="217" t="s">
        <v>177</v>
      </c>
      <c r="K97" s="218"/>
      <c r="L97" s="219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323.0</v>
      </c>
      <c r="G98" s="54">
        <v>323.0</v>
      </c>
      <c r="H98" s="153"/>
      <c r="I98" s="61"/>
      <c r="J98" s="130">
        <v>3972.0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20.0</v>
      </c>
      <c r="G99" s="61"/>
      <c r="H99" s="190">
        <v>20.0</v>
      </c>
      <c r="I99" s="61"/>
      <c r="J99" s="130">
        <v>3973.0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220">
        <v>1170.0</v>
      </c>
      <c r="G100" s="153"/>
      <c r="H100" s="231">
        <v>1170.0</v>
      </c>
      <c r="I100" s="221"/>
      <c r="J100" s="222">
        <v>3974.0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220">
        <v>71.0</v>
      </c>
      <c r="G101" s="153"/>
      <c r="H101" s="231">
        <v>71.0</v>
      </c>
      <c r="I101" s="221"/>
      <c r="J101" s="222">
        <v>3975.0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220.0</v>
      </c>
      <c r="G102" s="54">
        <v>220.0</v>
      </c>
      <c r="H102" s="153"/>
      <c r="I102" s="61"/>
      <c r="J102" s="130">
        <v>3976.0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135.0</v>
      </c>
      <c r="G103" s="54">
        <v>120.0</v>
      </c>
      <c r="H103" s="190">
        <v>15.0</v>
      </c>
      <c r="I103" s="61"/>
      <c r="J103" s="130">
        <v>3977.0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975.0</v>
      </c>
      <c r="G104" s="61"/>
      <c r="H104" s="190">
        <v>975.0</v>
      </c>
      <c r="I104" s="61"/>
      <c r="J104" s="130">
        <v>3978.0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455.0</v>
      </c>
      <c r="G105" s="61"/>
      <c r="H105" s="190">
        <v>455.0</v>
      </c>
      <c r="I105" s="61"/>
      <c r="J105" s="130">
        <v>3979.0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348.0</v>
      </c>
      <c r="G106" s="61"/>
      <c r="H106" s="190">
        <v>348.0</v>
      </c>
      <c r="I106" s="61"/>
      <c r="J106" s="130">
        <v>3980.0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683.0</v>
      </c>
      <c r="G107" s="61"/>
      <c r="H107" s="190">
        <v>683.0</v>
      </c>
      <c r="I107" s="61"/>
      <c r="J107" s="130">
        <v>3981.0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223">
        <v>1800.0</v>
      </c>
      <c r="G108" s="224"/>
      <c r="H108" s="232">
        <v>1800.0</v>
      </c>
      <c r="I108" s="224"/>
      <c r="J108" s="225" t="s">
        <v>178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223">
        <v>1050.0</v>
      </c>
      <c r="G109" s="224"/>
      <c r="H109" s="232">
        <v>1050.0</v>
      </c>
      <c r="I109" s="224"/>
      <c r="J109" s="225" t="s">
        <v>179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78.0</v>
      </c>
      <c r="G110" s="61"/>
      <c r="H110" s="190">
        <v>78.0</v>
      </c>
      <c r="I110" s="61"/>
      <c r="J110" s="130">
        <v>3984.0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486.0</v>
      </c>
      <c r="G111" s="61"/>
      <c r="H111" s="190">
        <v>486.0</v>
      </c>
      <c r="I111" s="61"/>
      <c r="J111" s="130">
        <v>3985.0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17.0</v>
      </c>
      <c r="G112" s="61"/>
      <c r="H112" s="190">
        <v>17.0</v>
      </c>
      <c r="I112" s="61"/>
      <c r="J112" s="130">
        <v>3986.0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247.0</v>
      </c>
      <c r="G113" s="61"/>
      <c r="H113" s="190">
        <v>247.0</v>
      </c>
      <c r="I113" s="61"/>
      <c r="J113" s="130">
        <v>3987.0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374.0</v>
      </c>
      <c r="G114" s="54">
        <v>374.0</v>
      </c>
      <c r="H114" s="152"/>
      <c r="I114" s="61"/>
      <c r="J114" s="130">
        <v>3988.0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43.0</v>
      </c>
      <c r="G115" s="61"/>
      <c r="H115" s="190">
        <v>43.0</v>
      </c>
      <c r="I115" s="61"/>
      <c r="J115" s="130">
        <v>3989.0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345.0</v>
      </c>
      <c r="G116" s="61"/>
      <c r="H116" s="190">
        <v>345.0</v>
      </c>
      <c r="I116" s="61"/>
      <c r="J116" s="130">
        <v>3990.0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1300.0</v>
      </c>
      <c r="G117" s="54"/>
      <c r="H117" s="153"/>
      <c r="I117" s="54">
        <v>1300.0</v>
      </c>
      <c r="J117" s="130" t="s">
        <v>180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82.0</v>
      </c>
      <c r="G118" s="54">
        <v>82.0</v>
      </c>
      <c r="H118" s="153"/>
      <c r="I118" s="61"/>
      <c r="J118" s="130">
        <v>3992.0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242.0</v>
      </c>
      <c r="G119" s="61"/>
      <c r="H119" s="190">
        <v>242.0</v>
      </c>
      <c r="I119" s="61"/>
      <c r="J119" s="130">
        <v>3993.0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6.0</v>
      </c>
      <c r="G120" s="61"/>
      <c r="H120" s="190">
        <v>6.0</v>
      </c>
      <c r="I120" s="61"/>
      <c r="J120" s="130">
        <v>3994.0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1666.0</v>
      </c>
      <c r="G121" s="61"/>
      <c r="H121" s="190">
        <v>1666.0</v>
      </c>
      <c r="I121" s="61"/>
      <c r="J121" s="130">
        <v>3995.0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228.0</v>
      </c>
      <c r="G122" s="61"/>
      <c r="H122" s="190">
        <v>8.0</v>
      </c>
      <c r="I122" s="61"/>
      <c r="J122" s="130">
        <v>3996.0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214.0</v>
      </c>
      <c r="G123" s="61"/>
      <c r="H123" s="190">
        <v>214.0</v>
      </c>
      <c r="I123" s="61"/>
      <c r="J123" s="130">
        <v>3997.0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93.0</v>
      </c>
      <c r="G124" s="61"/>
      <c r="H124" s="190">
        <v>93.0</v>
      </c>
      <c r="I124" s="61"/>
      <c r="J124" s="130">
        <v>3998.0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2350.0</v>
      </c>
      <c r="G125" s="61"/>
      <c r="H125" s="190">
        <v>2350.0</v>
      </c>
      <c r="I125" s="61"/>
      <c r="J125" s="130">
        <v>3999.0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145.0</v>
      </c>
      <c r="G126" s="54">
        <v>145.0</v>
      </c>
      <c r="H126" s="153"/>
      <c r="I126" s="61"/>
      <c r="J126" s="130">
        <v>4000.0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1322.0</v>
      </c>
      <c r="G127" s="61"/>
      <c r="H127" s="190">
        <v>1322.0</v>
      </c>
      <c r="I127" s="61"/>
      <c r="J127" s="130">
        <v>4001.0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608.0</v>
      </c>
      <c r="G128" s="61"/>
      <c r="H128" s="190">
        <v>608.0</v>
      </c>
      <c r="I128" s="61"/>
      <c r="J128" s="130">
        <v>4002.0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134.0</v>
      </c>
      <c r="G129" s="61"/>
      <c r="H129" s="190">
        <v>134.0</v>
      </c>
      <c r="I129" s="61"/>
      <c r="J129" s="130">
        <v>4003.0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215.0</v>
      </c>
      <c r="G130" s="61"/>
      <c r="H130" s="190">
        <v>215.0</v>
      </c>
      <c r="I130" s="61"/>
      <c r="J130" s="130">
        <v>4004.0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183.0</v>
      </c>
      <c r="G131" s="54">
        <v>183.0</v>
      </c>
      <c r="H131" s="153"/>
      <c r="I131" s="61"/>
      <c r="J131" s="130">
        <v>4005.0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33.0</v>
      </c>
      <c r="G132" s="61"/>
      <c r="H132" s="190">
        <v>33.0</v>
      </c>
      <c r="I132" s="61"/>
      <c r="J132" s="130">
        <v>4006.0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40.0</v>
      </c>
      <c r="G133" s="61"/>
      <c r="H133" s="190">
        <v>40.0</v>
      </c>
      <c r="I133" s="61"/>
      <c r="J133" s="130">
        <v>4007.0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529.0</v>
      </c>
      <c r="G134" s="61"/>
      <c r="H134" s="190">
        <v>29.0</v>
      </c>
      <c r="I134" s="61"/>
      <c r="J134" s="130">
        <v>4008.0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53.0</v>
      </c>
      <c r="G135" s="61"/>
      <c r="H135" s="190">
        <v>53.0</v>
      </c>
      <c r="I135" s="61"/>
      <c r="J135" s="130">
        <v>4009.0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40.0</v>
      </c>
      <c r="G136" s="54">
        <v>40.0</v>
      </c>
      <c r="H136" s="153"/>
      <c r="I136" s="61"/>
      <c r="J136" s="130">
        <v>4010.0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199.0</v>
      </c>
      <c r="G137" s="61"/>
      <c r="H137" s="190">
        <v>199.0</v>
      </c>
      <c r="I137" s="61"/>
      <c r="J137" s="130">
        <v>4011.0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347.0</v>
      </c>
      <c r="G138" s="54">
        <v>347.0</v>
      </c>
      <c r="H138" s="153"/>
      <c r="I138" s="61"/>
      <c r="J138" s="130">
        <v>4012.0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35.0</v>
      </c>
      <c r="G139" s="61"/>
      <c r="H139" s="190">
        <v>35.0</v>
      </c>
      <c r="I139" s="61"/>
      <c r="J139" s="130">
        <v>4013.0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265.0</v>
      </c>
      <c r="G140" s="54">
        <v>265.0</v>
      </c>
      <c r="H140" s="153"/>
      <c r="I140" s="61"/>
      <c r="J140" s="130">
        <v>4014.0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35.0</v>
      </c>
      <c r="G141" s="61"/>
      <c r="H141" s="190">
        <v>35.0</v>
      </c>
      <c r="I141" s="61"/>
      <c r="J141" s="130">
        <v>4015.0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110.0</v>
      </c>
      <c r="G142" s="54">
        <v>110.0</v>
      </c>
      <c r="H142" s="153"/>
      <c r="I142" s="61"/>
      <c r="J142" s="130">
        <v>4016.0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872.0</v>
      </c>
      <c r="G143" s="61"/>
      <c r="H143" s="190">
        <v>872.0</v>
      </c>
      <c r="I143" s="61"/>
      <c r="J143" s="130">
        <v>4017.0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50.0</v>
      </c>
      <c r="G144" s="61"/>
      <c r="H144" s="190">
        <v>50.0</v>
      </c>
      <c r="I144" s="61"/>
      <c r="J144" s="130">
        <v>4018.0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69.0</v>
      </c>
      <c r="G145" s="61"/>
      <c r="H145" s="190">
        <v>69.0</v>
      </c>
      <c r="I145" s="61"/>
      <c r="J145" s="130">
        <v>4019.0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>
        <v>137.0</v>
      </c>
      <c r="F146" s="138">
        <v>238.0</v>
      </c>
      <c r="G146" s="61"/>
      <c r="H146" s="190">
        <v>238.0</v>
      </c>
      <c r="I146" s="61"/>
      <c r="J146" s="130">
        <v>4020.0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>
        <v>138.0</v>
      </c>
      <c r="F147" s="138">
        <v>221.0</v>
      </c>
      <c r="G147" s="61"/>
      <c r="H147" s="190">
        <v>221.0</v>
      </c>
      <c r="I147" s="61"/>
      <c r="J147" s="130">
        <v>4021.0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>
        <v>139.0</v>
      </c>
      <c r="F148" s="138">
        <v>961.0</v>
      </c>
      <c r="G148" s="61"/>
      <c r="H148" s="190">
        <v>961.0</v>
      </c>
      <c r="I148" s="61"/>
      <c r="J148" s="130">
        <v>4022.0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226">
        <v>140.0</v>
      </c>
      <c r="F149" s="176">
        <v>994.0</v>
      </c>
      <c r="G149" s="178"/>
      <c r="H149" s="178"/>
      <c r="I149" s="178"/>
      <c r="J149" s="168">
        <v>4023.0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>
        <v>141.0</v>
      </c>
      <c r="F150" s="138">
        <v>1050.0</v>
      </c>
      <c r="G150" s="61"/>
      <c r="H150" s="190">
        <v>1050.0</v>
      </c>
      <c r="I150" s="61"/>
      <c r="J150" s="227" t="s">
        <v>181</v>
      </c>
      <c r="K150" s="228"/>
      <c r="L150" s="229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158">
        <v>142.0</v>
      </c>
      <c r="F151" s="138">
        <v>920.0</v>
      </c>
      <c r="G151" s="61"/>
      <c r="H151" s="153"/>
      <c r="I151" s="54">
        <v>920.0</v>
      </c>
      <c r="J151" s="130" t="s">
        <v>182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158">
        <v>143.0</v>
      </c>
      <c r="F152" s="138">
        <v>44.0</v>
      </c>
      <c r="G152" s="54"/>
      <c r="H152" s="153"/>
      <c r="I152" s="54">
        <v>44.0</v>
      </c>
      <c r="J152" s="130" t="s">
        <v>183</v>
      </c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158">
        <v>144.0</v>
      </c>
      <c r="F153" s="138">
        <v>30.0</v>
      </c>
      <c r="G153" s="54">
        <v>30.0</v>
      </c>
      <c r="H153" s="153"/>
      <c r="I153" s="61"/>
      <c r="J153" s="130">
        <v>4027.0</v>
      </c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158">
        <v>145.0</v>
      </c>
      <c r="F154" s="121"/>
      <c r="G154" s="54">
        <v>90.0</v>
      </c>
      <c r="H154" s="152" t="s">
        <v>184</v>
      </c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61"/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190">
        <v>1599.0</v>
      </c>
      <c r="I156" s="61"/>
      <c r="J156" s="130" t="s">
        <v>185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1"/>
      <c r="E157" s="122"/>
      <c r="F157" s="123">
        <f t="shared" ref="F157:I157" si="4">SUM(F10:F156)</f>
        <v>70475</v>
      </c>
      <c r="G157" s="123">
        <f t="shared" si="4"/>
        <v>21731</v>
      </c>
      <c r="H157" s="123">
        <f t="shared" si="4"/>
        <v>37875</v>
      </c>
      <c r="I157" s="123">
        <f t="shared" si="4"/>
        <v>10680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18"/>
      <c r="C158" s="118"/>
      <c r="D158" s="1"/>
      <c r="E158" s="124"/>
      <c r="F158" s="124"/>
      <c r="G158" s="124"/>
      <c r="H158" s="124"/>
      <c r="I158" s="12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18"/>
      <c r="C159" s="1"/>
      <c r="D159" s="1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26"/>
      <c r="H170" s="12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84223.0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44217.0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50612.0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F152-C15</f>
        <v>33739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G152-W33</f>
        <v>18991</v>
      </c>
      <c r="D10" s="24"/>
      <c r="E10" s="226">
        <v>1.0</v>
      </c>
      <c r="F10" s="186"/>
      <c r="G10" s="187"/>
      <c r="H10" s="187">
        <v>1208.0</v>
      </c>
      <c r="I10" s="187"/>
      <c r="J10" s="168" t="s">
        <v>187</v>
      </c>
      <c r="K10" s="24"/>
      <c r="L10" s="47">
        <v>634.0</v>
      </c>
      <c r="M10" s="47"/>
      <c r="N10" s="47">
        <v>3943.0</v>
      </c>
      <c r="O10" s="49"/>
      <c r="P10" s="85"/>
      <c r="Q10" s="51"/>
      <c r="R10" s="52"/>
      <c r="S10" s="53"/>
      <c r="T10" s="54"/>
      <c r="U10" s="55"/>
      <c r="V10" s="24"/>
      <c r="W10" s="47">
        <v>45.0</v>
      </c>
      <c r="X10" s="47"/>
      <c r="Y10" s="47" t="s">
        <v>188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H152-X33</f>
        <v>16099</v>
      </c>
      <c r="D11" s="24"/>
      <c r="E11" s="43">
        <v>2.0</v>
      </c>
      <c r="F11" s="56">
        <v>25.0</v>
      </c>
      <c r="G11" s="57">
        <v>25.0</v>
      </c>
      <c r="H11" s="58"/>
      <c r="I11" s="59"/>
      <c r="J11" s="130">
        <v>4028.0</v>
      </c>
      <c r="K11" s="24"/>
      <c r="L11" s="47">
        <v>899.0</v>
      </c>
      <c r="M11" s="48"/>
      <c r="N11" s="47">
        <v>3753.0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I153</f>
        <v>115</v>
      </c>
      <c r="D12" s="24"/>
      <c r="E12" s="43">
        <v>3.0</v>
      </c>
      <c r="F12" s="63">
        <v>2.0</v>
      </c>
      <c r="G12" s="64">
        <v>2.0</v>
      </c>
      <c r="H12" s="64"/>
      <c r="I12" s="65"/>
      <c r="J12" s="130" t="s">
        <v>189</v>
      </c>
      <c r="K12" s="24"/>
      <c r="L12" s="47">
        <v>51.0</v>
      </c>
      <c r="M12" s="48"/>
      <c r="N12" s="47">
        <v>3959.0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1584</v>
      </c>
      <c r="D13" s="24"/>
      <c r="E13" s="43">
        <v>4.0</v>
      </c>
      <c r="F13" s="56">
        <v>221.0</v>
      </c>
      <c r="G13" s="64">
        <v>221.0</v>
      </c>
      <c r="H13" s="65"/>
      <c r="I13" s="65"/>
      <c r="J13" s="130">
        <v>4030.0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29.0</v>
      </c>
      <c r="G14" s="64"/>
      <c r="H14" s="132">
        <v>29.0</v>
      </c>
      <c r="I14" s="65"/>
      <c r="J14" s="130">
        <v>4031.0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45</v>
      </c>
      <c r="D15" s="24"/>
      <c r="E15" s="43">
        <v>6.0</v>
      </c>
      <c r="F15" s="56">
        <v>413.0</v>
      </c>
      <c r="G15" s="64">
        <v>413.0</v>
      </c>
      <c r="H15" s="64"/>
      <c r="I15" s="65"/>
      <c r="J15" s="130">
        <v>4032.0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399.0</v>
      </c>
      <c r="G16" s="64">
        <v>399.0</v>
      </c>
      <c r="H16" s="64"/>
      <c r="I16" s="65"/>
      <c r="J16" s="130">
        <v>4033.0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9.0</v>
      </c>
      <c r="G17" s="64">
        <v>9.0</v>
      </c>
      <c r="H17" s="64"/>
      <c r="I17" s="65"/>
      <c r="J17" s="130">
        <v>4034.0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108.0</v>
      </c>
      <c r="G18" s="64">
        <v>108.0</v>
      </c>
      <c r="H18" s="64"/>
      <c r="I18" s="65"/>
      <c r="J18" s="130">
        <v>4035.0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41.0</v>
      </c>
      <c r="G19" s="64"/>
      <c r="H19" s="132">
        <v>41.0</v>
      </c>
      <c r="I19" s="65"/>
      <c r="J19" s="130">
        <v>4036.0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49143</v>
      </c>
      <c r="D20" s="24"/>
      <c r="E20" s="43">
        <v>11.0</v>
      </c>
      <c r="F20" s="56">
        <v>20.0</v>
      </c>
      <c r="G20" s="65"/>
      <c r="H20" s="132">
        <v>20.0</v>
      </c>
      <c r="I20" s="65"/>
      <c r="J20" s="130">
        <v>4037.0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16099</v>
      </c>
      <c r="D21" s="24"/>
      <c r="E21" s="43">
        <v>12.0</v>
      </c>
      <c r="F21" s="56">
        <v>765.0</v>
      </c>
      <c r="G21" s="65"/>
      <c r="H21" s="132">
        <v>765.0</v>
      </c>
      <c r="I21" s="65"/>
      <c r="J21" s="130">
        <v>4038.0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104798</v>
      </c>
      <c r="D22" s="24"/>
      <c r="E22" s="43">
        <v>13.0</v>
      </c>
      <c r="F22" s="56">
        <v>237.0</v>
      </c>
      <c r="G22" s="64">
        <v>130.0</v>
      </c>
      <c r="H22" s="132">
        <v>107.0</v>
      </c>
      <c r="I22" s="65"/>
      <c r="J22" s="130">
        <v>4039.0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108725.0</v>
      </c>
      <c r="D23" s="24"/>
      <c r="E23" s="43">
        <v>14.0</v>
      </c>
      <c r="F23" s="56">
        <v>494.0</v>
      </c>
      <c r="G23" s="64">
        <v>494.0</v>
      </c>
      <c r="H23" s="65"/>
      <c r="I23" s="65"/>
      <c r="J23" s="130">
        <v>4040.0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-3927</v>
      </c>
      <c r="D24" s="24"/>
      <c r="E24" s="43">
        <v>15.0</v>
      </c>
      <c r="F24" s="56">
        <v>4.0</v>
      </c>
      <c r="G24" s="64"/>
      <c r="H24" s="132">
        <v>4.0</v>
      </c>
      <c r="I24" s="65"/>
      <c r="J24" s="130">
        <v>4041.0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982.0</v>
      </c>
      <c r="G25" s="64">
        <v>982.0</v>
      </c>
      <c r="H25" s="65"/>
      <c r="I25" s="65"/>
      <c r="J25" s="130">
        <v>4042.0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F152</f>
        <v>33784</v>
      </c>
      <c r="D26" s="24"/>
      <c r="E26" s="43">
        <v>17.0</v>
      </c>
      <c r="F26" s="56">
        <v>314.0</v>
      </c>
      <c r="G26" s="64">
        <v>314.0</v>
      </c>
      <c r="H26" s="65"/>
      <c r="I26" s="65"/>
      <c r="J26" s="130">
        <v>4043.0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260.0</v>
      </c>
      <c r="G27" s="64"/>
      <c r="H27" s="132">
        <v>260.0</v>
      </c>
      <c r="I27" s="65"/>
      <c r="J27" s="130">
        <v>4044.0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161.0</v>
      </c>
      <c r="G28" s="64"/>
      <c r="H28" s="132">
        <v>161.0</v>
      </c>
      <c r="I28" s="65"/>
      <c r="J28" s="130">
        <v>4045.0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209.0</v>
      </c>
      <c r="G29" s="64"/>
      <c r="H29" s="132">
        <v>209.0</v>
      </c>
      <c r="I29" s="65"/>
      <c r="J29" s="130">
        <v>4046.0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1370.0</v>
      </c>
      <c r="G30" s="93">
        <v>1370.0</v>
      </c>
      <c r="H30" s="92"/>
      <c r="I30" s="93"/>
      <c r="J30" s="130">
        <v>4047.0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44217</v>
      </c>
      <c r="D31" s="24"/>
      <c r="E31" s="43">
        <v>22.0</v>
      </c>
      <c r="F31" s="56">
        <v>53.0</v>
      </c>
      <c r="G31" s="93"/>
      <c r="H31" s="135">
        <v>53.0</v>
      </c>
      <c r="I31" s="92"/>
      <c r="J31" s="130">
        <v>4048.0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93.0</v>
      </c>
      <c r="G32" s="93"/>
      <c r="H32" s="135">
        <v>93.0</v>
      </c>
      <c r="I32" s="92"/>
      <c r="J32" s="130">
        <v>4049.0</v>
      </c>
      <c r="K32" s="24"/>
      <c r="L32" s="47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160.0</v>
      </c>
      <c r="G33" s="93"/>
      <c r="H33" s="135">
        <v>160.0</v>
      </c>
      <c r="I33" s="92"/>
      <c r="J33" s="130">
        <v>4050.0</v>
      </c>
      <c r="K33" s="24"/>
      <c r="L33" s="104">
        <f t="shared" ref="L33:M33" si="2">sum(L10:L32)</f>
        <v>1584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44217.0</v>
      </c>
      <c r="T33" s="101"/>
      <c r="U33" s="55"/>
      <c r="V33" s="24"/>
      <c r="W33" s="104">
        <f t="shared" ref="W33:X33" si="3">sum(W10:W32)</f>
        <v>45</v>
      </c>
      <c r="X33" s="104">
        <f t="shared" si="3"/>
        <v>0</v>
      </c>
      <c r="Y33" s="104">
        <f>W33+X33</f>
        <v>45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363.0</v>
      </c>
      <c r="G34" s="93">
        <v>350.0</v>
      </c>
      <c r="H34" s="135">
        <v>13.0</v>
      </c>
      <c r="I34" s="92"/>
      <c r="J34" s="130">
        <v>4051.0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12.0</v>
      </c>
      <c r="G35" s="93">
        <v>12.0</v>
      </c>
      <c r="H35" s="93"/>
      <c r="I35" s="92"/>
      <c r="J35" s="130">
        <v>4052.0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249.0</v>
      </c>
      <c r="G36" s="92"/>
      <c r="H36" s="135">
        <v>249.0</v>
      </c>
      <c r="I36" s="92"/>
      <c r="J36" s="130">
        <v>4053.0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50.0</v>
      </c>
      <c r="G37" s="93"/>
      <c r="H37" s="135">
        <v>50.0</v>
      </c>
      <c r="I37" s="92"/>
      <c r="J37" s="130">
        <v>4054.0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373.0</v>
      </c>
      <c r="G38" s="93">
        <v>373.0</v>
      </c>
      <c r="H38" s="92"/>
      <c r="I38" s="92"/>
      <c r="J38" s="130">
        <v>4055.0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124.0</v>
      </c>
      <c r="G39" s="93"/>
      <c r="H39" s="135">
        <v>124.0</v>
      </c>
      <c r="I39" s="92"/>
      <c r="J39" s="130">
        <v>4056.0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48.0</v>
      </c>
      <c r="G40" s="92"/>
      <c r="H40" s="135">
        <v>48.0</v>
      </c>
      <c r="I40" s="92"/>
      <c r="J40" s="130">
        <v>4057.0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449.0</v>
      </c>
      <c r="G41" s="92"/>
      <c r="H41" s="135">
        <v>449.0</v>
      </c>
      <c r="I41" s="92"/>
      <c r="J41" s="130">
        <v>4058.0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474.0</v>
      </c>
      <c r="G42" s="93"/>
      <c r="H42" s="135">
        <v>474.0</v>
      </c>
      <c r="I42" s="92"/>
      <c r="J42" s="130">
        <v>4059.0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378.0</v>
      </c>
      <c r="G43" s="93"/>
      <c r="H43" s="135">
        <v>378.0</v>
      </c>
      <c r="I43" s="92"/>
      <c r="J43" s="130">
        <v>4060.0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1342.0</v>
      </c>
      <c r="G44" s="93">
        <v>1342.0</v>
      </c>
      <c r="H44" s="93"/>
      <c r="I44" s="92"/>
      <c r="J44" s="130">
        <v>4061.0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211.0</v>
      </c>
      <c r="G45" s="93">
        <v>211.0</v>
      </c>
      <c r="H45" s="92"/>
      <c r="I45" s="92"/>
      <c r="J45" s="130">
        <v>4062.0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523.0</v>
      </c>
      <c r="G46" s="93"/>
      <c r="H46" s="135">
        <v>523.0</v>
      </c>
      <c r="I46" s="92"/>
      <c r="J46" s="130">
        <v>4063.0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334.0</v>
      </c>
      <c r="G47" s="93">
        <v>330.0</v>
      </c>
      <c r="H47" s="135">
        <v>4.0</v>
      </c>
      <c r="I47" s="92"/>
      <c r="J47" s="130">
        <v>4064.0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113.0</v>
      </c>
      <c r="G48" s="93">
        <v>113.0</v>
      </c>
      <c r="H48" s="92"/>
      <c r="I48" s="92"/>
      <c r="J48" s="130">
        <v>4065.0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60.0</v>
      </c>
      <c r="G49" s="93">
        <v>60.0</v>
      </c>
      <c r="H49" s="92"/>
      <c r="I49" s="92"/>
      <c r="J49" s="130">
        <v>4066.0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36.0</v>
      </c>
      <c r="G50" s="92"/>
      <c r="H50" s="135">
        <v>36.0</v>
      </c>
      <c r="I50" s="92"/>
      <c r="J50" s="130">
        <v>4067.0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16.0</v>
      </c>
      <c r="G51" s="93">
        <v>16.0</v>
      </c>
      <c r="H51" s="93"/>
      <c r="I51" s="92"/>
      <c r="J51" s="130">
        <v>4068.0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352.0</v>
      </c>
      <c r="G52" s="92"/>
      <c r="H52" s="135">
        <v>352.0</v>
      </c>
      <c r="I52" s="92"/>
      <c r="J52" s="130">
        <v>4069.0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556.0</v>
      </c>
      <c r="G53" s="93">
        <v>556.0</v>
      </c>
      <c r="H53" s="92"/>
      <c r="I53" s="152"/>
      <c r="J53" s="213">
        <v>4070.0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185.0</v>
      </c>
      <c r="G54" s="93">
        <v>185.0</v>
      </c>
      <c r="H54" s="92"/>
      <c r="I54" s="92"/>
      <c r="J54" s="130">
        <v>4071.0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515.0</v>
      </c>
      <c r="G55" s="93">
        <v>515.0</v>
      </c>
      <c r="H55" s="92"/>
      <c r="I55" s="152"/>
      <c r="J55" s="213">
        <v>4072.0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714.0</v>
      </c>
      <c r="G56" s="93">
        <v>714.0</v>
      </c>
      <c r="H56" s="92"/>
      <c r="I56" s="152"/>
      <c r="J56" s="213">
        <v>4073.0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130.0</v>
      </c>
      <c r="G57" s="93">
        <v>130.0</v>
      </c>
      <c r="H57" s="92"/>
      <c r="I57" s="92"/>
      <c r="J57" s="130">
        <v>4074.0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10.0</v>
      </c>
      <c r="G58" s="93">
        <v>10.0</v>
      </c>
      <c r="H58" s="92"/>
      <c r="I58" s="92"/>
      <c r="J58" s="130">
        <v>4075.0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125.0</v>
      </c>
      <c r="G59" s="93">
        <v>125.0</v>
      </c>
      <c r="H59" s="92"/>
      <c r="I59" s="92"/>
      <c r="J59" s="130">
        <v>4076.0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66.0</v>
      </c>
      <c r="G60" s="93">
        <v>66.0</v>
      </c>
      <c r="H60" s="92"/>
      <c r="I60" s="92"/>
      <c r="J60" s="130">
        <v>4077.0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199.0</v>
      </c>
      <c r="G61" s="93">
        <v>199.0</v>
      </c>
      <c r="H61" s="92"/>
      <c r="I61" s="92"/>
      <c r="J61" s="130">
        <v>4078.0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284.0</v>
      </c>
      <c r="G62" s="92"/>
      <c r="H62" s="135">
        <v>284.0</v>
      </c>
      <c r="I62" s="92"/>
      <c r="J62" s="130">
        <v>4079.0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158">
        <v>174.0</v>
      </c>
      <c r="F63" s="56">
        <v>10.0</v>
      </c>
      <c r="G63" s="93">
        <v>10.0</v>
      </c>
      <c r="H63" s="92"/>
      <c r="I63" s="92"/>
      <c r="J63" s="130">
        <v>4080.0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174.0</v>
      </c>
      <c r="G64" s="92"/>
      <c r="H64" s="135">
        <v>174.0</v>
      </c>
      <c r="I64" s="92"/>
      <c r="J64" s="130">
        <v>4081.0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74.0</v>
      </c>
      <c r="G65" s="92"/>
      <c r="H65" s="135">
        <v>74.0</v>
      </c>
      <c r="I65" s="92"/>
      <c r="J65" s="130">
        <v>4082.0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295.0</v>
      </c>
      <c r="G66" s="92"/>
      <c r="H66" s="135">
        <v>295.0</v>
      </c>
      <c r="I66" s="92"/>
      <c r="J66" s="130">
        <v>4083.0</v>
      </c>
      <c r="K66" s="233" t="s">
        <v>190</v>
      </c>
      <c r="L66" s="234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610.0</v>
      </c>
      <c r="G67" s="93">
        <v>610.0</v>
      </c>
      <c r="H67" s="92"/>
      <c r="I67" s="92"/>
      <c r="J67" s="130">
        <v>4084.0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732.0</v>
      </c>
      <c r="G68" s="93">
        <v>732.0</v>
      </c>
      <c r="H68" s="92"/>
      <c r="I68" s="92"/>
      <c r="J68" s="130">
        <v>4085.0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1033.0</v>
      </c>
      <c r="G69" s="93">
        <v>1033.0</v>
      </c>
      <c r="H69" s="92"/>
      <c r="I69" s="92"/>
      <c r="J69" s="130">
        <v>4086.0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722.0</v>
      </c>
      <c r="G70" s="93">
        <v>722.0</v>
      </c>
      <c r="H70" s="92"/>
      <c r="I70" s="92"/>
      <c r="J70" s="130" t="s">
        <v>191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103.0</v>
      </c>
      <c r="G71" s="92"/>
      <c r="H71" s="190">
        <v>103.0</v>
      </c>
      <c r="I71" s="92"/>
      <c r="J71" s="130">
        <v>4088.0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68.0</v>
      </c>
      <c r="G72" s="92"/>
      <c r="H72" s="190">
        <v>68.0</v>
      </c>
      <c r="I72" s="92"/>
      <c r="J72" s="130">
        <v>4089.0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125.0</v>
      </c>
      <c r="G73" s="93">
        <v>125.0</v>
      </c>
      <c r="H73" s="92"/>
      <c r="I73" s="92"/>
      <c r="J73" s="130">
        <v>4090.0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156.0</v>
      </c>
      <c r="G74" s="93">
        <v>156.0</v>
      </c>
      <c r="H74" s="92"/>
      <c r="I74" s="92"/>
      <c r="J74" s="130">
        <v>4091.0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115.0</v>
      </c>
      <c r="G75" s="93"/>
      <c r="H75" s="92"/>
      <c r="I75" s="93">
        <v>115.0</v>
      </c>
      <c r="J75" s="130">
        <v>4092.0</v>
      </c>
      <c r="K75" s="24"/>
      <c r="L75" s="112"/>
      <c r="M75" s="235"/>
      <c r="N75" s="236" t="s">
        <v>192</v>
      </c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326.0</v>
      </c>
      <c r="G76" s="93">
        <v>300.0</v>
      </c>
      <c r="H76" s="190">
        <v>26.0</v>
      </c>
      <c r="I76" s="92"/>
      <c r="J76" s="130">
        <v>4093.0</v>
      </c>
      <c r="K76" s="24"/>
      <c r="L76" s="112"/>
      <c r="M76" s="237"/>
      <c r="N76" s="236" t="s">
        <v>193</v>
      </c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580.0</v>
      </c>
      <c r="G77" s="93">
        <v>580.0</v>
      </c>
      <c r="H77" s="92"/>
      <c r="I77" s="92"/>
      <c r="J77" s="130">
        <v>4094.0</v>
      </c>
      <c r="K77" s="24"/>
      <c r="L77" s="112"/>
      <c r="M77" s="238"/>
      <c r="N77" s="236" t="s">
        <v>194</v>
      </c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119.0</v>
      </c>
      <c r="G78" s="92"/>
      <c r="H78" s="190">
        <v>119.0</v>
      </c>
      <c r="I78" s="92"/>
      <c r="J78" s="130">
        <v>4095.0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290.0</v>
      </c>
      <c r="G79" s="93"/>
      <c r="H79" s="157">
        <v>290.0</v>
      </c>
      <c r="I79" s="92"/>
      <c r="J79" s="130">
        <v>4096.0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76.0</v>
      </c>
      <c r="G80" s="92"/>
      <c r="H80" s="135">
        <v>76.0</v>
      </c>
      <c r="I80" s="92"/>
      <c r="J80" s="130">
        <v>4097.0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570.0</v>
      </c>
      <c r="G81" s="93">
        <v>570.0</v>
      </c>
      <c r="H81" s="92"/>
      <c r="I81" s="92"/>
      <c r="J81" s="130">
        <v>4098.0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89.0</v>
      </c>
      <c r="G82" s="61"/>
      <c r="H82" s="135">
        <v>89.0</v>
      </c>
      <c r="I82" s="61"/>
      <c r="J82" s="130">
        <v>4099.0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32.0</v>
      </c>
      <c r="G83" s="61"/>
      <c r="H83" s="135">
        <v>32.0</v>
      </c>
      <c r="I83" s="61"/>
      <c r="J83" s="130">
        <v>4100.0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232.0</v>
      </c>
      <c r="G84" s="54">
        <v>232.0</v>
      </c>
      <c r="H84" s="61"/>
      <c r="I84" s="61"/>
      <c r="J84" s="130">
        <v>4101.0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788.0</v>
      </c>
      <c r="G85" s="54">
        <v>788.0</v>
      </c>
      <c r="H85" s="61"/>
      <c r="I85" s="61"/>
      <c r="J85" s="130">
        <v>4102.0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2170.0</v>
      </c>
      <c r="G86" s="54"/>
      <c r="H86" s="157">
        <v>2170.0</v>
      </c>
      <c r="I86" s="61"/>
      <c r="J86" s="194" t="s">
        <v>195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429.0</v>
      </c>
      <c r="G87" s="61"/>
      <c r="H87" s="135">
        <v>429.0</v>
      </c>
      <c r="I87" s="61"/>
      <c r="J87" s="130">
        <v>4104.0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628.0</v>
      </c>
      <c r="G88" s="61"/>
      <c r="H88" s="135">
        <v>628.0</v>
      </c>
      <c r="I88" s="61"/>
      <c r="J88" s="130">
        <v>4105.0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320.0</v>
      </c>
      <c r="G89" s="54">
        <v>320.0</v>
      </c>
      <c r="H89" s="61"/>
      <c r="I89" s="61"/>
      <c r="J89" s="130">
        <v>4106.0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3.0</v>
      </c>
      <c r="G90" s="61"/>
      <c r="H90" s="135">
        <v>3.0</v>
      </c>
      <c r="I90" s="61"/>
      <c r="J90" s="130">
        <v>4107.0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212.0</v>
      </c>
      <c r="G91" s="54">
        <v>212.0</v>
      </c>
      <c r="H91" s="61"/>
      <c r="I91" s="61"/>
      <c r="J91" s="130">
        <v>4108.0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271.0</v>
      </c>
      <c r="G92" s="61"/>
      <c r="H92" s="157">
        <v>271.0</v>
      </c>
      <c r="I92" s="61"/>
      <c r="J92" s="194" t="s">
        <v>196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178.0</v>
      </c>
      <c r="G93" s="61"/>
      <c r="H93" s="135">
        <v>178.0</v>
      </c>
      <c r="I93" s="61"/>
      <c r="J93" s="130">
        <v>4110.0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80.0</v>
      </c>
      <c r="G94" s="54">
        <v>80.0</v>
      </c>
      <c r="H94" s="61"/>
      <c r="I94" s="61"/>
      <c r="J94" s="130">
        <v>4111.0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160.0</v>
      </c>
      <c r="G95" s="61"/>
      <c r="H95" s="135">
        <v>160.0</v>
      </c>
      <c r="I95" s="61"/>
      <c r="J95" s="130">
        <v>4112.0</v>
      </c>
      <c r="K95" s="112"/>
      <c r="L95" s="112"/>
      <c r="M95" s="112"/>
      <c r="N95" s="112"/>
      <c r="O95" s="112"/>
      <c r="P95" s="113"/>
      <c r="Q95" s="114"/>
      <c r="R95" s="114"/>
      <c r="S95" s="114"/>
      <c r="T95" s="115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ht="14.25" customHeight="1">
      <c r="A96" s="1"/>
      <c r="B96" s="1"/>
      <c r="C96" s="1"/>
      <c r="D96" s="24"/>
      <c r="E96" s="43">
        <v>87.0</v>
      </c>
      <c r="F96" s="138">
        <v>30.0</v>
      </c>
      <c r="G96" s="54">
        <v>30.0</v>
      </c>
      <c r="H96" s="61"/>
      <c r="I96" s="61"/>
      <c r="J96" s="130">
        <v>4113.0</v>
      </c>
      <c r="K96" s="112"/>
      <c r="L96" s="112"/>
      <c r="M96" s="112"/>
      <c r="N96" s="112"/>
      <c r="O96" s="112"/>
      <c r="P96" s="113"/>
      <c r="Q96" s="114"/>
      <c r="R96" s="114"/>
      <c r="S96" s="114"/>
      <c r="T96" s="115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ht="14.25" customHeight="1">
      <c r="A97" s="1"/>
      <c r="B97" s="1"/>
      <c r="C97" s="1"/>
      <c r="D97" s="1"/>
      <c r="E97" s="43">
        <v>88.0</v>
      </c>
      <c r="F97" s="138">
        <v>208.0</v>
      </c>
      <c r="G97" s="61"/>
      <c r="H97" s="135">
        <v>208.0</v>
      </c>
      <c r="I97" s="61"/>
      <c r="J97" s="130">
        <v>4114.0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138">
        <v>9.0</v>
      </c>
      <c r="G98" s="61"/>
      <c r="H98" s="135">
        <v>9.0</v>
      </c>
      <c r="I98" s="61"/>
      <c r="J98" s="130">
        <v>4115.0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138">
        <v>278.0</v>
      </c>
      <c r="G99" s="54">
        <v>278.0</v>
      </c>
      <c r="H99" s="61"/>
      <c r="I99" s="61"/>
      <c r="J99" s="130">
        <v>4116.0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138">
        <v>330.0</v>
      </c>
      <c r="G100" s="54">
        <v>330.0</v>
      </c>
      <c r="H100" s="61"/>
      <c r="I100" s="61"/>
      <c r="J100" s="130">
        <v>4117.0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138">
        <v>428.0</v>
      </c>
      <c r="G101" s="61"/>
      <c r="H101" s="135">
        <v>428.0</v>
      </c>
      <c r="I101" s="61"/>
      <c r="J101" s="130">
        <v>4118.0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138">
        <v>26.0</v>
      </c>
      <c r="G102" s="61"/>
      <c r="H102" s="135">
        <v>26.0</v>
      </c>
      <c r="I102" s="61"/>
      <c r="J102" s="130">
        <v>4119.0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138">
        <v>23.0</v>
      </c>
      <c r="G103" s="54">
        <v>23.0</v>
      </c>
      <c r="H103" s="61"/>
      <c r="I103" s="61"/>
      <c r="J103" s="130">
        <v>4120.0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138">
        <v>55.0</v>
      </c>
      <c r="G104" s="61"/>
      <c r="H104" s="135">
        <v>55.0</v>
      </c>
      <c r="I104" s="61"/>
      <c r="J104" s="130">
        <v>4121.0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138">
        <v>503.0</v>
      </c>
      <c r="G105" s="61"/>
      <c r="H105" s="135">
        <v>503.0</v>
      </c>
      <c r="I105" s="61"/>
      <c r="J105" s="130">
        <v>4122.0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138">
        <v>399.0</v>
      </c>
      <c r="G106" s="61"/>
      <c r="H106" s="135">
        <v>399.0</v>
      </c>
      <c r="I106" s="61"/>
      <c r="J106" s="130">
        <v>4123.0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138">
        <v>43.0</v>
      </c>
      <c r="G107" s="54">
        <v>43.0</v>
      </c>
      <c r="H107" s="61"/>
      <c r="I107" s="61"/>
      <c r="J107" s="130">
        <v>4124.0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138">
        <v>264.0</v>
      </c>
      <c r="G108" s="61"/>
      <c r="H108" s="135">
        <v>264.0</v>
      </c>
      <c r="I108" s="61"/>
      <c r="J108" s="130">
        <v>4125.0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138">
        <v>25.0</v>
      </c>
      <c r="G109" s="61"/>
      <c r="H109" s="135">
        <v>25.0</v>
      </c>
      <c r="I109" s="61"/>
      <c r="J109" s="130">
        <v>4126.0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138">
        <v>34.0</v>
      </c>
      <c r="G110" s="54">
        <v>34.0</v>
      </c>
      <c r="H110" s="61"/>
      <c r="I110" s="61"/>
      <c r="J110" s="130">
        <v>4127.0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138">
        <v>9.0</v>
      </c>
      <c r="G111" s="54">
        <v>9.0</v>
      </c>
      <c r="H111" s="61"/>
      <c r="I111" s="61"/>
      <c r="J111" s="130">
        <v>4128.0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138">
        <v>498.0</v>
      </c>
      <c r="G112" s="61"/>
      <c r="H112" s="135">
        <v>526.0</v>
      </c>
      <c r="I112" s="61"/>
      <c r="J112" s="130" t="s">
        <v>197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138">
        <v>401.0</v>
      </c>
      <c r="G113" s="54">
        <v>200.0</v>
      </c>
      <c r="H113" s="135">
        <v>201.0</v>
      </c>
      <c r="I113" s="61"/>
      <c r="J113" s="130">
        <v>4130.0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138">
        <v>270.0</v>
      </c>
      <c r="G114" s="54">
        <v>270.0</v>
      </c>
      <c r="H114" s="61"/>
      <c r="I114" s="61"/>
      <c r="J114" s="130">
        <v>4131.0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138">
        <v>112.0</v>
      </c>
      <c r="G115" s="54">
        <v>112.0</v>
      </c>
      <c r="H115" s="61"/>
      <c r="I115" s="61"/>
      <c r="J115" s="130">
        <v>4132.0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138">
        <v>90.0</v>
      </c>
      <c r="G116" s="54">
        <v>90.0</v>
      </c>
      <c r="H116" s="61"/>
      <c r="I116" s="61"/>
      <c r="J116" s="130">
        <v>4133.0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138">
        <v>244.0</v>
      </c>
      <c r="G117" s="61"/>
      <c r="H117" s="135">
        <v>244.0</v>
      </c>
      <c r="I117" s="61"/>
      <c r="J117" s="130">
        <v>4134.0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138">
        <v>100.0</v>
      </c>
      <c r="G118" s="61"/>
      <c r="H118" s="135">
        <v>100.0</v>
      </c>
      <c r="I118" s="61"/>
      <c r="J118" s="130">
        <v>4135.0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138">
        <v>125.0</v>
      </c>
      <c r="G119" s="61"/>
      <c r="H119" s="135">
        <v>125.0</v>
      </c>
      <c r="I119" s="61"/>
      <c r="J119" s="130">
        <v>4136.0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138">
        <v>280.0</v>
      </c>
      <c r="G120" s="61"/>
      <c r="H120" s="135">
        <v>280.0</v>
      </c>
      <c r="I120" s="61"/>
      <c r="J120" s="130">
        <v>4137.0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138">
        <v>746.0</v>
      </c>
      <c r="G121" s="54">
        <v>746.0</v>
      </c>
      <c r="H121" s="61"/>
      <c r="I121" s="61"/>
      <c r="J121" s="130">
        <v>4138.0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138">
        <v>557.0</v>
      </c>
      <c r="G122" s="54">
        <v>557.0</v>
      </c>
      <c r="H122" s="61"/>
      <c r="I122" s="61"/>
      <c r="J122" s="130">
        <v>4139.0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138">
        <v>47.0</v>
      </c>
      <c r="G123" s="61"/>
      <c r="H123" s="135">
        <v>47.0</v>
      </c>
      <c r="I123" s="61"/>
      <c r="J123" s="130">
        <v>4140.0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138">
        <v>40.0</v>
      </c>
      <c r="G124" s="61"/>
      <c r="H124" s="135">
        <v>40.0</v>
      </c>
      <c r="I124" s="61"/>
      <c r="J124" s="130">
        <v>4141.0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138">
        <v>965.0</v>
      </c>
      <c r="G125" s="61"/>
      <c r="H125" s="135">
        <v>965.0</v>
      </c>
      <c r="I125" s="61"/>
      <c r="J125" s="130">
        <v>4142.0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138">
        <v>70.0</v>
      </c>
      <c r="G126" s="54">
        <v>70.0</v>
      </c>
      <c r="H126" s="61"/>
      <c r="I126" s="61"/>
      <c r="J126" s="130">
        <v>4143.0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138">
        <v>145.0</v>
      </c>
      <c r="G127" s="61"/>
      <c r="H127" s="135">
        <v>145.0</v>
      </c>
      <c r="I127" s="61"/>
      <c r="J127" s="130">
        <v>4144.0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121"/>
      <c r="G128" s="61"/>
      <c r="H128" s="61"/>
      <c r="I128" s="61"/>
      <c r="J128" s="130">
        <v>4145.0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21"/>
      <c r="G129" s="61"/>
      <c r="H129" s="61"/>
      <c r="I129" s="61"/>
      <c r="J129" s="130">
        <v>4146.0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21"/>
      <c r="G130" s="61"/>
      <c r="H130" s="61"/>
      <c r="I130" s="61"/>
      <c r="J130" s="130">
        <v>4147.0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21"/>
      <c r="G131" s="61"/>
      <c r="H131" s="61"/>
      <c r="I131" s="61"/>
      <c r="J131" s="130">
        <v>4148.0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121"/>
      <c r="G132" s="61"/>
      <c r="H132" s="61"/>
      <c r="I132" s="61"/>
      <c r="J132" s="130">
        <v>4149.0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21"/>
      <c r="G133" s="61"/>
      <c r="H133" s="61"/>
      <c r="I133" s="61"/>
      <c r="J133" s="130">
        <v>4150.0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21"/>
      <c r="G134" s="61"/>
      <c r="H134" s="61"/>
      <c r="I134" s="61"/>
      <c r="J134" s="1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121"/>
      <c r="G135" s="61"/>
      <c r="H135" s="61"/>
      <c r="I135" s="61"/>
      <c r="J135" s="1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121"/>
      <c r="G136" s="61"/>
      <c r="H136" s="61"/>
      <c r="I136" s="61"/>
      <c r="J136" s="1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43">
        <v>128.0</v>
      </c>
      <c r="F137" s="121"/>
      <c r="G137" s="61"/>
      <c r="H137" s="61"/>
      <c r="I137" s="61"/>
      <c r="J137" s="130"/>
    </row>
    <row r="138" ht="14.25" customHeight="1">
      <c r="E138" s="43">
        <v>129.0</v>
      </c>
      <c r="F138" s="121"/>
      <c r="G138" s="61"/>
      <c r="H138" s="61"/>
      <c r="I138" s="61"/>
      <c r="J138" s="130"/>
    </row>
    <row r="139" ht="14.25" customHeight="1">
      <c r="E139" s="43">
        <v>130.0</v>
      </c>
      <c r="F139" s="121"/>
      <c r="G139" s="61"/>
      <c r="H139" s="61"/>
      <c r="I139" s="61"/>
      <c r="J139" s="130"/>
    </row>
    <row r="140" ht="14.25" customHeight="1">
      <c r="E140" s="43">
        <v>131.0</v>
      </c>
      <c r="F140" s="121"/>
      <c r="G140" s="61"/>
      <c r="H140" s="61"/>
      <c r="I140" s="61"/>
      <c r="J140" s="130"/>
    </row>
    <row r="141" ht="14.25" customHeight="1">
      <c r="E141" s="43">
        <v>132.0</v>
      </c>
      <c r="F141" s="121"/>
      <c r="G141" s="61"/>
      <c r="H141" s="61"/>
      <c r="I141" s="61"/>
      <c r="J141" s="130"/>
    </row>
    <row r="142" ht="14.25" customHeight="1">
      <c r="E142" s="43">
        <v>133.0</v>
      </c>
      <c r="F142" s="121"/>
      <c r="G142" s="61"/>
      <c r="H142" s="61"/>
      <c r="I142" s="61"/>
      <c r="J142" s="130"/>
    </row>
    <row r="143" ht="14.25" customHeight="1">
      <c r="E143" s="43">
        <v>134.0</v>
      </c>
      <c r="F143" s="121"/>
      <c r="G143" s="61"/>
      <c r="H143" s="61"/>
      <c r="I143" s="61"/>
      <c r="J143" s="130"/>
    </row>
    <row r="144" ht="14.25" customHeight="1">
      <c r="E144" s="43">
        <v>135.0</v>
      </c>
      <c r="F144" s="121"/>
      <c r="G144" s="61"/>
      <c r="H144" s="61"/>
      <c r="I144" s="61"/>
      <c r="J144" s="46"/>
    </row>
    <row r="145" ht="14.25" customHeight="1">
      <c r="E145" s="43">
        <v>136.0</v>
      </c>
      <c r="F145" s="61"/>
      <c r="G145" s="61"/>
      <c r="H145" s="61"/>
      <c r="I145" s="46"/>
      <c r="J145" s="24"/>
    </row>
    <row r="146" ht="14.25" customHeight="1">
      <c r="E146" s="43">
        <v>137.0</v>
      </c>
      <c r="F146" s="61"/>
      <c r="G146" s="61"/>
      <c r="H146" s="61"/>
      <c r="I146" s="46"/>
      <c r="J146" s="24"/>
    </row>
    <row r="147" ht="14.25" customHeight="1">
      <c r="E147" s="43">
        <v>138.0</v>
      </c>
      <c r="F147" s="121"/>
      <c r="G147" s="61"/>
      <c r="H147" s="61"/>
      <c r="I147" s="61"/>
      <c r="J147" s="46"/>
    </row>
    <row r="148" ht="14.25" customHeight="1">
      <c r="E148" s="43">
        <v>139.0</v>
      </c>
      <c r="F148" s="121"/>
      <c r="G148" s="54"/>
      <c r="H148" s="54"/>
      <c r="I148" s="61"/>
      <c r="J148" s="46"/>
    </row>
    <row r="149" ht="14.25" customHeight="1">
      <c r="E149" s="124"/>
      <c r="F149" s="121"/>
      <c r="G149" s="61"/>
      <c r="H149" s="54"/>
      <c r="I149" s="54"/>
      <c r="J149" s="46"/>
    </row>
    <row r="150" ht="14.25" customHeight="1">
      <c r="E150" s="8"/>
      <c r="F150" s="121"/>
      <c r="G150" s="61"/>
      <c r="H150" s="54">
        <v>230.0</v>
      </c>
      <c r="I150" s="239" t="s">
        <v>198</v>
      </c>
      <c r="J150" s="46"/>
    </row>
    <row r="151" ht="14.25" customHeight="1">
      <c r="E151" s="8"/>
      <c r="F151" s="121"/>
      <c r="G151" s="61"/>
      <c r="H151" s="54"/>
      <c r="I151" s="61"/>
      <c r="J151" s="46"/>
    </row>
    <row r="152" ht="14.25" customHeight="1">
      <c r="E152" s="8"/>
      <c r="F152" s="123">
        <f t="shared" ref="F152:H152" si="4">SUM(F10:F151)</f>
        <v>33784</v>
      </c>
      <c r="G152" s="123">
        <f t="shared" si="4"/>
        <v>19036</v>
      </c>
      <c r="H152" s="123">
        <f t="shared" si="4"/>
        <v>16099</v>
      </c>
      <c r="I152" s="61"/>
      <c r="J152" s="1"/>
    </row>
    <row r="153" ht="14.25" customHeight="1">
      <c r="E153" s="8"/>
      <c r="F153" s="124"/>
      <c r="G153" s="124"/>
      <c r="H153" s="124"/>
      <c r="I153" s="123">
        <f>SUM(I10:I152)</f>
        <v>115</v>
      </c>
      <c r="J153" s="1"/>
    </row>
    <row r="154" ht="14.25" customHeight="1">
      <c r="E154" s="8"/>
      <c r="F154" s="8"/>
      <c r="G154" s="8"/>
      <c r="H154" s="8"/>
      <c r="I154" s="125"/>
      <c r="J154" s="1"/>
    </row>
    <row r="155" ht="14.25" customHeight="1">
      <c r="E155" s="1"/>
      <c r="F155" s="8"/>
      <c r="G155" s="8"/>
      <c r="H155" s="8"/>
      <c r="I155" s="8"/>
      <c r="J155" s="1"/>
    </row>
    <row r="156" ht="14.25" customHeight="1">
      <c r="E156" s="1"/>
      <c r="F156" s="8"/>
      <c r="G156" s="8"/>
      <c r="H156" s="8"/>
      <c r="I156" s="8"/>
      <c r="J156" s="1"/>
    </row>
    <row r="157" ht="14.25" customHeight="1">
      <c r="E157" s="1"/>
      <c r="F157" s="8"/>
      <c r="G157" s="8"/>
      <c r="H157" s="8"/>
      <c r="I157" s="8"/>
      <c r="J157" s="1"/>
    </row>
    <row r="158" ht="14.25" customHeight="1">
      <c r="E158" s="1"/>
      <c r="F158" s="8"/>
      <c r="G158" s="8"/>
      <c r="H158" s="8"/>
      <c r="I158" s="8"/>
      <c r="J158" s="1"/>
    </row>
    <row r="159" ht="14.25" customHeight="1">
      <c r="E159" s="1"/>
      <c r="F159" s="1"/>
      <c r="G159" s="1"/>
      <c r="H159" s="1"/>
      <c r="I159" s="8"/>
      <c r="J159" s="1"/>
    </row>
    <row r="160" ht="14.25" customHeight="1">
      <c r="E160" s="1"/>
      <c r="F160" s="1"/>
      <c r="G160" s="1"/>
      <c r="H160" s="1"/>
      <c r="I160" s="1"/>
      <c r="J160" s="1"/>
    </row>
    <row r="161" ht="14.25" customHeight="1">
      <c r="E161" s="1"/>
      <c r="F161" s="1"/>
      <c r="G161" s="1"/>
      <c r="H161" s="1"/>
      <c r="I161" s="1"/>
      <c r="J161" s="1"/>
    </row>
    <row r="162" ht="14.25" customHeight="1">
      <c r="E162" s="1"/>
      <c r="F162" s="1"/>
      <c r="G162" s="1"/>
      <c r="H162" s="1"/>
      <c r="I162" s="1"/>
      <c r="J162" s="1"/>
    </row>
    <row r="163" ht="14.25" customHeight="1">
      <c r="E163" s="1"/>
      <c r="F163" s="1"/>
      <c r="G163" s="1"/>
      <c r="H163" s="1"/>
      <c r="I163" s="1"/>
      <c r="J163" s="1"/>
    </row>
    <row r="164" ht="14.25" customHeight="1">
      <c r="E164" s="1"/>
      <c r="F164" s="1"/>
      <c r="G164" s="1"/>
      <c r="H164" s="1"/>
      <c r="I164" s="1"/>
      <c r="J164" s="1"/>
    </row>
    <row r="165" ht="14.25" customHeight="1">
      <c r="E165" s="1"/>
      <c r="F165" s="1"/>
      <c r="G165" s="126"/>
      <c r="H165" s="127"/>
      <c r="I165" s="1"/>
      <c r="J165" s="1"/>
    </row>
    <row r="166" ht="14.25" customHeight="1">
      <c r="E166" s="1"/>
      <c r="F166" s="1"/>
      <c r="G166" s="1"/>
      <c r="H166" s="1"/>
      <c r="I166" s="1"/>
      <c r="J166" s="1"/>
    </row>
    <row r="167" ht="14.25" customHeight="1">
      <c r="E167" s="1"/>
      <c r="F167" s="1"/>
      <c r="G167" s="1"/>
      <c r="H167" s="1"/>
      <c r="I167" s="1"/>
      <c r="J167" s="1"/>
    </row>
    <row r="168" ht="14.25" customHeight="1">
      <c r="E168" s="1"/>
      <c r="F168" s="1"/>
      <c r="G168" s="1"/>
      <c r="H168" s="1"/>
      <c r="I168" s="1"/>
      <c r="J168" s="1"/>
    </row>
    <row r="169" ht="14.25" customHeight="1">
      <c r="E169" s="1"/>
      <c r="F169" s="1"/>
      <c r="G169" s="1"/>
      <c r="H169" s="1"/>
      <c r="I169" s="1"/>
      <c r="J169" s="1"/>
    </row>
    <row r="170" ht="14.25" customHeight="1">
      <c r="E170" s="1"/>
      <c r="F170" s="1"/>
      <c r="G170" s="1"/>
      <c r="H170" s="1"/>
      <c r="I170" s="1"/>
      <c r="J170" s="1"/>
    </row>
    <row r="171" ht="14.25" customHeight="1">
      <c r="E171" s="1"/>
      <c r="F171" s="1"/>
      <c r="G171" s="1"/>
      <c r="H171" s="1"/>
      <c r="I171" s="1"/>
      <c r="J171" s="1"/>
    </row>
    <row r="172" ht="14.25" customHeight="1">
      <c r="E172" s="1"/>
      <c r="F172" s="1"/>
      <c r="G172" s="1"/>
      <c r="H172" s="1"/>
      <c r="I172" s="1"/>
      <c r="J172" s="1"/>
    </row>
    <row r="173" ht="14.25" customHeight="1">
      <c r="E173" s="1"/>
      <c r="F173" s="1"/>
      <c r="G173" s="1"/>
      <c r="H173" s="1"/>
      <c r="I173" s="1"/>
      <c r="J173" s="1"/>
    </row>
    <row r="174" ht="14.25" customHeight="1">
      <c r="E174" s="1"/>
      <c r="F174" s="1"/>
      <c r="G174" s="1"/>
      <c r="H174" s="1"/>
      <c r="I174" s="1"/>
      <c r="J174" s="1"/>
    </row>
    <row r="175" ht="14.25" customHeight="1">
      <c r="E175" s="1"/>
      <c r="F175" s="1"/>
      <c r="G175" s="1"/>
      <c r="H175" s="1"/>
      <c r="I175" s="1"/>
      <c r="J175" s="1"/>
    </row>
    <row r="176" ht="14.25" customHeight="1">
      <c r="E176" s="1"/>
      <c r="F176" s="1"/>
      <c r="G176" s="1"/>
      <c r="H176" s="1"/>
      <c r="I176" s="1"/>
      <c r="J176" s="1"/>
    </row>
    <row r="177" ht="14.25" customHeight="1">
      <c r="E177" s="1"/>
      <c r="F177" s="1"/>
      <c r="G177" s="1"/>
      <c r="H177" s="1"/>
      <c r="I177" s="1"/>
      <c r="J177" s="1"/>
    </row>
    <row r="178" ht="14.25" customHeight="1">
      <c r="E178" s="1"/>
      <c r="F178" s="1"/>
      <c r="G178" s="1"/>
      <c r="H178" s="1"/>
      <c r="I178" s="1"/>
      <c r="J178" s="1"/>
    </row>
    <row r="179" ht="14.25" customHeight="1">
      <c r="E179" s="1"/>
      <c r="F179" s="1"/>
      <c r="G179" s="1"/>
      <c r="H179" s="1"/>
      <c r="I179" s="1"/>
      <c r="J179" s="1"/>
    </row>
    <row r="180" ht="14.25" customHeight="1">
      <c r="E180" s="1"/>
      <c r="F180" s="1"/>
      <c r="G180" s="1"/>
      <c r="H180" s="1"/>
      <c r="I180" s="1"/>
      <c r="J180" s="1"/>
    </row>
    <row r="181" ht="14.25" customHeight="1">
      <c r="E181" s="1"/>
      <c r="F181" s="1"/>
      <c r="G181" s="1"/>
      <c r="H181" s="1"/>
      <c r="I181" s="1"/>
      <c r="J181" s="1"/>
    </row>
    <row r="182" ht="14.25" customHeight="1">
      <c r="E182" s="1"/>
      <c r="F182" s="1"/>
      <c r="G182" s="1"/>
      <c r="H182" s="1"/>
      <c r="I182" s="1"/>
      <c r="J182" s="1"/>
    </row>
    <row r="183" ht="14.25" customHeight="1">
      <c r="E183" s="1"/>
      <c r="F183" s="1"/>
      <c r="G183" s="1"/>
      <c r="H183" s="1"/>
      <c r="I183" s="1"/>
      <c r="J183" s="1"/>
    </row>
    <row r="184" ht="14.25" customHeight="1">
      <c r="E184" s="1"/>
      <c r="F184" s="1"/>
      <c r="G184" s="1"/>
      <c r="H184" s="1"/>
      <c r="I184" s="1"/>
      <c r="J184" s="1"/>
    </row>
    <row r="185" ht="14.25" customHeight="1">
      <c r="E185" s="1"/>
      <c r="F185" s="1"/>
      <c r="G185" s="1"/>
      <c r="H185" s="1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F188" s="1"/>
      <c r="G188" s="1"/>
      <c r="H188" s="1"/>
      <c r="I188" s="1"/>
      <c r="J188" s="1"/>
    </row>
    <row r="189" ht="14.25" customHeight="1">
      <c r="F189" s="1"/>
      <c r="G189" s="1"/>
      <c r="H189" s="1"/>
      <c r="I189" s="1"/>
      <c r="J189" s="1"/>
    </row>
    <row r="190" ht="14.25" customHeight="1">
      <c r="F190" s="1"/>
      <c r="G190" s="1"/>
      <c r="H190" s="1"/>
      <c r="I190" s="1"/>
      <c r="J190" s="1"/>
    </row>
    <row r="191" ht="14.25" customHeight="1">
      <c r="F191" s="1"/>
      <c r="G191" s="1"/>
      <c r="H191" s="1"/>
      <c r="I191" s="1"/>
      <c r="J191" s="1"/>
    </row>
    <row r="192" ht="14.25" customHeight="1">
      <c r="I192" s="1"/>
    </row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31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104798.0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16099.0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53017.0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F178-C15</f>
        <v>56809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G178-W33</f>
        <v>24434</v>
      </c>
      <c r="D10" s="24"/>
      <c r="E10" s="43">
        <v>1.0</v>
      </c>
      <c r="F10" s="44">
        <v>273.0</v>
      </c>
      <c r="G10" s="45"/>
      <c r="H10" s="180">
        <v>273.0</v>
      </c>
      <c r="I10" s="45"/>
      <c r="J10" s="130">
        <v>4145.0</v>
      </c>
      <c r="K10" s="24"/>
      <c r="L10" s="47">
        <v>1882.0</v>
      </c>
      <c r="M10" s="47"/>
      <c r="N10" s="47">
        <v>3961.0</v>
      </c>
      <c r="O10" s="49"/>
      <c r="P10" s="85" t="s">
        <v>199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H178-X33</f>
        <v>27979</v>
      </c>
      <c r="D11" s="24"/>
      <c r="E11" s="43">
        <v>2.0</v>
      </c>
      <c r="F11" s="56">
        <v>13.0</v>
      </c>
      <c r="G11" s="57"/>
      <c r="H11" s="240">
        <v>13.0</v>
      </c>
      <c r="I11" s="59"/>
      <c r="J11" s="130">
        <v>4146.0</v>
      </c>
      <c r="K11" s="24"/>
      <c r="L11" s="48"/>
      <c r="M11" s="48"/>
      <c r="N11" s="48"/>
      <c r="O11" s="49"/>
      <c r="P11" s="72" t="s">
        <v>44</v>
      </c>
      <c r="Q11" s="51"/>
      <c r="R11" s="52">
        <v>847.0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I178</f>
        <v>2191</v>
      </c>
      <c r="D12" s="24"/>
      <c r="E12" s="43">
        <v>3.0</v>
      </c>
      <c r="F12" s="63">
        <v>90.0</v>
      </c>
      <c r="G12" s="64">
        <v>90.0</v>
      </c>
      <c r="H12" s="64"/>
      <c r="I12" s="65"/>
      <c r="J12" s="130">
        <v>4147.0</v>
      </c>
      <c r="K12" s="24"/>
      <c r="L12" s="48"/>
      <c r="M12" s="48"/>
      <c r="N12" s="48"/>
      <c r="O12" s="49"/>
      <c r="P12" s="72" t="s">
        <v>48</v>
      </c>
      <c r="Q12" s="51"/>
      <c r="R12" s="52">
        <v>200.0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1882</v>
      </c>
      <c r="D13" s="24"/>
      <c r="E13" s="43">
        <v>4.0</v>
      </c>
      <c r="F13" s="56">
        <v>59.0</v>
      </c>
      <c r="G13" s="64">
        <v>59.0</v>
      </c>
      <c r="H13" s="65"/>
      <c r="I13" s="65"/>
      <c r="J13" s="130">
        <v>4148.0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6</v>
      </c>
      <c r="D14" s="24"/>
      <c r="E14" s="43">
        <v>5.0</v>
      </c>
      <c r="F14" s="56">
        <v>203.0</v>
      </c>
      <c r="G14" s="64">
        <v>203.0</v>
      </c>
      <c r="H14" s="65"/>
      <c r="I14" s="65"/>
      <c r="J14" s="130">
        <v>4149.0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241">
        <v>3041.0</v>
      </c>
      <c r="G15" s="189"/>
      <c r="H15" s="189"/>
      <c r="I15" s="242"/>
      <c r="J15" s="243" t="s">
        <v>200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1097</v>
      </c>
      <c r="D16" s="24"/>
      <c r="E16" s="43">
        <v>7.0</v>
      </c>
      <c r="F16" s="56">
        <v>22.0</v>
      </c>
      <c r="G16" s="64">
        <v>22.0</v>
      </c>
      <c r="H16" s="64"/>
      <c r="I16" s="65"/>
      <c r="J16" s="130">
        <v>4151.0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1097</v>
      </c>
      <c r="D17" s="24"/>
      <c r="E17" s="43">
        <v>8.0</v>
      </c>
      <c r="F17" s="56">
        <v>352.0</v>
      </c>
      <c r="G17" s="64">
        <v>352.0</v>
      </c>
      <c r="H17" s="64"/>
      <c r="I17" s="65"/>
      <c r="J17" s="130">
        <v>4152.0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332.0</v>
      </c>
      <c r="G18" s="64"/>
      <c r="H18" s="244">
        <v>332.0</v>
      </c>
      <c r="I18" s="64"/>
      <c r="J18" s="130">
        <v>4153.0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348.0</v>
      </c>
      <c r="G19" s="64"/>
      <c r="H19" s="244">
        <v>348.0</v>
      </c>
      <c r="I19" s="64"/>
      <c r="J19" s="130">
        <v>4154.0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53320</v>
      </c>
      <c r="D20" s="24"/>
      <c r="E20" s="43">
        <v>11.0</v>
      </c>
      <c r="F20" s="56">
        <v>120.0</v>
      </c>
      <c r="G20" s="64">
        <v>120.0</v>
      </c>
      <c r="H20" s="64"/>
      <c r="I20" s="65"/>
      <c r="J20" s="130">
        <v>4155.0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27979</v>
      </c>
      <c r="D21" s="24"/>
      <c r="E21" s="43">
        <v>12.0</v>
      </c>
      <c r="F21" s="56">
        <v>63.0</v>
      </c>
      <c r="G21" s="64">
        <v>63.0</v>
      </c>
      <c r="H21" s="64"/>
      <c r="I21" s="65"/>
      <c r="J21" s="130">
        <v>4156.0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130017</v>
      </c>
      <c r="D22" s="24"/>
      <c r="E22" s="43">
        <v>13.0</v>
      </c>
      <c r="F22" s="56">
        <v>189.0</v>
      </c>
      <c r="G22" s="64">
        <v>189.0</v>
      </c>
      <c r="H22" s="64"/>
      <c r="I22" s="65"/>
      <c r="J22" s="130">
        <v>4157.0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134481.0</v>
      </c>
      <c r="D23" s="24"/>
      <c r="E23" s="43">
        <v>14.0</v>
      </c>
      <c r="F23" s="56">
        <v>179.0</v>
      </c>
      <c r="G23" s="65"/>
      <c r="H23" s="132">
        <v>358.0</v>
      </c>
      <c r="I23" s="65"/>
      <c r="J23" s="130" t="s">
        <v>201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-4464</v>
      </c>
      <c r="D24" s="24"/>
      <c r="E24" s="43">
        <v>15.0</v>
      </c>
      <c r="F24" s="56">
        <v>10.0</v>
      </c>
      <c r="G24" s="64"/>
      <c r="H24" s="189">
        <v>10.0</v>
      </c>
      <c r="I24" s="65"/>
      <c r="J24" s="130">
        <v>4159.0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2797.0</v>
      </c>
      <c r="G25" s="64"/>
      <c r="H25" s="189">
        <v>2797.0</v>
      </c>
      <c r="I25" s="65"/>
      <c r="J25" s="130">
        <v>4160.0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F178</f>
        <v>56809</v>
      </c>
      <c r="D26" s="24"/>
      <c r="E26" s="43">
        <v>17.0</v>
      </c>
      <c r="F26" s="56">
        <v>364.0</v>
      </c>
      <c r="G26" s="64"/>
      <c r="H26" s="189">
        <v>364.0</v>
      </c>
      <c r="I26" s="65"/>
      <c r="J26" s="130">
        <v>4161.0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142.0</v>
      </c>
      <c r="D27" s="24"/>
      <c r="E27" s="43">
        <v>18.0</v>
      </c>
      <c r="F27" s="56">
        <v>159.0</v>
      </c>
      <c r="G27" s="64">
        <v>159.0</v>
      </c>
      <c r="H27" s="65"/>
      <c r="I27" s="65"/>
      <c r="J27" s="130">
        <v>4162.0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400.0633803</v>
      </c>
      <c r="D28" s="24"/>
      <c r="E28" s="43">
        <v>19.0</v>
      </c>
      <c r="F28" s="56">
        <v>195.0</v>
      </c>
      <c r="G28" s="64">
        <v>195.0</v>
      </c>
      <c r="H28" s="65"/>
      <c r="I28" s="65"/>
      <c r="J28" s="130">
        <v>4163.0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10.0</v>
      </c>
      <c r="G29" s="64">
        <v>10.0</v>
      </c>
      <c r="H29" s="65"/>
      <c r="I29" s="65"/>
      <c r="J29" s="130">
        <v>4164.0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29.0</v>
      </c>
      <c r="G30" s="93">
        <v>29.0</v>
      </c>
      <c r="H30" s="92"/>
      <c r="I30" s="93"/>
      <c r="J30" s="130">
        <v>4165.0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16105</v>
      </c>
      <c r="D31" s="24"/>
      <c r="E31" s="43">
        <v>22.0</v>
      </c>
      <c r="F31" s="56">
        <v>71.0</v>
      </c>
      <c r="G31" s="93"/>
      <c r="H31" s="190">
        <v>71.0</v>
      </c>
      <c r="I31" s="92"/>
      <c r="J31" s="130">
        <v>4166.0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1097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798.0</v>
      </c>
      <c r="G32" s="93"/>
      <c r="H32" s="190">
        <v>798.0</v>
      </c>
      <c r="I32" s="92"/>
      <c r="J32" s="130">
        <v>4167.0</v>
      </c>
      <c r="K32" s="24"/>
      <c r="L32" s="47"/>
      <c r="M32" s="47">
        <v>6.0</v>
      </c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1441.0</v>
      </c>
      <c r="G33" s="93">
        <v>1441.0</v>
      </c>
      <c r="H33" s="92"/>
      <c r="I33" s="92"/>
      <c r="J33" s="130">
        <v>4168.0</v>
      </c>
      <c r="K33" s="24"/>
      <c r="L33" s="104">
        <f t="shared" ref="L33:M33" si="2">sum(L10:L32)</f>
        <v>1882</v>
      </c>
      <c r="M33" s="104">
        <f t="shared" si="2"/>
        <v>6</v>
      </c>
      <c r="N33" s="104"/>
      <c r="O33" s="105"/>
      <c r="P33" s="85" t="s">
        <v>38</v>
      </c>
      <c r="Q33" s="51"/>
      <c r="R33" s="100"/>
      <c r="S33" s="52">
        <v>16105.0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250.0</v>
      </c>
      <c r="G34" s="93"/>
      <c r="H34" s="190">
        <v>250.0</v>
      </c>
      <c r="I34" s="92"/>
      <c r="J34" s="130">
        <v>4169.0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214.0</v>
      </c>
      <c r="G35" s="93">
        <v>214.0</v>
      </c>
      <c r="H35" s="93"/>
      <c r="I35" s="92"/>
      <c r="J35" s="130">
        <v>4170.0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1828.0</v>
      </c>
      <c r="G36" s="93">
        <v>1828.0</v>
      </c>
      <c r="H36" s="93"/>
      <c r="I36" s="92"/>
      <c r="J36" s="130">
        <v>4171.0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56.0</v>
      </c>
      <c r="G37" s="93">
        <v>56.0</v>
      </c>
      <c r="H37" s="92"/>
      <c r="I37" s="92"/>
      <c r="J37" s="130">
        <v>4172.0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399.0</v>
      </c>
      <c r="G38" s="93">
        <v>399.0</v>
      </c>
      <c r="H38" s="92"/>
      <c r="I38" s="92"/>
      <c r="J38" s="130">
        <v>4173.0</v>
      </c>
      <c r="K38" s="24"/>
      <c r="L38" s="117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89.0</v>
      </c>
      <c r="G39" s="93">
        <v>89.0</v>
      </c>
      <c r="H39" s="93"/>
      <c r="I39" s="92"/>
      <c r="J39" s="130">
        <v>4174.0</v>
      </c>
      <c r="K39" s="24"/>
      <c r="L39" s="117">
        <v>358.0</v>
      </c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193.0</v>
      </c>
      <c r="G40" s="93">
        <v>193.0</v>
      </c>
      <c r="H40" s="93"/>
      <c r="I40" s="92"/>
      <c r="J40" s="130">
        <v>4175.0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1173.0</v>
      </c>
      <c r="G41" s="92"/>
      <c r="H41" s="190">
        <v>1173.0</v>
      </c>
      <c r="I41" s="93"/>
      <c r="J41" s="130">
        <v>4176.0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109.0</v>
      </c>
      <c r="G42" s="93">
        <v>9.0</v>
      </c>
      <c r="H42" s="190">
        <v>100.0</v>
      </c>
      <c r="I42" s="92"/>
      <c r="J42" s="130">
        <v>4177.0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216">
        <v>1511.0</v>
      </c>
      <c r="G43" s="136"/>
      <c r="H43" s="136">
        <v>1511.0</v>
      </c>
      <c r="I43" s="173"/>
      <c r="J43" s="155" t="s">
        <v>202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80.0</v>
      </c>
      <c r="G44" s="93">
        <v>80.0</v>
      </c>
      <c r="H44" s="93"/>
      <c r="I44" s="92"/>
      <c r="J44" s="130">
        <v>4179.0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280.0</v>
      </c>
      <c r="G45" s="93">
        <v>280.0</v>
      </c>
      <c r="H45" s="92"/>
      <c r="I45" s="92"/>
      <c r="J45" s="130">
        <v>4180.0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206.0</v>
      </c>
      <c r="G46" s="93">
        <v>206.0</v>
      </c>
      <c r="H46" s="92"/>
      <c r="I46" s="92"/>
      <c r="J46" s="130">
        <v>4181.0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255.0</v>
      </c>
      <c r="G47" s="93">
        <v>255.0</v>
      </c>
      <c r="H47" s="93"/>
      <c r="I47" s="92"/>
      <c r="J47" s="130">
        <v>4182.0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579.0</v>
      </c>
      <c r="G48" s="92"/>
      <c r="H48" s="190">
        <v>579.0</v>
      </c>
      <c r="I48" s="92"/>
      <c r="J48" s="130">
        <v>4183.0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216">
        <v>402.0</v>
      </c>
      <c r="G49" s="173"/>
      <c r="H49" s="136">
        <v>402.0</v>
      </c>
      <c r="I49" s="173"/>
      <c r="J49" s="155" t="s">
        <v>203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142.0</v>
      </c>
      <c r="G50" s="93">
        <v>142.0</v>
      </c>
      <c r="H50" s="93"/>
      <c r="I50" s="93"/>
      <c r="J50" s="130">
        <v>4185.0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145.0</v>
      </c>
      <c r="G51" s="93">
        <v>145.0</v>
      </c>
      <c r="H51" s="92"/>
      <c r="I51" s="92"/>
      <c r="J51" s="130">
        <v>4186.0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1117.0</v>
      </c>
      <c r="G52" s="93">
        <v>1117.0</v>
      </c>
      <c r="H52" s="92"/>
      <c r="I52" s="93"/>
      <c r="J52" s="130">
        <v>4187.0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444.0</v>
      </c>
      <c r="G53" s="93">
        <v>444.0</v>
      </c>
      <c r="H53" s="92"/>
      <c r="I53" s="92"/>
      <c r="J53" s="130">
        <v>4188.0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415.0</v>
      </c>
      <c r="G54" s="93">
        <v>415.0</v>
      </c>
      <c r="H54" s="92"/>
      <c r="I54" s="92"/>
      <c r="J54" s="130">
        <v>4189.0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440.0</v>
      </c>
      <c r="G55" s="93">
        <v>440.0</v>
      </c>
      <c r="H55" s="92"/>
      <c r="I55" s="92"/>
      <c r="J55" s="130">
        <v>4190.0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1064.0</v>
      </c>
      <c r="G56" s="92"/>
      <c r="H56" s="190">
        <v>1064.0</v>
      </c>
      <c r="I56" s="92"/>
      <c r="J56" s="130">
        <v>4191.0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252.0</v>
      </c>
      <c r="G57" s="92"/>
      <c r="H57" s="190">
        <v>252.0</v>
      </c>
      <c r="I57" s="92"/>
      <c r="J57" s="130">
        <v>4192.0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29.0</v>
      </c>
      <c r="G58" s="92"/>
      <c r="H58" s="190">
        <v>29.0</v>
      </c>
      <c r="I58" s="92"/>
      <c r="J58" s="130">
        <v>4193.0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1358.0</v>
      </c>
      <c r="G59" s="93">
        <v>1358.0</v>
      </c>
      <c r="H59" s="92"/>
      <c r="I59" s="92"/>
      <c r="J59" s="130">
        <v>4194.0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414.0</v>
      </c>
      <c r="G60" s="92"/>
      <c r="H60" s="190">
        <v>414.0</v>
      </c>
      <c r="I60" s="92"/>
      <c r="J60" s="130">
        <v>4195.0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1128.0</v>
      </c>
      <c r="G61" s="93">
        <v>1128.0</v>
      </c>
      <c r="H61" s="92"/>
      <c r="I61" s="92"/>
      <c r="J61" s="130">
        <v>4196.0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18.0</v>
      </c>
      <c r="G62" s="92"/>
      <c r="H62" s="190">
        <v>18.0</v>
      </c>
      <c r="I62" s="92"/>
      <c r="J62" s="130">
        <v>4197.0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184.0</v>
      </c>
      <c r="G63" s="92"/>
      <c r="H63" s="190">
        <v>184.0</v>
      </c>
      <c r="I63" s="92"/>
      <c r="J63" s="130">
        <v>4198.0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481.0</v>
      </c>
      <c r="G64" s="92"/>
      <c r="H64" s="190">
        <v>481.0</v>
      </c>
      <c r="I64" s="92"/>
      <c r="J64" s="130">
        <v>4199.0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210.0</v>
      </c>
      <c r="G65" s="93">
        <v>210.0</v>
      </c>
      <c r="H65" s="92"/>
      <c r="I65" s="92"/>
      <c r="J65" s="130">
        <v>4200.0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99.0</v>
      </c>
      <c r="G66" s="93">
        <v>99.0</v>
      </c>
      <c r="H66" s="92"/>
      <c r="I66" s="92"/>
      <c r="J66" s="130">
        <v>4201.0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472.0</v>
      </c>
      <c r="G67" s="92"/>
      <c r="H67" s="190">
        <v>472.0</v>
      </c>
      <c r="I67" s="92"/>
      <c r="J67" s="130">
        <v>4202.0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20.0</v>
      </c>
      <c r="G68" s="92"/>
      <c r="H68" s="190">
        <v>20.0</v>
      </c>
      <c r="I68" s="92"/>
      <c r="J68" s="130">
        <v>4203.0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57.0</v>
      </c>
      <c r="G69" s="92"/>
      <c r="H69" s="190">
        <v>57.0</v>
      </c>
      <c r="I69" s="92"/>
      <c r="J69" s="130">
        <v>4204.0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319.0</v>
      </c>
      <c r="G70" s="93">
        <v>319.0</v>
      </c>
      <c r="H70" s="92"/>
      <c r="I70" s="92"/>
      <c r="J70" s="130">
        <v>4205.0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965.0</v>
      </c>
      <c r="G71" s="93">
        <v>965.0</v>
      </c>
      <c r="H71" s="92"/>
      <c r="I71" s="92"/>
      <c r="J71" s="130">
        <v>4206.0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131.0</v>
      </c>
      <c r="G72" s="92"/>
      <c r="H72" s="190">
        <v>131.0</v>
      </c>
      <c r="I72" s="92"/>
      <c r="J72" s="130">
        <v>4207.0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241">
        <v>1317.0</v>
      </c>
      <c r="G73" s="190"/>
      <c r="H73" s="245"/>
      <c r="I73" s="245"/>
      <c r="J73" s="243" t="s">
        <v>204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551.0</v>
      </c>
      <c r="G74" s="93">
        <v>551.0</v>
      </c>
      <c r="H74" s="92"/>
      <c r="I74" s="92"/>
      <c r="J74" s="130">
        <v>4209.0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159.0</v>
      </c>
      <c r="G75" s="93">
        <v>159.0</v>
      </c>
      <c r="H75" s="92"/>
      <c r="I75" s="92"/>
      <c r="J75" s="130">
        <v>4210.0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75.0</v>
      </c>
      <c r="G76" s="93">
        <v>75.0</v>
      </c>
      <c r="H76" s="92"/>
      <c r="I76" s="92"/>
      <c r="J76" s="130">
        <v>4211.0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100.0</v>
      </c>
      <c r="G77" s="93">
        <v>100.0</v>
      </c>
      <c r="H77" s="92"/>
      <c r="I77" s="92"/>
      <c r="J77" s="130">
        <v>4212.0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290.0</v>
      </c>
      <c r="G78" s="92"/>
      <c r="H78" s="190">
        <v>290.0</v>
      </c>
      <c r="I78" s="92"/>
      <c r="J78" s="130">
        <v>4213.0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15.0</v>
      </c>
      <c r="G79" s="92"/>
      <c r="H79" s="190">
        <v>15.0</v>
      </c>
      <c r="I79" s="92"/>
      <c r="J79" s="130">
        <v>4214.0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270.0</v>
      </c>
      <c r="G80" s="93">
        <v>270.0</v>
      </c>
      <c r="H80" s="92"/>
      <c r="I80" s="92"/>
      <c r="J80" s="130">
        <v>4215.0</v>
      </c>
      <c r="K80" s="246"/>
      <c r="L80" s="246" t="s">
        <v>205</v>
      </c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1434.0</v>
      </c>
      <c r="G81" s="93">
        <v>1434.0</v>
      </c>
      <c r="H81" s="92"/>
      <c r="I81" s="92"/>
      <c r="J81" s="130">
        <v>4216.0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154.0</v>
      </c>
      <c r="G82" s="54">
        <v>154.0</v>
      </c>
      <c r="H82" s="61"/>
      <c r="I82" s="61"/>
      <c r="J82" s="130">
        <v>4217.0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1016.0</v>
      </c>
      <c r="G83" s="54">
        <v>1016.0</v>
      </c>
      <c r="H83" s="61"/>
      <c r="I83" s="61"/>
      <c r="J83" s="130">
        <v>4218.0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399.0</v>
      </c>
      <c r="G84" s="54">
        <v>399.0</v>
      </c>
      <c r="H84" s="61"/>
      <c r="I84" s="61"/>
      <c r="J84" s="130">
        <v>4219.0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102.0</v>
      </c>
      <c r="G85" s="54">
        <v>102.0</v>
      </c>
      <c r="H85" s="61"/>
      <c r="I85" s="61"/>
      <c r="J85" s="130">
        <v>4220.0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10.0</v>
      </c>
      <c r="G86" s="54">
        <v>10.0</v>
      </c>
      <c r="H86" s="61"/>
      <c r="I86" s="61"/>
      <c r="J86" s="130">
        <v>4221.0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101.0</v>
      </c>
      <c r="G87" s="61"/>
      <c r="H87" s="190">
        <v>101.0</v>
      </c>
      <c r="I87" s="61"/>
      <c r="J87" s="130">
        <v>4222.0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1020.0</v>
      </c>
      <c r="G88" s="61"/>
      <c r="H88" s="190">
        <v>1020.0</v>
      </c>
      <c r="I88" s="61"/>
      <c r="J88" s="130">
        <v>4223.0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812.0</v>
      </c>
      <c r="G89" s="61"/>
      <c r="H89" s="190">
        <v>812.0</v>
      </c>
      <c r="I89" s="61"/>
      <c r="J89" s="130">
        <v>4224.0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296.0</v>
      </c>
      <c r="G90" s="61"/>
      <c r="H90" s="190">
        <v>296.0</v>
      </c>
      <c r="I90" s="61"/>
      <c r="J90" s="130">
        <v>4225.0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237.0</v>
      </c>
      <c r="G91" s="54">
        <v>237.0</v>
      </c>
      <c r="H91" s="61"/>
      <c r="I91" s="61"/>
      <c r="J91" s="130">
        <v>4226.0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285.0</v>
      </c>
      <c r="G92" s="61"/>
      <c r="H92" s="190">
        <v>285.0</v>
      </c>
      <c r="I92" s="61"/>
      <c r="J92" s="130">
        <v>4227.0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140.0</v>
      </c>
      <c r="G93" s="61"/>
      <c r="H93" s="190">
        <v>140.0</v>
      </c>
      <c r="I93" s="61"/>
      <c r="J93" s="130" t="s">
        <v>206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756.0</v>
      </c>
      <c r="G94" s="61"/>
      <c r="H94" s="190">
        <v>756.0</v>
      </c>
      <c r="I94" s="61"/>
      <c r="J94" s="130">
        <v>4229.0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29.0</v>
      </c>
      <c r="G95" s="61"/>
      <c r="H95" s="190">
        <v>29.0</v>
      </c>
      <c r="I95" s="54"/>
      <c r="J95" s="130">
        <v>4230.0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600.0</v>
      </c>
      <c r="G96" s="54">
        <v>600.0</v>
      </c>
      <c r="H96" s="61"/>
      <c r="I96" s="61"/>
      <c r="J96" s="130">
        <v>4231.0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138">
        <v>1505.0</v>
      </c>
      <c r="G97" s="54"/>
      <c r="H97" s="61"/>
      <c r="I97" s="54">
        <v>1505.0</v>
      </c>
      <c r="J97" s="130" t="s">
        <v>207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138">
        <v>182.0</v>
      </c>
      <c r="G98" s="54">
        <v>180.0</v>
      </c>
      <c r="H98" s="190">
        <v>2.0</v>
      </c>
      <c r="I98" s="61"/>
      <c r="J98" s="130">
        <v>4233.0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216">
        <v>1012.0</v>
      </c>
      <c r="G99" s="173"/>
      <c r="H99" s="136">
        <v>1012.0</v>
      </c>
      <c r="I99" s="173"/>
      <c r="J99" s="155" t="s">
        <v>208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138">
        <v>156.0</v>
      </c>
      <c r="G100" s="61"/>
      <c r="H100" s="190">
        <v>156.0</v>
      </c>
      <c r="I100" s="61"/>
      <c r="J100" s="130">
        <v>4235.0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138">
        <v>99.0</v>
      </c>
      <c r="G101" s="61"/>
      <c r="H101" s="190">
        <v>99.0</v>
      </c>
      <c r="I101" s="61"/>
      <c r="J101" s="130">
        <v>4236.0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138">
        <v>174.0</v>
      </c>
      <c r="G102" s="61"/>
      <c r="H102" s="61"/>
      <c r="I102" s="54">
        <v>174.0</v>
      </c>
      <c r="J102" s="130" t="s">
        <v>209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138">
        <v>154.0</v>
      </c>
      <c r="G103" s="54">
        <v>150.0</v>
      </c>
      <c r="H103" s="190">
        <v>4.0</v>
      </c>
      <c r="I103" s="61"/>
      <c r="J103" s="130">
        <v>4238.0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138">
        <v>16.0</v>
      </c>
      <c r="G104" s="61"/>
      <c r="H104" s="190">
        <v>16.0</v>
      </c>
      <c r="I104" s="61"/>
      <c r="J104" s="130">
        <v>4239.0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138">
        <v>75.0</v>
      </c>
      <c r="G105" s="61"/>
      <c r="H105" s="190">
        <v>75.0</v>
      </c>
      <c r="I105" s="61"/>
      <c r="J105" s="130">
        <v>4240.0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138">
        <v>45.0</v>
      </c>
      <c r="G106" s="61"/>
      <c r="H106" s="190">
        <v>45.0</v>
      </c>
      <c r="I106" s="61"/>
      <c r="J106" s="130">
        <v>4241.0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138">
        <v>806.0</v>
      </c>
      <c r="G107" s="54">
        <v>806.0</v>
      </c>
      <c r="H107" s="61"/>
      <c r="I107" s="61"/>
      <c r="J107" s="130">
        <v>4242.0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138">
        <v>60.0</v>
      </c>
      <c r="G108" s="54">
        <v>60.0</v>
      </c>
      <c r="H108" s="61"/>
      <c r="I108" s="61"/>
      <c r="J108" s="130">
        <v>4243.0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138">
        <v>106.0</v>
      </c>
      <c r="G109" s="61"/>
      <c r="H109" s="190">
        <v>106.0</v>
      </c>
      <c r="I109" s="61"/>
      <c r="J109" s="130">
        <v>4244.0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138">
        <v>570.0</v>
      </c>
      <c r="G110" s="54">
        <v>570.0</v>
      </c>
      <c r="H110" s="61"/>
      <c r="I110" s="61"/>
      <c r="J110" s="130">
        <v>4245.0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138">
        <v>164.0</v>
      </c>
      <c r="G111" s="54">
        <v>164.0</v>
      </c>
      <c r="H111" s="61"/>
      <c r="I111" s="61"/>
      <c r="J111" s="130">
        <v>4246.0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138">
        <v>42.0</v>
      </c>
      <c r="G112" s="54">
        <v>40.0</v>
      </c>
      <c r="H112" s="190">
        <v>2.0</v>
      </c>
      <c r="I112" s="61"/>
      <c r="J112" s="130">
        <v>4247.0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138">
        <v>274.0</v>
      </c>
      <c r="G113" s="54">
        <v>274.0</v>
      </c>
      <c r="H113" s="61"/>
      <c r="I113" s="61"/>
      <c r="J113" s="130">
        <v>4248.0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138">
        <v>1606.0</v>
      </c>
      <c r="G114" s="61"/>
      <c r="H114" s="190">
        <v>1606.0</v>
      </c>
      <c r="I114" s="61"/>
      <c r="J114" s="130">
        <v>4249.0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138">
        <v>250.0</v>
      </c>
      <c r="G115" s="61"/>
      <c r="H115" s="190">
        <v>250.0</v>
      </c>
      <c r="I115" s="61"/>
      <c r="J115" s="130">
        <v>4250.0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138">
        <v>309.0</v>
      </c>
      <c r="G116" s="54">
        <v>309.0</v>
      </c>
      <c r="H116" s="61"/>
      <c r="I116" s="61"/>
      <c r="J116" s="130">
        <v>4251.0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138">
        <v>16.0</v>
      </c>
      <c r="G117" s="61"/>
      <c r="H117" s="190">
        <v>16.0</v>
      </c>
      <c r="I117" s="61"/>
      <c r="J117" s="130">
        <v>4252.0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138">
        <v>52.0</v>
      </c>
      <c r="G118" s="61"/>
      <c r="H118" s="190">
        <v>52.0</v>
      </c>
      <c r="I118" s="61"/>
      <c r="J118" s="130">
        <v>4253.0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138">
        <v>550.0</v>
      </c>
      <c r="G119" s="54">
        <v>550.0</v>
      </c>
      <c r="H119" s="61"/>
      <c r="I119" s="61"/>
      <c r="J119" s="130">
        <v>4254.0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138">
        <v>295.0</v>
      </c>
      <c r="G120" s="61"/>
      <c r="H120" s="190">
        <v>295.0</v>
      </c>
      <c r="I120" s="61"/>
      <c r="J120" s="130">
        <v>4255.0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216">
        <v>400.0</v>
      </c>
      <c r="G121" s="173"/>
      <c r="H121" s="136">
        <v>400.0</v>
      </c>
      <c r="I121" s="173"/>
      <c r="J121" s="155" t="s">
        <v>210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138">
        <v>265.0</v>
      </c>
      <c r="G122" s="54">
        <v>265.0</v>
      </c>
      <c r="H122" s="61"/>
      <c r="I122" s="61"/>
      <c r="J122" s="130">
        <v>4257.0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138">
        <v>990.0</v>
      </c>
      <c r="G123" s="54">
        <v>990.0</v>
      </c>
      <c r="H123" s="61"/>
      <c r="I123" s="61"/>
      <c r="J123" s="130">
        <v>4258.0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138">
        <v>250.0</v>
      </c>
      <c r="G124" s="54">
        <v>250.0</v>
      </c>
      <c r="H124" s="61"/>
      <c r="I124" s="61"/>
      <c r="J124" s="130">
        <v>4259.0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138">
        <v>10.0</v>
      </c>
      <c r="G125" s="54">
        <v>10.0</v>
      </c>
      <c r="H125" s="61"/>
      <c r="I125" s="61"/>
      <c r="J125" s="130">
        <v>4260.0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138">
        <v>507.0</v>
      </c>
      <c r="G126" s="61"/>
      <c r="H126" s="190">
        <v>507.0</v>
      </c>
      <c r="I126" s="61"/>
      <c r="J126" s="130">
        <v>4261.0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138">
        <v>459.0</v>
      </c>
      <c r="G127" s="61"/>
      <c r="H127" s="190">
        <v>459.0</v>
      </c>
      <c r="I127" s="61"/>
      <c r="J127" s="130" t="s">
        <v>211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138">
        <v>38.0</v>
      </c>
      <c r="G128" s="61"/>
      <c r="H128" s="190">
        <v>38.0</v>
      </c>
      <c r="I128" s="61"/>
      <c r="J128" s="130">
        <v>4263.0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38">
        <v>215.0</v>
      </c>
      <c r="G129" s="61"/>
      <c r="H129" s="190">
        <v>215.0</v>
      </c>
      <c r="I129" s="61"/>
      <c r="J129" s="130">
        <v>4264.0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38">
        <v>47.0</v>
      </c>
      <c r="G130" s="61"/>
      <c r="H130" s="190">
        <v>47.0</v>
      </c>
      <c r="I130" s="61"/>
      <c r="J130" s="130">
        <v>4265.0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38">
        <v>174.0</v>
      </c>
      <c r="G131" s="61"/>
      <c r="H131" s="190">
        <v>174.0</v>
      </c>
      <c r="I131" s="61"/>
      <c r="J131" s="130">
        <v>4266.0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138">
        <v>80.0</v>
      </c>
      <c r="G132" s="54">
        <v>80.0</v>
      </c>
      <c r="H132" s="61"/>
      <c r="I132" s="61"/>
      <c r="J132" s="130">
        <v>4267.0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38">
        <v>346.0</v>
      </c>
      <c r="G133" s="54">
        <v>346.0</v>
      </c>
      <c r="H133" s="61"/>
      <c r="I133" s="61"/>
      <c r="J133" s="130">
        <v>4268.0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38">
        <v>293.0</v>
      </c>
      <c r="G134" s="61"/>
      <c r="H134" s="190">
        <v>293.0</v>
      </c>
      <c r="I134" s="61"/>
      <c r="J134" s="130">
        <v>4269.0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216">
        <v>280.0</v>
      </c>
      <c r="G135" s="136"/>
      <c r="H135" s="136">
        <v>280.0</v>
      </c>
      <c r="I135" s="173"/>
      <c r="J135" s="155" t="s">
        <v>212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216">
        <v>858.0</v>
      </c>
      <c r="G136" s="136"/>
      <c r="H136" s="136">
        <v>858.0</v>
      </c>
      <c r="I136" s="173"/>
      <c r="J136" s="155" t="s">
        <v>213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43">
        <v>128.0</v>
      </c>
      <c r="F137" s="138">
        <v>430.0</v>
      </c>
      <c r="G137" s="54">
        <v>430.0</v>
      </c>
      <c r="H137" s="61"/>
      <c r="I137" s="61"/>
      <c r="J137" s="130">
        <v>4272.0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43">
        <v>129.0</v>
      </c>
      <c r="F138" s="138">
        <v>70.0</v>
      </c>
      <c r="G138" s="54">
        <v>70.0</v>
      </c>
      <c r="H138" s="61"/>
      <c r="I138" s="61"/>
      <c r="J138" s="130">
        <v>4273.0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43">
        <v>130.0</v>
      </c>
      <c r="F139" s="138">
        <v>90.0</v>
      </c>
      <c r="G139" s="54">
        <v>90.0</v>
      </c>
      <c r="H139" s="61"/>
      <c r="I139" s="61"/>
      <c r="J139" s="130">
        <v>4274.0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43">
        <v>131.0</v>
      </c>
      <c r="F140" s="138">
        <v>237.0</v>
      </c>
      <c r="G140" s="61"/>
      <c r="H140" s="190">
        <v>237.0</v>
      </c>
      <c r="I140" s="61"/>
      <c r="J140" s="130">
        <v>4275.0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43">
        <v>132.0</v>
      </c>
      <c r="F141" s="138">
        <v>47.0</v>
      </c>
      <c r="G141" s="61"/>
      <c r="H141" s="190">
        <v>47.0</v>
      </c>
      <c r="I141" s="61"/>
      <c r="J141" s="130">
        <v>4276.0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43">
        <v>133.0</v>
      </c>
      <c r="F142" s="138">
        <v>93.0</v>
      </c>
      <c r="G142" s="54">
        <v>90.0</v>
      </c>
      <c r="H142" s="190">
        <v>3.0</v>
      </c>
      <c r="I142" s="61"/>
      <c r="J142" s="130">
        <v>4277.0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43">
        <v>134.0</v>
      </c>
      <c r="F143" s="138">
        <v>171.0</v>
      </c>
      <c r="G143" s="61"/>
      <c r="H143" s="190">
        <v>171.0</v>
      </c>
      <c r="I143" s="61"/>
      <c r="J143" s="130">
        <v>4278.0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43">
        <v>135.0</v>
      </c>
      <c r="F144" s="138">
        <v>190.0</v>
      </c>
      <c r="G144" s="61"/>
      <c r="H144" s="190">
        <v>190.0</v>
      </c>
      <c r="I144" s="61"/>
      <c r="J144" s="130">
        <v>4279.0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43">
        <v>136.0</v>
      </c>
      <c r="F145" s="138">
        <v>10.0</v>
      </c>
      <c r="G145" s="54"/>
      <c r="H145" s="190">
        <v>10.0</v>
      </c>
      <c r="I145" s="61"/>
      <c r="J145" s="130">
        <v>4280.0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43">
        <v>137.0</v>
      </c>
      <c r="F146" s="138">
        <v>840.0</v>
      </c>
      <c r="G146" s="61"/>
      <c r="H146" s="190">
        <v>840.0</v>
      </c>
      <c r="I146" s="61"/>
      <c r="J146" s="130">
        <v>4281.0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43">
        <v>138.0</v>
      </c>
      <c r="F147" s="138">
        <v>1059.0</v>
      </c>
      <c r="G147" s="61"/>
      <c r="H147" s="190">
        <v>1059.0</v>
      </c>
      <c r="I147" s="61"/>
      <c r="J147" s="130">
        <v>4282.0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43">
        <v>139.0</v>
      </c>
      <c r="F148" s="138">
        <v>280.0</v>
      </c>
      <c r="G148" s="54">
        <v>280.0</v>
      </c>
      <c r="H148" s="54"/>
      <c r="I148" s="61"/>
      <c r="J148" s="130">
        <v>4283.0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43">
        <v>140.0</v>
      </c>
      <c r="F149" s="138">
        <v>196.0</v>
      </c>
      <c r="G149" s="61"/>
      <c r="H149" s="190">
        <v>196.0</v>
      </c>
      <c r="I149" s="61"/>
      <c r="J149" s="130">
        <v>4284.0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43">
        <v>141.0</v>
      </c>
      <c r="F150" s="138">
        <v>12.0</v>
      </c>
      <c r="G150" s="61"/>
      <c r="H150" s="61"/>
      <c r="I150" s="54">
        <v>12.0</v>
      </c>
      <c r="J150" s="130">
        <v>4285.0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43">
        <v>142.0</v>
      </c>
      <c r="F151" s="138">
        <v>500.0</v>
      </c>
      <c r="G151" s="61"/>
      <c r="H151" s="61"/>
      <c r="I151" s="54">
        <v>500.0</v>
      </c>
      <c r="J151" s="130">
        <v>4286.0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43">
        <v>143.0</v>
      </c>
      <c r="F152" s="121"/>
      <c r="G152" s="61"/>
      <c r="H152" s="61"/>
      <c r="I152" s="61"/>
      <c r="J152" s="130">
        <v>4287.0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43">
        <v>144.0</v>
      </c>
      <c r="F153" s="121"/>
      <c r="G153" s="61"/>
      <c r="H153" s="61"/>
      <c r="I153" s="61"/>
      <c r="J153" s="130">
        <v>4288.0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43">
        <v>145.0</v>
      </c>
      <c r="F154" s="121"/>
      <c r="G154" s="61"/>
      <c r="H154" s="61"/>
      <c r="I154" s="61"/>
      <c r="J154" s="130">
        <v>4289.0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43">
        <v>146.0</v>
      </c>
      <c r="F155" s="121"/>
      <c r="G155" s="54"/>
      <c r="H155" s="61"/>
      <c r="I155" s="61"/>
      <c r="J155" s="130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43">
        <v>147.0</v>
      </c>
      <c r="F156" s="121"/>
      <c r="G156" s="61"/>
      <c r="H156" s="61"/>
      <c r="I156" s="61"/>
      <c r="J156" s="130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43">
        <v>148.0</v>
      </c>
      <c r="F157" s="121"/>
      <c r="G157" s="61"/>
      <c r="H157" s="61"/>
      <c r="I157" s="61"/>
      <c r="J157" s="130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43">
        <v>149.0</v>
      </c>
      <c r="F158" s="121"/>
      <c r="G158" s="61"/>
      <c r="H158" s="61"/>
      <c r="I158" s="61"/>
      <c r="J158" s="13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43">
        <v>150.0</v>
      </c>
      <c r="F159" s="121"/>
      <c r="G159" s="61"/>
      <c r="H159" s="61"/>
      <c r="I159" s="61"/>
      <c r="J159" s="130"/>
      <c r="K159" s="1"/>
      <c r="L159" s="1"/>
      <c r="M159" s="1"/>
      <c r="N159" s="118" t="s">
        <v>139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43">
        <v>151.0</v>
      </c>
      <c r="F160" s="121"/>
      <c r="G160" s="61"/>
      <c r="H160" s="61"/>
      <c r="I160" s="61"/>
      <c r="J160" s="130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43">
        <v>152.0</v>
      </c>
      <c r="F161" s="121"/>
      <c r="G161" s="61"/>
      <c r="H161" s="61"/>
      <c r="I161" s="61"/>
      <c r="J161" s="130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43">
        <v>153.0</v>
      </c>
      <c r="F162" s="121"/>
      <c r="G162" s="61"/>
      <c r="H162" s="61"/>
      <c r="I162" s="61"/>
      <c r="J162" s="130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43">
        <v>154.0</v>
      </c>
      <c r="F163" s="121"/>
      <c r="G163" s="61"/>
      <c r="H163" s="61"/>
      <c r="I163" s="61"/>
      <c r="J163" s="130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43">
        <v>155.0</v>
      </c>
      <c r="F164" s="121"/>
      <c r="G164" s="61"/>
      <c r="H164" s="61"/>
      <c r="I164" s="61"/>
      <c r="J164" s="130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43">
        <v>156.0</v>
      </c>
      <c r="F165" s="121"/>
      <c r="G165" s="61"/>
      <c r="H165" s="61"/>
      <c r="I165" s="61"/>
      <c r="J165" s="130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43">
        <v>157.0</v>
      </c>
      <c r="F166" s="121"/>
      <c r="G166" s="61"/>
      <c r="H166" s="61"/>
      <c r="I166" s="61"/>
      <c r="J166" s="13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43"/>
      <c r="F167" s="121"/>
      <c r="G167" s="61"/>
      <c r="H167" s="61"/>
      <c r="I167" s="61"/>
      <c r="J167" s="13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43"/>
      <c r="F168" s="121"/>
      <c r="G168" s="61"/>
      <c r="H168" s="61"/>
      <c r="I168" s="61"/>
      <c r="J168" s="13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43"/>
      <c r="F169" s="121"/>
      <c r="G169" s="61"/>
      <c r="H169" s="61"/>
      <c r="I169" s="61"/>
      <c r="J169" s="13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43"/>
      <c r="F170" s="121"/>
      <c r="G170" s="61"/>
      <c r="H170" s="61"/>
      <c r="I170" s="61"/>
      <c r="J170" s="13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43"/>
      <c r="F171" s="121"/>
      <c r="G171" s="61"/>
      <c r="H171" s="61"/>
      <c r="I171" s="61"/>
      <c r="J171" s="130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43"/>
      <c r="F172" s="121"/>
      <c r="G172" s="61"/>
      <c r="H172" s="190">
        <v>639.0</v>
      </c>
      <c r="I172" s="247" t="s">
        <v>214</v>
      </c>
      <c r="J172" s="2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E173" s="43"/>
      <c r="F173" s="121"/>
      <c r="G173" s="61"/>
      <c r="H173" s="190">
        <v>1335.0</v>
      </c>
      <c r="I173" s="247" t="s">
        <v>215</v>
      </c>
      <c r="J173" s="28"/>
    </row>
    <row r="174" ht="14.25" customHeight="1">
      <c r="E174" s="43"/>
      <c r="F174" s="121"/>
      <c r="G174" s="54"/>
      <c r="H174" s="61"/>
      <c r="I174" s="239" t="s">
        <v>216</v>
      </c>
      <c r="J174" s="46"/>
    </row>
    <row r="175" ht="14.25" customHeight="1">
      <c r="E175" s="43"/>
      <c r="F175" s="121"/>
      <c r="G175" s="61"/>
      <c r="H175" s="54"/>
      <c r="I175" s="239" t="s">
        <v>217</v>
      </c>
      <c r="J175" s="46"/>
    </row>
    <row r="176" ht="14.25" customHeight="1">
      <c r="E176" s="43"/>
      <c r="F176" s="121"/>
      <c r="G176" s="61"/>
      <c r="H176" s="54"/>
      <c r="I176" s="239" t="s">
        <v>218</v>
      </c>
      <c r="J176" s="46"/>
    </row>
    <row r="177" ht="14.25" customHeight="1">
      <c r="E177" s="43"/>
      <c r="F177" s="121"/>
      <c r="G177" s="61"/>
      <c r="H177" s="61"/>
      <c r="I177" s="61"/>
      <c r="J177" s="46"/>
    </row>
    <row r="178" ht="14.25" customHeight="1">
      <c r="E178" s="122"/>
      <c r="F178" s="123">
        <f t="shared" ref="F178:I178" si="4">SUM(F10:F177)</f>
        <v>56809</v>
      </c>
      <c r="G178" s="123">
        <f t="shared" si="4"/>
        <v>24434</v>
      </c>
      <c r="H178" s="123">
        <f t="shared" si="4"/>
        <v>27979</v>
      </c>
      <c r="I178" s="123">
        <f t="shared" si="4"/>
        <v>2191</v>
      </c>
      <c r="J178" s="46"/>
    </row>
    <row r="179" ht="14.25" customHeight="1">
      <c r="E179" s="124"/>
      <c r="F179" s="124"/>
      <c r="G179" s="124"/>
      <c r="H179" s="124"/>
      <c r="I179" s="125"/>
      <c r="J179" s="1"/>
    </row>
    <row r="180" ht="14.25" customHeight="1">
      <c r="E180" s="8"/>
      <c r="F180" s="8"/>
      <c r="G180" s="8"/>
      <c r="H180" s="8"/>
      <c r="I180" s="8"/>
      <c r="J180" s="1"/>
    </row>
    <row r="181" ht="14.25" customHeight="1">
      <c r="E181" s="8"/>
      <c r="F181" s="8"/>
      <c r="G181" s="8"/>
      <c r="H181" s="8"/>
      <c r="I181" s="8"/>
      <c r="J181" s="1"/>
    </row>
    <row r="182" ht="14.25" customHeight="1">
      <c r="E182" s="8"/>
      <c r="F182" s="8"/>
      <c r="G182" s="8"/>
      <c r="H182" s="8"/>
      <c r="I182" s="8"/>
      <c r="J182" s="1"/>
    </row>
    <row r="183" ht="14.25" customHeight="1">
      <c r="E183" s="8"/>
      <c r="F183" s="8"/>
      <c r="G183" s="8"/>
      <c r="H183" s="8"/>
      <c r="I183" s="8"/>
      <c r="J183" s="1"/>
    </row>
    <row r="184" ht="14.25" customHeight="1">
      <c r="E184" s="8"/>
      <c r="F184" s="8"/>
      <c r="G184" s="8"/>
      <c r="H184" s="8"/>
      <c r="I184" s="8"/>
      <c r="J184" s="1"/>
    </row>
    <row r="185" ht="14.25" customHeight="1">
      <c r="E185" s="1"/>
      <c r="F185" s="1"/>
      <c r="G185" s="1"/>
      <c r="H185" s="1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E188" s="1"/>
      <c r="F188" s="1"/>
      <c r="G188" s="1"/>
      <c r="H188" s="1"/>
      <c r="I188" s="1"/>
      <c r="J188" s="1"/>
    </row>
    <row r="189" ht="14.25" customHeight="1">
      <c r="E189" s="1"/>
      <c r="F189" s="1"/>
      <c r="G189" s="1"/>
      <c r="H189" s="1"/>
      <c r="I189" s="1"/>
      <c r="J189" s="1"/>
    </row>
    <row r="190" ht="14.25" customHeight="1">
      <c r="E190" s="1"/>
      <c r="F190" s="1"/>
      <c r="G190" s="1"/>
      <c r="H190" s="1"/>
      <c r="I190" s="1"/>
      <c r="J190" s="1"/>
    </row>
    <row r="191" ht="14.25" customHeight="1">
      <c r="E191" s="1"/>
      <c r="F191" s="1"/>
      <c r="G191" s="126"/>
      <c r="H191" s="127"/>
      <c r="I191" s="1"/>
      <c r="J191" s="1"/>
    </row>
    <row r="192" ht="14.25" customHeight="1">
      <c r="E192" s="1"/>
      <c r="F192" s="1"/>
      <c r="G192" s="1"/>
      <c r="H192" s="1"/>
      <c r="I192" s="1"/>
      <c r="J192" s="1"/>
    </row>
    <row r="193" ht="14.25" customHeight="1">
      <c r="E193" s="1"/>
      <c r="F193" s="1"/>
      <c r="G193" s="1"/>
      <c r="H193" s="1"/>
      <c r="I193" s="1"/>
      <c r="J193" s="1"/>
    </row>
    <row r="194" ht="14.25" customHeight="1">
      <c r="E194" s="1"/>
      <c r="F194" s="1"/>
      <c r="G194" s="1"/>
      <c r="H194" s="1"/>
      <c r="I194" s="1"/>
      <c r="J194" s="1"/>
    </row>
    <row r="195" ht="14.25" customHeight="1">
      <c r="E195" s="1"/>
      <c r="F195" s="1"/>
      <c r="G195" s="1"/>
      <c r="H195" s="1"/>
      <c r="I195" s="1"/>
      <c r="J195" s="1"/>
    </row>
    <row r="196" ht="14.25" customHeight="1">
      <c r="E196" s="1"/>
      <c r="F196" s="1"/>
      <c r="G196" s="1"/>
      <c r="H196" s="1"/>
      <c r="I196" s="1"/>
      <c r="J196" s="1"/>
    </row>
    <row r="197" ht="14.25" customHeight="1">
      <c r="E197" s="1"/>
      <c r="F197" s="1"/>
      <c r="G197" s="1"/>
      <c r="H197" s="1"/>
      <c r="I197" s="1"/>
      <c r="J197" s="1"/>
    </row>
    <row r="198" ht="14.25" customHeight="1">
      <c r="E198" s="1"/>
      <c r="F198" s="1"/>
      <c r="G198" s="1"/>
      <c r="H198" s="1"/>
      <c r="I198" s="1"/>
      <c r="J198" s="1"/>
    </row>
    <row r="199" ht="14.25" customHeight="1">
      <c r="E199" s="1"/>
      <c r="F199" s="1"/>
      <c r="G199" s="1"/>
      <c r="H199" s="1"/>
      <c r="I199" s="1"/>
      <c r="J199" s="1"/>
    </row>
    <row r="200" ht="14.25" customHeight="1">
      <c r="E200" s="1"/>
      <c r="F200" s="1"/>
      <c r="G200" s="1"/>
      <c r="H200" s="1"/>
      <c r="I200" s="1"/>
      <c r="J200" s="1"/>
    </row>
    <row r="201" ht="14.25" customHeight="1">
      <c r="E201" s="1"/>
      <c r="F201" s="1"/>
      <c r="G201" s="1"/>
      <c r="H201" s="1"/>
      <c r="I201" s="1"/>
      <c r="J201" s="1"/>
    </row>
    <row r="202" ht="14.25" customHeight="1">
      <c r="E202" s="1"/>
      <c r="F202" s="1"/>
      <c r="G202" s="1"/>
      <c r="H202" s="1"/>
      <c r="I202" s="1"/>
      <c r="J202" s="1"/>
    </row>
    <row r="203" ht="14.25" customHeight="1">
      <c r="E203" s="1"/>
      <c r="F203" s="1"/>
      <c r="G203" s="1"/>
      <c r="H203" s="1"/>
      <c r="I203" s="1"/>
      <c r="J203" s="1"/>
    </row>
    <row r="204" ht="14.25" customHeight="1">
      <c r="E204" s="1"/>
      <c r="F204" s="1"/>
      <c r="G204" s="1"/>
      <c r="H204" s="1"/>
      <c r="I204" s="1"/>
      <c r="J204" s="1"/>
    </row>
    <row r="205" ht="14.25" customHeight="1">
      <c r="E205" s="1"/>
      <c r="F205" s="1"/>
      <c r="G205" s="1"/>
      <c r="H205" s="1"/>
      <c r="I205" s="1"/>
      <c r="J205" s="1"/>
    </row>
    <row r="206" ht="14.25" customHeight="1">
      <c r="E206" s="1"/>
      <c r="F206" s="1"/>
      <c r="G206" s="1"/>
      <c r="H206" s="1"/>
      <c r="I206" s="1"/>
      <c r="J206" s="1"/>
    </row>
    <row r="207" ht="14.25" customHeight="1">
      <c r="E207" s="1"/>
      <c r="F207" s="1"/>
      <c r="G207" s="1"/>
      <c r="H207" s="1"/>
      <c r="I207" s="1"/>
      <c r="J207" s="1"/>
    </row>
    <row r="208" ht="14.25" customHeight="1">
      <c r="E208" s="1"/>
      <c r="F208" s="1"/>
      <c r="G208" s="1"/>
      <c r="H208" s="1"/>
      <c r="I208" s="1"/>
      <c r="J208" s="1"/>
    </row>
    <row r="209" ht="14.25" customHeight="1">
      <c r="E209" s="1"/>
      <c r="F209" s="1"/>
      <c r="G209" s="1"/>
      <c r="H209" s="1"/>
      <c r="I209" s="1"/>
      <c r="J209" s="1"/>
    </row>
    <row r="210" ht="14.25" customHeight="1">
      <c r="E210" s="1"/>
      <c r="F210" s="1"/>
      <c r="G210" s="1"/>
      <c r="H210" s="1"/>
      <c r="I210" s="1"/>
      <c r="J210" s="1"/>
    </row>
    <row r="211" ht="14.25" customHeight="1">
      <c r="E211" s="1"/>
      <c r="F211" s="1"/>
      <c r="G211" s="1"/>
      <c r="H211" s="1"/>
      <c r="I211" s="1"/>
      <c r="J211" s="1"/>
    </row>
    <row r="212" ht="14.25" customHeight="1">
      <c r="E212" s="1"/>
      <c r="F212" s="1"/>
      <c r="G212" s="1"/>
      <c r="H212" s="1"/>
      <c r="I212" s="1"/>
      <c r="J212" s="1"/>
    </row>
    <row r="213" ht="14.25" customHeight="1">
      <c r="E213" s="1"/>
      <c r="F213" s="1"/>
      <c r="G213" s="1"/>
      <c r="H213" s="1"/>
      <c r="I213" s="1"/>
      <c r="J213" s="1"/>
    </row>
    <row r="214" ht="14.25" customHeight="1">
      <c r="E214" s="1"/>
      <c r="F214" s="1"/>
      <c r="G214" s="1"/>
      <c r="H214" s="1"/>
      <c r="I214" s="1"/>
      <c r="J214" s="1"/>
    </row>
    <row r="215" ht="14.25" customHeight="1">
      <c r="E215" s="1"/>
      <c r="F215" s="1"/>
      <c r="G215" s="1"/>
      <c r="H215" s="1"/>
      <c r="I215" s="1"/>
      <c r="J215" s="1"/>
    </row>
    <row r="216" ht="14.25" customHeight="1">
      <c r="E216" s="1"/>
      <c r="F216" s="1"/>
      <c r="G216" s="1"/>
      <c r="H216" s="1"/>
      <c r="I216" s="1"/>
      <c r="J216" s="1"/>
    </row>
    <row r="217" ht="14.25" customHeight="1">
      <c r="E217" s="1"/>
      <c r="F217" s="1"/>
      <c r="G217" s="1"/>
      <c r="H217" s="1"/>
      <c r="I217" s="1"/>
      <c r="J217" s="1"/>
    </row>
    <row r="218" ht="14.25" customHeight="1">
      <c r="J218" s="1"/>
    </row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</sheetData>
  <mergeCells count="27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I172:J172"/>
    <mergeCell ref="I173:J173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43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130017.0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27979.0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53326.0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F145-C15</f>
        <v>54049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G145-W33</f>
        <v>15318</v>
      </c>
      <c r="D10" s="24"/>
      <c r="E10" s="43">
        <v>1.0</v>
      </c>
      <c r="F10" s="44">
        <v>1094.0</v>
      </c>
      <c r="G10" s="45">
        <v>1094.0</v>
      </c>
      <c r="H10" s="45"/>
      <c r="I10" s="45"/>
      <c r="J10" s="130">
        <v>4287.0</v>
      </c>
      <c r="K10" s="24"/>
      <c r="L10" s="47">
        <v>1505.0</v>
      </c>
      <c r="M10" s="47"/>
      <c r="N10" s="47">
        <v>4232.0</v>
      </c>
      <c r="O10" s="49"/>
      <c r="P10" s="85" t="s">
        <v>219</v>
      </c>
      <c r="Q10" s="51"/>
      <c r="R10" s="52">
        <v>251.0</v>
      </c>
      <c r="S10" s="53"/>
      <c r="T10" s="54"/>
      <c r="U10" s="55"/>
      <c r="V10" s="24"/>
      <c r="W10" s="47"/>
      <c r="X10" s="47">
        <v>1050.0</v>
      </c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H145-X33</f>
        <v>37544</v>
      </c>
      <c r="D11" s="24"/>
      <c r="E11" s="43">
        <v>2.0</v>
      </c>
      <c r="F11" s="56">
        <v>90.0</v>
      </c>
      <c r="G11" s="57"/>
      <c r="H11" s="148">
        <v>90.0</v>
      </c>
      <c r="I11" s="59"/>
      <c r="J11" s="130">
        <v>4288.0</v>
      </c>
      <c r="K11" s="24"/>
      <c r="L11" s="47">
        <v>174.0</v>
      </c>
      <c r="M11" s="48"/>
      <c r="N11" s="47">
        <v>4237.0</v>
      </c>
      <c r="O11" s="49"/>
      <c r="P11" s="72" t="s">
        <v>220</v>
      </c>
      <c r="Q11" s="51"/>
      <c r="R11" s="52">
        <v>2579.0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I145</f>
        <v>914</v>
      </c>
      <c r="D12" s="24"/>
      <c r="E12" s="43">
        <v>3.0</v>
      </c>
      <c r="F12" s="63">
        <v>90.0</v>
      </c>
      <c r="G12" s="64"/>
      <c r="H12" s="64"/>
      <c r="I12" s="64">
        <v>90.0</v>
      </c>
      <c r="J12" s="130" t="s">
        <v>221</v>
      </c>
      <c r="K12" s="24"/>
      <c r="L12" s="47"/>
      <c r="M12" s="196">
        <v>12.0</v>
      </c>
      <c r="N12" s="47">
        <v>4285.0</v>
      </c>
      <c r="O12" s="49"/>
      <c r="P12" s="72" t="s">
        <v>129</v>
      </c>
      <c r="Q12" s="51"/>
      <c r="R12" s="52">
        <v>346.0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3104</v>
      </c>
      <c r="D13" s="24"/>
      <c r="E13" s="43">
        <v>4.0</v>
      </c>
      <c r="F13" s="56">
        <v>10.0</v>
      </c>
      <c r="G13" s="64"/>
      <c r="H13" s="132">
        <v>10.0</v>
      </c>
      <c r="I13" s="65"/>
      <c r="J13" s="130">
        <v>4290.0</v>
      </c>
      <c r="K13" s="24"/>
      <c r="L13" s="48"/>
      <c r="M13" s="161">
        <v>500.0</v>
      </c>
      <c r="N13" s="47">
        <v>4286.0</v>
      </c>
      <c r="O13" s="49"/>
      <c r="P13" s="72" t="s">
        <v>222</v>
      </c>
      <c r="Q13" s="51"/>
      <c r="R13" s="52">
        <v>60.0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512</v>
      </c>
      <c r="D14" s="24"/>
      <c r="E14" s="43">
        <v>5.0</v>
      </c>
      <c r="F14" s="56">
        <v>9.0</v>
      </c>
      <c r="G14" s="64">
        <v>9.0</v>
      </c>
      <c r="H14" s="65"/>
      <c r="I14" s="65"/>
      <c r="J14" s="130">
        <v>4291.0</v>
      </c>
      <c r="K14" s="24"/>
      <c r="L14" s="47">
        <v>115.0</v>
      </c>
      <c r="M14" s="47"/>
      <c r="N14" s="47">
        <v>4092.0</v>
      </c>
      <c r="O14" s="49"/>
      <c r="P14" s="72" t="s">
        <v>48</v>
      </c>
      <c r="Q14" s="51"/>
      <c r="R14" s="52">
        <v>200.0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/>
      <c r="D15" s="24"/>
      <c r="E15" s="43">
        <v>6.0</v>
      </c>
      <c r="F15" s="56">
        <v>1051.0</v>
      </c>
      <c r="G15" s="64"/>
      <c r="H15" s="132">
        <v>1051.0</v>
      </c>
      <c r="I15" s="65"/>
      <c r="J15" s="130">
        <v>4292.0</v>
      </c>
      <c r="K15" s="24"/>
      <c r="L15" s="47">
        <v>1300.0</v>
      </c>
      <c r="M15" s="47"/>
      <c r="N15" s="47">
        <v>3991.0</v>
      </c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3436</v>
      </c>
      <c r="D16" s="24"/>
      <c r="E16" s="43">
        <v>7.0</v>
      </c>
      <c r="F16" s="216">
        <v>1000.0</v>
      </c>
      <c r="G16" s="182"/>
      <c r="H16" s="182">
        <v>1000.0</v>
      </c>
      <c r="I16" s="169"/>
      <c r="J16" s="155" t="s">
        <v>223</v>
      </c>
      <c r="K16" s="24"/>
      <c r="L16" s="47">
        <v>10.0</v>
      </c>
      <c r="M16" s="47"/>
      <c r="N16" s="47">
        <v>3875.0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3436</v>
      </c>
      <c r="D17" s="24"/>
      <c r="E17" s="43">
        <v>8.0</v>
      </c>
      <c r="F17" s="56">
        <v>1214.0</v>
      </c>
      <c r="G17" s="64">
        <v>1210.0</v>
      </c>
      <c r="H17" s="132">
        <v>4.0</v>
      </c>
      <c r="I17" s="65"/>
      <c r="J17" s="130">
        <v>4294.0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146.0</v>
      </c>
      <c r="G18" s="64"/>
      <c r="H18" s="132">
        <v>146.0</v>
      </c>
      <c r="I18" s="65"/>
      <c r="J18" s="130">
        <v>4295.0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1440.0</v>
      </c>
      <c r="G19" s="64"/>
      <c r="H19" s="132">
        <v>1440.0</v>
      </c>
      <c r="I19" s="64"/>
      <c r="J19" s="130">
        <v>4296.0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50624</v>
      </c>
      <c r="D20" s="24"/>
      <c r="E20" s="43">
        <v>11.0</v>
      </c>
      <c r="F20" s="56">
        <v>335.0</v>
      </c>
      <c r="G20" s="64"/>
      <c r="H20" s="132">
        <v>335.0</v>
      </c>
      <c r="I20" s="65"/>
      <c r="J20" s="130">
        <v>4297.0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38056</v>
      </c>
      <c r="D21" s="24"/>
      <c r="E21" s="43">
        <v>12.0</v>
      </c>
      <c r="F21" s="56">
        <v>337.0</v>
      </c>
      <c r="G21" s="65"/>
      <c r="H21" s="132">
        <v>337.0</v>
      </c>
      <c r="I21" s="65"/>
      <c r="J21" s="130">
        <v>4298.0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25003</v>
      </c>
      <c r="D22" s="24"/>
      <c r="E22" s="43">
        <v>13.0</v>
      </c>
      <c r="F22" s="56">
        <v>248.0</v>
      </c>
      <c r="G22" s="64">
        <v>248.0</v>
      </c>
      <c r="H22" s="64"/>
      <c r="I22" s="65"/>
      <c r="J22" s="130">
        <v>4299.0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29496.0</v>
      </c>
      <c r="D23" s="24"/>
      <c r="E23" s="43">
        <v>14.0</v>
      </c>
      <c r="F23" s="56">
        <v>417.0</v>
      </c>
      <c r="G23" s="64">
        <v>417.0</v>
      </c>
      <c r="H23" s="65"/>
      <c r="I23" s="65"/>
      <c r="J23" s="130">
        <v>4300.0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-4493</v>
      </c>
      <c r="D24" s="24"/>
      <c r="E24" s="43">
        <v>15.0</v>
      </c>
      <c r="F24" s="56">
        <v>352.0</v>
      </c>
      <c r="G24" s="64">
        <v>352.0</v>
      </c>
      <c r="H24" s="65"/>
      <c r="I24" s="65"/>
      <c r="J24" s="130">
        <v>4301.0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57.0</v>
      </c>
      <c r="G25" s="64">
        <v>57.0</v>
      </c>
      <c r="H25" s="248"/>
      <c r="I25" s="65"/>
      <c r="J25" s="130">
        <v>4302.0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F145</f>
        <v>54049</v>
      </c>
      <c r="D26" s="24"/>
      <c r="E26" s="43">
        <v>17.0</v>
      </c>
      <c r="F26" s="56">
        <v>442.0</v>
      </c>
      <c r="G26" s="64"/>
      <c r="H26" s="132">
        <v>442.0</v>
      </c>
      <c r="I26" s="65"/>
      <c r="J26" s="130">
        <v>4303.0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118.0</v>
      </c>
      <c r="D27" s="24"/>
      <c r="E27" s="43">
        <v>18.0</v>
      </c>
      <c r="F27" s="56">
        <v>48.0</v>
      </c>
      <c r="G27" s="64"/>
      <c r="H27" s="132">
        <v>48.0</v>
      </c>
      <c r="I27" s="65"/>
      <c r="J27" s="130">
        <v>4304.0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458.0423729</v>
      </c>
      <c r="D28" s="24"/>
      <c r="E28" s="43">
        <v>19.0</v>
      </c>
      <c r="F28" s="56">
        <v>82.0</v>
      </c>
      <c r="G28" s="64"/>
      <c r="H28" s="132">
        <v>82.0</v>
      </c>
      <c r="I28" s="65"/>
      <c r="J28" s="130">
        <v>4305.0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400.0</v>
      </c>
      <c r="G29" s="64">
        <v>400.0</v>
      </c>
      <c r="H29" s="65"/>
      <c r="I29" s="65"/>
      <c r="J29" s="130">
        <v>4306.0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120000</v>
      </c>
      <c r="D30" s="24"/>
      <c r="E30" s="43">
        <v>21.0</v>
      </c>
      <c r="F30" s="56">
        <v>40.0</v>
      </c>
      <c r="G30" s="93">
        <v>40.0</v>
      </c>
      <c r="H30" s="92"/>
      <c r="I30" s="93"/>
      <c r="J30" s="130">
        <v>4307.0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27979</v>
      </c>
      <c r="D31" s="24"/>
      <c r="E31" s="43">
        <v>22.0</v>
      </c>
      <c r="F31" s="56">
        <v>915.0</v>
      </c>
      <c r="G31" s="93">
        <v>910.0</v>
      </c>
      <c r="H31" s="135">
        <v>5.0</v>
      </c>
      <c r="I31" s="92"/>
      <c r="J31" s="130">
        <v>4308.0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3436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945.0</v>
      </c>
      <c r="G32" s="93"/>
      <c r="H32" s="135">
        <v>945.0</v>
      </c>
      <c r="I32" s="92"/>
      <c r="J32" s="130">
        <v>4309.0</v>
      </c>
      <c r="K32" s="24"/>
      <c r="L32" s="48"/>
      <c r="M32" s="48"/>
      <c r="N32" s="48"/>
      <c r="O32" s="98"/>
      <c r="P32" s="90" t="s">
        <v>37</v>
      </c>
      <c r="Q32" s="51"/>
      <c r="R32" s="99">
        <v>120000.0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99.0</v>
      </c>
      <c r="G33" s="93">
        <v>99.0</v>
      </c>
      <c r="H33" s="92"/>
      <c r="I33" s="92"/>
      <c r="J33" s="130">
        <v>4310.0</v>
      </c>
      <c r="K33" s="24"/>
      <c r="L33" s="104">
        <f t="shared" ref="L33:M33" si="2">sum(L10:L32)</f>
        <v>3104</v>
      </c>
      <c r="M33" s="104">
        <f t="shared" si="2"/>
        <v>512</v>
      </c>
      <c r="N33" s="104"/>
      <c r="O33" s="105"/>
      <c r="P33" s="85" t="s">
        <v>38</v>
      </c>
      <c r="Q33" s="51"/>
      <c r="R33" s="100"/>
      <c r="S33" s="52">
        <v>27979.0</v>
      </c>
      <c r="T33" s="101"/>
      <c r="U33" s="55"/>
      <c r="V33" s="24"/>
      <c r="W33" s="104">
        <f t="shared" ref="W33:X33" si="3">sum(W10:W32)</f>
        <v>0</v>
      </c>
      <c r="X33" s="104">
        <f t="shared" si="3"/>
        <v>1050</v>
      </c>
      <c r="Y33" s="104">
        <f>W33+X33</f>
        <v>1050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1821.0</v>
      </c>
      <c r="G34" s="93"/>
      <c r="H34" s="157">
        <v>1881.0</v>
      </c>
      <c r="I34" s="92"/>
      <c r="J34" s="130" t="s">
        <v>224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1314.0</v>
      </c>
      <c r="G35" s="93">
        <v>1314.0</v>
      </c>
      <c r="H35" s="93"/>
      <c r="I35" s="92"/>
      <c r="J35" s="130">
        <v>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238.0</v>
      </c>
      <c r="G36" s="93">
        <v>238.0</v>
      </c>
      <c r="H36" s="93"/>
      <c r="I36" s="92"/>
      <c r="J36" s="130">
        <v>4313.0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539.0</v>
      </c>
      <c r="G37" s="93">
        <v>539.0</v>
      </c>
      <c r="H37" s="92"/>
      <c r="I37" s="92"/>
      <c r="J37" s="130">
        <v>4314.0</v>
      </c>
      <c r="K37" s="24"/>
      <c r="L37" s="112"/>
      <c r="M37" s="117"/>
      <c r="N37" s="117">
        <v>300.0</v>
      </c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1134.0</v>
      </c>
      <c r="G38" s="93"/>
      <c r="H38" s="135">
        <v>1134.0</v>
      </c>
      <c r="I38" s="92"/>
      <c r="J38" s="130">
        <v>4315.0</v>
      </c>
      <c r="K38" s="24"/>
      <c r="L38" s="112"/>
      <c r="M38" s="117"/>
      <c r="N38" s="117">
        <v>500.0</v>
      </c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2064.0</v>
      </c>
      <c r="G39" s="93"/>
      <c r="H39" s="135">
        <v>2064.0</v>
      </c>
      <c r="I39" s="92"/>
      <c r="J39" s="130">
        <v>4316.0</v>
      </c>
      <c r="K39" s="24"/>
      <c r="L39" s="112"/>
      <c r="M39" s="117">
        <v>31.0</v>
      </c>
      <c r="N39" s="117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199.0</v>
      </c>
      <c r="G40" s="92"/>
      <c r="H40" s="135">
        <v>199.0</v>
      </c>
      <c r="I40" s="92"/>
      <c r="J40" s="130">
        <v>4317.0</v>
      </c>
      <c r="K40" s="24"/>
      <c r="L40" s="112"/>
      <c r="M40" s="117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230.0</v>
      </c>
      <c r="G41" s="92"/>
      <c r="H41" s="135">
        <v>230.0</v>
      </c>
      <c r="I41" s="92"/>
      <c r="J41" s="130">
        <v>4318.0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737.0</v>
      </c>
      <c r="G42" s="93"/>
      <c r="H42" s="135">
        <v>737.0</v>
      </c>
      <c r="I42" s="92"/>
      <c r="J42" s="130">
        <v>4319.0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136.0</v>
      </c>
      <c r="G43" s="93">
        <v>6.0</v>
      </c>
      <c r="H43" s="135">
        <v>130.0</v>
      </c>
      <c r="I43" s="92"/>
      <c r="J43" s="130">
        <v>4320.0</v>
      </c>
      <c r="K43" s="24"/>
      <c r="L43" s="112"/>
      <c r="M43" s="112"/>
      <c r="N43" s="112"/>
      <c r="O43" s="112"/>
      <c r="P43" s="137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100.0</v>
      </c>
      <c r="G44" s="93">
        <v>100.0</v>
      </c>
      <c r="H44" s="93"/>
      <c r="I44" s="92"/>
      <c r="J44" s="130" t="s">
        <v>225</v>
      </c>
      <c r="K44" s="24"/>
      <c r="L44" s="112"/>
      <c r="M44" s="117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10.0</v>
      </c>
      <c r="G45" s="93">
        <v>10.0</v>
      </c>
      <c r="H45" s="92"/>
      <c r="I45" s="92"/>
      <c r="J45" s="130">
        <v>4322.0</v>
      </c>
      <c r="K45" s="24"/>
      <c r="L45" s="112"/>
      <c r="M45" s="249">
        <v>500.0</v>
      </c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2560.0</v>
      </c>
      <c r="G46" s="93"/>
      <c r="H46" s="135">
        <v>2000.0</v>
      </c>
      <c r="I46" s="93">
        <v>560.0</v>
      </c>
      <c r="J46" s="130">
        <v>4323.0</v>
      </c>
      <c r="K46" s="24"/>
      <c r="L46" s="112"/>
      <c r="M46" s="249">
        <v>300.0</v>
      </c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48.0</v>
      </c>
      <c r="G47" s="93">
        <v>48.0</v>
      </c>
      <c r="H47" s="93"/>
      <c r="I47" s="92"/>
      <c r="J47" s="130">
        <v>4324.0</v>
      </c>
      <c r="K47" s="24"/>
      <c r="L47" s="112"/>
      <c r="M47" s="249">
        <v>31.0</v>
      </c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170.0</v>
      </c>
      <c r="G48" s="93">
        <v>170.0</v>
      </c>
      <c r="H48" s="92"/>
      <c r="I48" s="92"/>
      <c r="J48" s="130">
        <v>4325.0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3350.0</v>
      </c>
      <c r="G49" s="92"/>
      <c r="H49" s="135">
        <v>3350.0</v>
      </c>
      <c r="I49" s="250"/>
      <c r="J49" s="251" t="s">
        <v>226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220">
        <v>70.0</v>
      </c>
      <c r="G50" s="92"/>
      <c r="H50" s="135">
        <v>70.0</v>
      </c>
      <c r="I50" s="92"/>
      <c r="J50" s="130">
        <v>4327.0</v>
      </c>
      <c r="K50" s="24"/>
      <c r="L50" s="112"/>
      <c r="M50" s="215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759.0</v>
      </c>
      <c r="G51" s="93">
        <v>759.0</v>
      </c>
      <c r="H51" s="92"/>
      <c r="I51" s="92"/>
      <c r="J51" s="130">
        <v>4328.0</v>
      </c>
      <c r="K51" s="24"/>
      <c r="L51" s="112"/>
      <c r="M51" s="252">
        <v>1954.0</v>
      </c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270.0</v>
      </c>
      <c r="G52" s="92"/>
      <c r="H52" s="135">
        <v>270.0</v>
      </c>
      <c r="I52" s="92"/>
      <c r="J52" s="130">
        <v>4329.0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233.0</v>
      </c>
      <c r="G53" s="92"/>
      <c r="H53" s="135">
        <v>233.0</v>
      </c>
      <c r="I53" s="92"/>
      <c r="J53" s="130">
        <v>4330.0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260.0</v>
      </c>
      <c r="G54" s="93">
        <v>260.0</v>
      </c>
      <c r="H54" s="92"/>
      <c r="I54" s="92"/>
      <c r="J54" s="130">
        <v>4331.0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10.0</v>
      </c>
      <c r="G55" s="93">
        <v>10.0</v>
      </c>
      <c r="H55" s="92"/>
      <c r="I55" s="92"/>
      <c r="J55" s="130">
        <v>4332.0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246.0</v>
      </c>
      <c r="G56" s="93">
        <v>246.0</v>
      </c>
      <c r="H56" s="92"/>
      <c r="I56" s="92"/>
      <c r="J56" s="130">
        <v>4333.0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290.0</v>
      </c>
      <c r="G57" s="93">
        <v>290.0</v>
      </c>
      <c r="H57" s="92"/>
      <c r="I57" s="92"/>
      <c r="J57" s="130">
        <v>4334.0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1689.0</v>
      </c>
      <c r="G58" s="92"/>
      <c r="H58" s="135">
        <v>1689.0</v>
      </c>
      <c r="I58" s="92"/>
      <c r="J58" s="130">
        <v>4335.0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536.0</v>
      </c>
      <c r="G59" s="93">
        <v>536.0</v>
      </c>
      <c r="H59" s="92"/>
      <c r="I59" s="92"/>
      <c r="J59" s="130">
        <v>4336.0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1542.0</v>
      </c>
      <c r="G60" s="92"/>
      <c r="H60" s="135">
        <v>1542.0</v>
      </c>
      <c r="I60" s="92"/>
      <c r="J60" s="130">
        <v>4337.0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399.0</v>
      </c>
      <c r="G61" s="92"/>
      <c r="H61" s="135">
        <v>399.0</v>
      </c>
      <c r="I61" s="92"/>
      <c r="J61" s="130">
        <v>4338.0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373.0</v>
      </c>
      <c r="G62" s="92"/>
      <c r="H62" s="135">
        <v>373.0</v>
      </c>
      <c r="I62" s="92"/>
      <c r="J62" s="130">
        <v>4339.0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64.0</v>
      </c>
      <c r="G63" s="92"/>
      <c r="H63" s="135">
        <v>64.0</v>
      </c>
      <c r="I63" s="92"/>
      <c r="J63" s="130">
        <v>4340.0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450.0</v>
      </c>
      <c r="G64" s="93">
        <v>450.0</v>
      </c>
      <c r="H64" s="92"/>
      <c r="I64" s="92"/>
      <c r="J64" s="130">
        <v>4341.0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26.0</v>
      </c>
      <c r="G65" s="93">
        <v>26.0</v>
      </c>
      <c r="H65" s="92"/>
      <c r="I65" s="92"/>
      <c r="J65" s="130">
        <v>4342.0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236.0</v>
      </c>
      <c r="G66" s="92"/>
      <c r="H66" s="135">
        <v>236.0</v>
      </c>
      <c r="I66" s="92"/>
      <c r="J66" s="130">
        <v>4343.0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110.0</v>
      </c>
      <c r="G67" s="93">
        <v>110.0</v>
      </c>
      <c r="H67" s="92"/>
      <c r="I67" s="92"/>
      <c r="J67" s="130">
        <v>4344.0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116.0</v>
      </c>
      <c r="G68" s="93">
        <v>116.0</v>
      </c>
      <c r="H68" s="92"/>
      <c r="I68" s="92"/>
      <c r="J68" s="130">
        <v>4345.0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204.0</v>
      </c>
      <c r="G69" s="92"/>
      <c r="H69" s="135">
        <v>204.0</v>
      </c>
      <c r="I69" s="92"/>
      <c r="J69" s="130">
        <v>4346.0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437.0</v>
      </c>
      <c r="G70" s="92"/>
      <c r="H70" s="135">
        <v>437.0</v>
      </c>
      <c r="I70" s="92"/>
      <c r="J70" s="130">
        <v>4347.0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93.0</v>
      </c>
      <c r="G71" s="92"/>
      <c r="H71" s="135">
        <v>93.0</v>
      </c>
      <c r="I71" s="92"/>
      <c r="J71" s="130">
        <v>4348.0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442.0</v>
      </c>
      <c r="G72" s="92"/>
      <c r="H72" s="135">
        <v>442.0</v>
      </c>
      <c r="I72" s="92"/>
      <c r="J72" s="130">
        <v>4349.0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40.0</v>
      </c>
      <c r="G73" s="93">
        <v>40.0</v>
      </c>
      <c r="H73" s="92"/>
      <c r="I73" s="92"/>
      <c r="J73" s="130">
        <v>4350.0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90.0</v>
      </c>
      <c r="G74" s="93">
        <v>90.0</v>
      </c>
      <c r="H74" s="92"/>
      <c r="I74" s="92"/>
      <c r="J74" s="130">
        <v>4351.0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200.0</v>
      </c>
      <c r="G75" s="92"/>
      <c r="H75" s="135">
        <v>200.0</v>
      </c>
      <c r="I75" s="92"/>
      <c r="J75" s="130">
        <v>4352.0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182.0</v>
      </c>
      <c r="G76" s="93">
        <v>182.0</v>
      </c>
      <c r="H76" s="152"/>
      <c r="I76" s="92"/>
      <c r="J76" s="130">
        <v>4353.0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1340.0</v>
      </c>
      <c r="G77" s="92"/>
      <c r="H77" s="135">
        <v>1750.0</v>
      </c>
      <c r="I77" s="92"/>
      <c r="J77" s="130" t="s">
        <v>227</v>
      </c>
      <c r="K77" s="24"/>
      <c r="L77" s="117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230.0</v>
      </c>
      <c r="G78" s="93">
        <v>230.0</v>
      </c>
      <c r="H78" s="92"/>
      <c r="I78" s="92"/>
      <c r="J78" s="130">
        <v>4355.0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1163.0</v>
      </c>
      <c r="G79" s="92"/>
      <c r="H79" s="135">
        <v>1163.0</v>
      </c>
      <c r="I79" s="92"/>
      <c r="J79" s="130">
        <v>4356.0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28.0</v>
      </c>
      <c r="G80" s="92"/>
      <c r="H80" s="135">
        <v>28.0</v>
      </c>
      <c r="I80" s="92"/>
      <c r="J80" s="130">
        <v>4357.0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307.0</v>
      </c>
      <c r="G81" s="92"/>
      <c r="H81" s="135">
        <v>307.0</v>
      </c>
      <c r="I81" s="92"/>
      <c r="J81" s="130">
        <v>4358.0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56">
        <v>139.0</v>
      </c>
      <c r="G82" s="92"/>
      <c r="H82" s="135">
        <v>139.0</v>
      </c>
      <c r="I82" s="92"/>
      <c r="J82" s="130">
        <v>4359.0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56">
        <v>25.0</v>
      </c>
      <c r="G83" s="93">
        <v>25.0</v>
      </c>
      <c r="H83" s="92"/>
      <c r="I83" s="92"/>
      <c r="J83" s="130">
        <v>4360.0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56">
        <v>23.0</v>
      </c>
      <c r="G84" s="93"/>
      <c r="H84" s="135">
        <v>23.0</v>
      </c>
      <c r="I84" s="92"/>
      <c r="J84" s="130">
        <v>4361.0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56">
        <v>209.0</v>
      </c>
      <c r="G85" s="93">
        <v>209.0</v>
      </c>
      <c r="H85" s="92"/>
      <c r="I85" s="92"/>
      <c r="J85" s="130">
        <v>4362.0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56">
        <v>239.0</v>
      </c>
      <c r="G86" s="93">
        <v>239.0</v>
      </c>
      <c r="H86" s="92"/>
      <c r="I86" s="92"/>
      <c r="J86" s="130">
        <v>4363.0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56">
        <v>1650.0</v>
      </c>
      <c r="G87" s="92"/>
      <c r="H87" s="135">
        <v>1650.0</v>
      </c>
      <c r="I87" s="92"/>
      <c r="J87" s="130">
        <v>4364.0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56">
        <v>629.0</v>
      </c>
      <c r="G88" s="93">
        <v>629.0</v>
      </c>
      <c r="H88" s="92"/>
      <c r="I88" s="92"/>
      <c r="J88" s="130">
        <v>4365.0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56">
        <v>602.0</v>
      </c>
      <c r="G89" s="92"/>
      <c r="H89" s="135">
        <v>602.0</v>
      </c>
      <c r="I89" s="92"/>
      <c r="J89" s="130">
        <v>4366.0</v>
      </c>
      <c r="K89" s="253" t="s">
        <v>205</v>
      </c>
      <c r="L89" s="253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56">
        <v>96.0</v>
      </c>
      <c r="G90" s="93">
        <v>96.0</v>
      </c>
      <c r="H90" s="92"/>
      <c r="I90" s="92"/>
      <c r="J90" s="130">
        <v>4367.0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56">
        <v>100.0</v>
      </c>
      <c r="G91" s="93">
        <v>100.0</v>
      </c>
      <c r="H91" s="92"/>
      <c r="I91" s="92"/>
      <c r="J91" s="130">
        <v>4368.0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56">
        <v>389.0</v>
      </c>
      <c r="G92" s="93">
        <v>389.0</v>
      </c>
      <c r="H92" s="92"/>
      <c r="I92" s="92"/>
      <c r="J92" s="130">
        <v>4369.0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56">
        <v>60.0</v>
      </c>
      <c r="G93" s="93">
        <v>60.0</v>
      </c>
      <c r="H93" s="92"/>
      <c r="I93" s="92"/>
      <c r="J93" s="130">
        <v>4370.0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216">
        <v>97.0</v>
      </c>
      <c r="G94" s="173"/>
      <c r="H94" s="136">
        <v>97.0</v>
      </c>
      <c r="I94" s="173"/>
      <c r="J94" s="155" t="s">
        <v>228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158">
        <v>86.0</v>
      </c>
      <c r="F95" s="56">
        <v>44.0</v>
      </c>
      <c r="G95" s="92"/>
      <c r="H95" s="135">
        <v>44.0</v>
      </c>
      <c r="I95" s="92"/>
      <c r="J95" s="130">
        <v>4372.0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56">
        <v>77.0</v>
      </c>
      <c r="G96" s="92"/>
      <c r="H96" s="135">
        <v>77.0</v>
      </c>
      <c r="I96" s="92"/>
      <c r="J96" s="130">
        <v>4373.0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56">
        <v>322.0</v>
      </c>
      <c r="G97" s="92"/>
      <c r="H97" s="135">
        <v>322.0</v>
      </c>
      <c r="I97" s="92"/>
      <c r="J97" s="130">
        <v>4374.0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56">
        <v>217.0</v>
      </c>
      <c r="G98" s="93">
        <v>217.0</v>
      </c>
      <c r="H98" s="92"/>
      <c r="I98" s="92"/>
      <c r="J98" s="130">
        <v>4375.0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56">
        <v>418.0</v>
      </c>
      <c r="G99" s="92"/>
      <c r="H99" s="135">
        <v>418.0</v>
      </c>
      <c r="I99" s="92"/>
      <c r="J99" s="130">
        <v>4376.0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56">
        <v>180.0</v>
      </c>
      <c r="G100" s="92"/>
      <c r="H100" s="135">
        <v>398.0</v>
      </c>
      <c r="I100" s="92"/>
      <c r="J100" s="130" t="s">
        <v>229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56">
        <v>258.0</v>
      </c>
      <c r="G101" s="92"/>
      <c r="H101" s="135">
        <v>258.0</v>
      </c>
      <c r="I101" s="92"/>
      <c r="J101" s="130">
        <v>4378.0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56">
        <v>1896.0</v>
      </c>
      <c r="G102" s="92"/>
      <c r="H102" s="135">
        <v>1896.0</v>
      </c>
      <c r="I102" s="92"/>
      <c r="J102" s="130">
        <v>4379.0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56">
        <v>54.0</v>
      </c>
      <c r="G103" s="93">
        <v>31.0</v>
      </c>
      <c r="H103" s="135">
        <v>23.0</v>
      </c>
      <c r="I103" s="92"/>
      <c r="J103" s="130">
        <v>4380.0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56">
        <v>142.0</v>
      </c>
      <c r="G104" s="92"/>
      <c r="H104" s="135">
        <v>142.0</v>
      </c>
      <c r="I104" s="92"/>
      <c r="J104" s="130">
        <v>4381.0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56">
        <v>2079.0</v>
      </c>
      <c r="G105" s="92"/>
      <c r="H105" s="135">
        <v>2079.0</v>
      </c>
      <c r="I105" s="92"/>
      <c r="J105" s="130">
        <v>4382.0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56">
        <v>460.0</v>
      </c>
      <c r="G106" s="93">
        <v>460.0</v>
      </c>
      <c r="H106" s="92"/>
      <c r="I106" s="92"/>
      <c r="J106" s="130">
        <v>4383.0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56">
        <v>63.0</v>
      </c>
      <c r="G107" s="93">
        <v>63.0</v>
      </c>
      <c r="H107" s="92"/>
      <c r="I107" s="92"/>
      <c r="J107" s="130">
        <v>4384.0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56">
        <v>338.0</v>
      </c>
      <c r="G108" s="92"/>
      <c r="H108" s="135">
        <v>427.0</v>
      </c>
      <c r="I108" s="92"/>
      <c r="J108" s="130" t="s">
        <v>230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56">
        <v>239.0</v>
      </c>
      <c r="G109" s="92"/>
      <c r="H109" s="135">
        <v>239.0</v>
      </c>
      <c r="I109" s="92"/>
      <c r="J109" s="130">
        <v>4386.0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56">
        <v>230.0</v>
      </c>
      <c r="G110" s="92"/>
      <c r="H110" s="135">
        <v>230.0</v>
      </c>
      <c r="I110" s="92"/>
      <c r="J110" s="130">
        <v>4387.0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56">
        <v>506.0</v>
      </c>
      <c r="G111" s="93">
        <v>500.0</v>
      </c>
      <c r="H111" s="135">
        <v>6.0</v>
      </c>
      <c r="I111" s="92"/>
      <c r="J111" s="130">
        <v>4388.0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56">
        <v>910.0</v>
      </c>
      <c r="G112" s="93">
        <v>910.0</v>
      </c>
      <c r="H112" s="92"/>
      <c r="I112" s="92"/>
      <c r="J112" s="130">
        <v>4389.0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56">
        <v>90.0</v>
      </c>
      <c r="G113" s="93">
        <v>90.0</v>
      </c>
      <c r="H113" s="92"/>
      <c r="I113" s="92"/>
      <c r="J113" s="130">
        <v>4390.0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56">
        <v>288.0</v>
      </c>
      <c r="G114" s="92"/>
      <c r="H114" s="135">
        <v>288.0</v>
      </c>
      <c r="I114" s="92"/>
      <c r="J114" s="130">
        <v>4391.0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56">
        <v>460.0</v>
      </c>
      <c r="G115" s="93">
        <v>460.0</v>
      </c>
      <c r="H115" s="92"/>
      <c r="I115" s="92"/>
      <c r="J115" s="130">
        <v>4392.0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56">
        <v>75.0</v>
      </c>
      <c r="G116" s="93">
        <v>40.0</v>
      </c>
      <c r="H116" s="135">
        <v>35.0</v>
      </c>
      <c r="I116" s="92"/>
      <c r="J116" s="130">
        <v>4393.0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56">
        <v>264.0</v>
      </c>
      <c r="G117" s="93"/>
      <c r="H117" s="92"/>
      <c r="I117" s="93">
        <v>264.0</v>
      </c>
      <c r="J117" s="130" t="s">
        <v>231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56">
        <v>145.0</v>
      </c>
      <c r="G118" s="93">
        <v>145.0</v>
      </c>
      <c r="H118" s="92"/>
      <c r="I118" s="92"/>
      <c r="J118" s="130">
        <v>4395.0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56">
        <v>49.0</v>
      </c>
      <c r="G119" s="93">
        <v>49.0</v>
      </c>
      <c r="H119" s="92"/>
      <c r="I119" s="92"/>
      <c r="J119" s="130">
        <v>4396.0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56">
        <v>221.0</v>
      </c>
      <c r="G120" s="92"/>
      <c r="H120" s="135">
        <v>221.0</v>
      </c>
      <c r="I120" s="92"/>
      <c r="J120" s="130">
        <v>4397.0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56">
        <v>99.0</v>
      </c>
      <c r="G121" s="92"/>
      <c r="H121" s="135">
        <v>99.0</v>
      </c>
      <c r="I121" s="92"/>
      <c r="J121" s="130">
        <v>4398.0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56">
        <v>56.0</v>
      </c>
      <c r="G122" s="92"/>
      <c r="H122" s="135">
        <v>56.0</v>
      </c>
      <c r="I122" s="92"/>
      <c r="J122" s="130">
        <v>4399.0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56">
        <v>918.0</v>
      </c>
      <c r="G123" s="92"/>
      <c r="H123" s="135">
        <v>918.0</v>
      </c>
      <c r="I123" s="92"/>
      <c r="J123" s="130">
        <v>4400.0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56">
        <v>109.0</v>
      </c>
      <c r="G124" s="92"/>
      <c r="H124" s="135">
        <v>109.0</v>
      </c>
      <c r="I124" s="92"/>
      <c r="J124" s="130">
        <v>4401.0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56">
        <v>85.0</v>
      </c>
      <c r="G125" s="92"/>
      <c r="H125" s="135">
        <v>85.0</v>
      </c>
      <c r="I125" s="92"/>
      <c r="J125" s="130">
        <v>4402.0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56">
        <v>30.0</v>
      </c>
      <c r="G126" s="92"/>
      <c r="H126" s="135">
        <v>30.0</v>
      </c>
      <c r="I126" s="250"/>
      <c r="J126" s="251">
        <v>4403.0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56">
        <v>523.0</v>
      </c>
      <c r="G127" s="92"/>
      <c r="H127" s="135">
        <v>523.0</v>
      </c>
      <c r="I127" s="92"/>
      <c r="J127" s="130">
        <v>4404.0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120"/>
      <c r="G128" s="92"/>
      <c r="H128" s="92"/>
      <c r="I128" s="92"/>
      <c r="J128" s="130">
        <v>4405.0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20"/>
      <c r="G129" s="92"/>
      <c r="H129" s="92"/>
      <c r="I129" s="92"/>
      <c r="J129" s="130">
        <v>4406.0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21"/>
      <c r="G130" s="61"/>
      <c r="H130" s="61"/>
      <c r="I130" s="61"/>
      <c r="J130" s="130">
        <v>4407.0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21"/>
      <c r="G131" s="61"/>
      <c r="H131" s="61"/>
      <c r="I131" s="61"/>
      <c r="J131" s="130">
        <v>4408.0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/>
      <c r="F132" s="121"/>
      <c r="G132" s="61"/>
      <c r="H132" s="61"/>
      <c r="I132" s="61"/>
      <c r="J132" s="4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/>
      <c r="F133" s="121"/>
      <c r="G133" s="61"/>
      <c r="H133" s="61"/>
      <c r="I133" s="61"/>
      <c r="J133" s="4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/>
      <c r="F134" s="121"/>
      <c r="G134" s="61"/>
      <c r="H134" s="61"/>
      <c r="I134" s="61"/>
      <c r="J134" s="4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/>
      <c r="F135" s="121"/>
      <c r="G135" s="61"/>
      <c r="H135" s="61"/>
      <c r="I135" s="61"/>
      <c r="J135" s="4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/>
      <c r="F136" s="121"/>
      <c r="G136" s="61"/>
      <c r="H136" s="61"/>
      <c r="I136" s="61"/>
      <c r="J136" s="4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43"/>
      <c r="F137" s="121"/>
      <c r="G137" s="61"/>
      <c r="H137" s="61"/>
      <c r="I137" s="61"/>
      <c r="J137" s="46"/>
    </row>
    <row r="138" ht="14.25" customHeight="1">
      <c r="E138" s="122"/>
      <c r="F138" s="121"/>
      <c r="G138" s="61"/>
      <c r="H138" s="61"/>
      <c r="I138" s="61"/>
      <c r="J138" s="46"/>
    </row>
    <row r="139" ht="14.25" customHeight="1">
      <c r="E139" s="124"/>
      <c r="F139" s="121"/>
      <c r="G139" s="61"/>
      <c r="H139" s="61"/>
      <c r="I139" s="61"/>
      <c r="J139" s="46"/>
    </row>
    <row r="140" ht="14.25" customHeight="1">
      <c r="E140" s="8"/>
      <c r="F140" s="121"/>
      <c r="G140" s="61"/>
      <c r="H140" s="54"/>
      <c r="I140" s="61"/>
      <c r="J140" s="46"/>
    </row>
    <row r="141" ht="14.25" customHeight="1">
      <c r="E141" s="8"/>
      <c r="F141" s="121"/>
      <c r="G141" s="61"/>
      <c r="H141" s="54"/>
      <c r="I141" s="61"/>
      <c r="J141" s="46"/>
    </row>
    <row r="142" ht="14.25" customHeight="1">
      <c r="E142" s="8"/>
      <c r="F142" s="121"/>
      <c r="G142" s="61"/>
      <c r="H142" s="61"/>
      <c r="I142" s="61"/>
      <c r="J142" s="46"/>
    </row>
    <row r="143" ht="14.25" customHeight="1">
      <c r="E143" s="8"/>
      <c r="F143" s="121"/>
      <c r="G143" s="61"/>
      <c r="H143" s="61"/>
      <c r="I143" s="61"/>
      <c r="J143" s="46"/>
    </row>
    <row r="144" ht="14.25" customHeight="1">
      <c r="E144" s="8"/>
      <c r="F144" s="121"/>
      <c r="G144" s="61"/>
      <c r="H144" s="61"/>
      <c r="I144" s="61"/>
      <c r="J144" s="46"/>
    </row>
    <row r="145" ht="14.25" customHeight="1">
      <c r="E145" s="1"/>
      <c r="F145" s="123">
        <f t="shared" ref="F145:I145" si="4">SUM(F10:F144)</f>
        <v>54049</v>
      </c>
      <c r="G145" s="123">
        <f t="shared" si="4"/>
        <v>15318</v>
      </c>
      <c r="H145" s="123">
        <f t="shared" si="4"/>
        <v>38594</v>
      </c>
      <c r="I145" s="123">
        <f t="shared" si="4"/>
        <v>914</v>
      </c>
      <c r="J145" s="1"/>
    </row>
    <row r="146" ht="14.25" customHeight="1">
      <c r="E146" s="1"/>
      <c r="F146" s="124"/>
      <c r="G146" s="124"/>
      <c r="H146" s="124"/>
      <c r="I146" s="125"/>
      <c r="J146" s="1"/>
    </row>
    <row r="147" ht="14.25" customHeight="1">
      <c r="E147" s="1"/>
      <c r="F147" s="8"/>
      <c r="G147" s="8"/>
      <c r="H147" s="8"/>
      <c r="I147" s="8"/>
      <c r="J147" s="1"/>
    </row>
    <row r="148" ht="14.25" customHeight="1">
      <c r="E148" s="1"/>
      <c r="F148" s="8"/>
      <c r="G148" s="8"/>
      <c r="H148" s="8"/>
      <c r="I148" s="8"/>
      <c r="J148" s="1"/>
    </row>
    <row r="149" ht="14.25" customHeight="1">
      <c r="E149" s="1"/>
      <c r="F149" s="8"/>
      <c r="G149" s="8"/>
      <c r="H149" s="8"/>
      <c r="I149" s="8"/>
      <c r="J149" s="1"/>
    </row>
    <row r="150" ht="14.25" customHeight="1">
      <c r="E150" s="1"/>
      <c r="F150" s="8"/>
      <c r="G150" s="8"/>
      <c r="H150" s="8"/>
      <c r="I150" s="8"/>
      <c r="J150" s="1"/>
    </row>
    <row r="151" ht="14.25" customHeight="1">
      <c r="E151" s="1"/>
      <c r="F151" s="8"/>
      <c r="G151" s="8"/>
      <c r="H151" s="8"/>
      <c r="I151" s="8"/>
      <c r="J151" s="1"/>
    </row>
    <row r="152" ht="14.25" customHeight="1">
      <c r="E152" s="1"/>
      <c r="F152" s="1"/>
      <c r="G152" s="1"/>
      <c r="H152" s="1"/>
      <c r="I152" s="1"/>
      <c r="J152" s="1"/>
    </row>
    <row r="153" ht="14.25" customHeight="1">
      <c r="E153" s="1"/>
      <c r="F153" s="1"/>
      <c r="G153" s="1"/>
      <c r="H153" s="1"/>
      <c r="I153" s="1"/>
      <c r="J153" s="1"/>
    </row>
    <row r="154" ht="14.25" customHeight="1">
      <c r="E154" s="1"/>
      <c r="F154" s="1"/>
      <c r="G154" s="1"/>
      <c r="H154" s="1"/>
      <c r="I154" s="1"/>
      <c r="J154" s="1"/>
    </row>
    <row r="155" ht="14.25" customHeight="1">
      <c r="E155" s="1"/>
      <c r="F155" s="1"/>
      <c r="G155" s="1"/>
      <c r="H155" s="1"/>
      <c r="I155" s="1"/>
      <c r="J155" s="1"/>
    </row>
    <row r="156" ht="14.25" customHeight="1">
      <c r="E156" s="1"/>
      <c r="F156" s="1"/>
      <c r="G156" s="1"/>
      <c r="H156" s="1"/>
      <c r="I156" s="1"/>
      <c r="J156" s="1"/>
    </row>
    <row r="157" ht="14.25" customHeight="1">
      <c r="E157" s="1"/>
      <c r="F157" s="1"/>
      <c r="G157" s="1"/>
      <c r="H157" s="1"/>
      <c r="I157" s="1"/>
      <c r="J157" s="1"/>
    </row>
    <row r="158" ht="14.25" customHeight="1">
      <c r="E158" s="1"/>
      <c r="F158" s="1"/>
      <c r="G158" s="126"/>
      <c r="H158" s="127"/>
      <c r="I158" s="1"/>
      <c r="J158" s="1"/>
    </row>
    <row r="159" ht="14.25" customHeight="1">
      <c r="E159" s="1"/>
      <c r="F159" s="1"/>
      <c r="G159" s="1"/>
      <c r="H159" s="1"/>
      <c r="I159" s="1"/>
      <c r="J159" s="1"/>
    </row>
    <row r="160" ht="14.25" customHeight="1">
      <c r="E160" s="1"/>
      <c r="F160" s="1"/>
      <c r="G160" s="1"/>
      <c r="H160" s="1"/>
      <c r="I160" s="1"/>
      <c r="J160" s="1"/>
    </row>
    <row r="161" ht="14.25" customHeight="1">
      <c r="E161" s="1"/>
      <c r="F161" s="1"/>
      <c r="G161" s="1"/>
      <c r="H161" s="1"/>
      <c r="I161" s="1"/>
      <c r="J161" s="1"/>
    </row>
    <row r="162" ht="14.25" customHeight="1">
      <c r="E162" s="1"/>
      <c r="F162" s="1"/>
      <c r="G162" s="1"/>
      <c r="H162" s="1"/>
      <c r="I162" s="1"/>
      <c r="J162" s="1"/>
    </row>
    <row r="163" ht="14.25" customHeight="1">
      <c r="E163" s="1"/>
      <c r="F163" s="1"/>
      <c r="G163" s="1"/>
      <c r="H163" s="1"/>
      <c r="I163" s="1"/>
      <c r="J163" s="1"/>
    </row>
    <row r="164" ht="14.25" customHeight="1">
      <c r="E164" s="1"/>
      <c r="F164" s="1"/>
      <c r="G164" s="1"/>
      <c r="H164" s="1"/>
      <c r="I164" s="1"/>
      <c r="J164" s="1"/>
    </row>
    <row r="165" ht="14.25" customHeight="1">
      <c r="E165" s="1"/>
      <c r="F165" s="1"/>
      <c r="G165" s="1"/>
      <c r="H165" s="1"/>
      <c r="I165" s="1"/>
      <c r="J165" s="1"/>
    </row>
    <row r="166" ht="14.25" customHeight="1">
      <c r="E166" s="1"/>
      <c r="F166" s="1"/>
      <c r="G166" s="1"/>
      <c r="H166" s="1"/>
      <c r="I166" s="1"/>
      <c r="J166" s="1"/>
    </row>
    <row r="167" ht="14.25" customHeight="1">
      <c r="E167" s="1"/>
      <c r="F167" s="1"/>
      <c r="G167" s="1"/>
      <c r="H167" s="1"/>
      <c r="I167" s="1"/>
      <c r="J167" s="1"/>
    </row>
    <row r="168" ht="14.25" customHeight="1">
      <c r="E168" s="1"/>
      <c r="F168" s="1"/>
      <c r="G168" s="1"/>
      <c r="H168" s="1"/>
      <c r="I168" s="1"/>
      <c r="J168" s="1"/>
    </row>
    <row r="169" ht="14.25" customHeight="1">
      <c r="E169" s="1"/>
      <c r="F169" s="1"/>
      <c r="G169" s="1"/>
      <c r="H169" s="1"/>
      <c r="I169" s="1"/>
      <c r="J169" s="1"/>
    </row>
    <row r="170" ht="14.25" customHeight="1">
      <c r="E170" s="1"/>
      <c r="F170" s="1"/>
      <c r="G170" s="1"/>
      <c r="H170" s="1"/>
      <c r="I170" s="1"/>
      <c r="J170" s="1"/>
    </row>
    <row r="171" ht="14.25" customHeight="1">
      <c r="E171" s="1"/>
      <c r="F171" s="1"/>
      <c r="G171" s="1"/>
      <c r="H171" s="1"/>
      <c r="I171" s="1"/>
      <c r="J171" s="1"/>
    </row>
    <row r="172" ht="14.25" customHeight="1">
      <c r="E172" s="1"/>
      <c r="F172" s="1"/>
      <c r="G172" s="1"/>
      <c r="H172" s="1"/>
      <c r="I172" s="1"/>
      <c r="J172" s="1"/>
    </row>
    <row r="173" ht="14.25" customHeight="1">
      <c r="E173" s="1"/>
      <c r="F173" s="1"/>
      <c r="G173" s="1"/>
      <c r="H173" s="1"/>
      <c r="I173" s="1"/>
      <c r="J173" s="1"/>
    </row>
    <row r="174" ht="14.25" customHeight="1">
      <c r="E174" s="1"/>
      <c r="F174" s="1"/>
      <c r="G174" s="1"/>
      <c r="H174" s="1"/>
      <c r="I174" s="1"/>
      <c r="J174" s="1"/>
    </row>
    <row r="175" ht="14.25" customHeight="1">
      <c r="E175" s="1"/>
      <c r="F175" s="1"/>
      <c r="G175" s="1"/>
      <c r="H175" s="1"/>
      <c r="I175" s="1"/>
      <c r="J175" s="1"/>
    </row>
    <row r="176" ht="14.25" customHeight="1">
      <c r="E176" s="1"/>
      <c r="F176" s="1"/>
      <c r="G176" s="1"/>
      <c r="H176" s="1"/>
      <c r="I176" s="1"/>
      <c r="J176" s="1"/>
    </row>
    <row r="177" ht="14.25" customHeight="1">
      <c r="E177" s="1"/>
      <c r="F177" s="1"/>
      <c r="G177" s="1"/>
      <c r="H177" s="1"/>
      <c r="I177" s="1"/>
      <c r="J177" s="1"/>
    </row>
    <row r="178" ht="14.25" customHeight="1">
      <c r="F178" s="1"/>
      <c r="G178" s="1"/>
      <c r="H178" s="1"/>
      <c r="I178" s="1"/>
      <c r="J178" s="1"/>
    </row>
    <row r="179" ht="14.25" customHeight="1">
      <c r="F179" s="1"/>
      <c r="G179" s="1"/>
      <c r="H179" s="1"/>
      <c r="I179" s="1"/>
      <c r="J179" s="1"/>
    </row>
    <row r="180" ht="14.25" customHeight="1">
      <c r="F180" s="1"/>
      <c r="G180" s="1"/>
      <c r="H180" s="1"/>
      <c r="I180" s="1"/>
      <c r="J180" s="1"/>
    </row>
    <row r="181" ht="14.25" customHeight="1">
      <c r="F181" s="1"/>
      <c r="G181" s="1"/>
      <c r="H181" s="1"/>
      <c r="I181" s="1"/>
      <c r="J181" s="1"/>
    </row>
    <row r="182" ht="14.25" customHeight="1">
      <c r="F182" s="1"/>
      <c r="G182" s="1"/>
      <c r="H182" s="1"/>
      <c r="I182" s="1"/>
      <c r="J182" s="1"/>
    </row>
    <row r="183" ht="14.25" customHeight="1">
      <c r="F183" s="1"/>
      <c r="G183" s="1"/>
      <c r="H183" s="1"/>
      <c r="I183" s="1"/>
      <c r="J183" s="1"/>
    </row>
    <row r="184" ht="14.25" customHeight="1">
      <c r="F184" s="1"/>
      <c r="G184" s="1"/>
      <c r="H184" s="1"/>
      <c r="I184" s="1"/>
      <c r="J184" s="1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25003.0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38056.0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50624.0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55381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27522</v>
      </c>
      <c r="D10" s="24"/>
      <c r="E10" s="43">
        <v>1.0</v>
      </c>
      <c r="F10" s="44">
        <v>93.0</v>
      </c>
      <c r="G10" s="45">
        <v>93.0</v>
      </c>
      <c r="H10" s="45"/>
      <c r="I10" s="45"/>
      <c r="J10" s="130">
        <v>4405.0</v>
      </c>
      <c r="K10" s="24"/>
      <c r="L10" s="47"/>
      <c r="M10" s="146">
        <v>1905.0</v>
      </c>
      <c r="N10" s="47">
        <v>3950.0</v>
      </c>
      <c r="O10" s="49"/>
      <c r="P10" s="85" t="s">
        <v>141</v>
      </c>
      <c r="Q10" s="51"/>
      <c r="R10" s="52">
        <v>488.0</v>
      </c>
      <c r="S10" s="53"/>
      <c r="T10" s="54"/>
      <c r="U10" s="55"/>
      <c r="V10" s="24"/>
      <c r="W10" s="47"/>
      <c r="X10" s="47"/>
      <c r="Y10" s="47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28041</v>
      </c>
      <c r="D11" s="24"/>
      <c r="E11" s="43">
        <v>2.0</v>
      </c>
      <c r="F11" s="56">
        <v>158.0</v>
      </c>
      <c r="G11" s="57">
        <v>158.0</v>
      </c>
      <c r="H11" s="58"/>
      <c r="I11" s="59"/>
      <c r="J11" s="130">
        <v>4406.0</v>
      </c>
      <c r="K11" s="24"/>
      <c r="L11" s="48"/>
      <c r="M11" s="146">
        <v>3171.0</v>
      </c>
      <c r="N11" s="47">
        <v>3949.0</v>
      </c>
      <c r="O11" s="49"/>
      <c r="P11" s="72"/>
      <c r="Q11" s="51"/>
      <c r="R11" s="52"/>
      <c r="S11" s="53"/>
      <c r="T11" s="61"/>
      <c r="U11" s="62"/>
      <c r="V11" s="24"/>
      <c r="W11" s="47">
        <v>97.0</v>
      </c>
      <c r="X11" s="47"/>
      <c r="Y11" s="47">
        <v>39.0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876</v>
      </c>
      <c r="D12" s="24"/>
      <c r="E12" s="43">
        <v>3.0</v>
      </c>
      <c r="F12" s="63">
        <v>69.0</v>
      </c>
      <c r="G12" s="64">
        <v>69.0</v>
      </c>
      <c r="H12" s="64"/>
      <c r="I12" s="65"/>
      <c r="J12" s="130">
        <v>4407.0</v>
      </c>
      <c r="K12" s="24"/>
      <c r="L12" s="48"/>
      <c r="M12" s="146">
        <v>560.0</v>
      </c>
      <c r="N12" s="47">
        <v>4323.0</v>
      </c>
      <c r="O12" s="49"/>
      <c r="P12" s="72"/>
      <c r="Q12" s="51"/>
      <c r="R12" s="52"/>
      <c r="S12" s="52"/>
      <c r="T12" s="61"/>
      <c r="U12" s="62"/>
      <c r="V12" s="24"/>
      <c r="W12" s="47">
        <v>82.0</v>
      </c>
      <c r="X12" s="48"/>
      <c r="Y12" s="47">
        <v>40.0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20.0</v>
      </c>
      <c r="G13" s="64">
        <v>20.0</v>
      </c>
      <c r="H13" s="65"/>
      <c r="I13" s="65"/>
      <c r="J13" s="130">
        <v>4408.0</v>
      </c>
      <c r="K13" s="24"/>
      <c r="L13" s="48"/>
      <c r="M13" s="48"/>
      <c r="N13" s="48"/>
      <c r="O13" s="49"/>
      <c r="P13" s="72" t="s">
        <v>232</v>
      </c>
      <c r="Q13" s="51"/>
      <c r="R13" s="52">
        <v>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5636</v>
      </c>
      <c r="D14" s="24"/>
      <c r="E14" s="43">
        <v>5.0</v>
      </c>
      <c r="F14" s="56">
        <v>9.0</v>
      </c>
      <c r="G14" s="64">
        <v>9.0</v>
      </c>
      <c r="H14" s="65"/>
      <c r="I14" s="65"/>
      <c r="J14" s="130">
        <v>4409.0</v>
      </c>
      <c r="K14" s="24"/>
      <c r="L14" s="48"/>
      <c r="M14" s="48"/>
      <c r="N14" s="48"/>
      <c r="O14" s="49"/>
      <c r="P14" s="72" t="s">
        <v>48</v>
      </c>
      <c r="Q14" s="51"/>
      <c r="R14" s="52">
        <v>200.0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179</v>
      </c>
      <c r="D15" s="24"/>
      <c r="E15" s="43">
        <v>6.0</v>
      </c>
      <c r="F15" s="56">
        <v>310.0</v>
      </c>
      <c r="G15" s="64">
        <v>310.0</v>
      </c>
      <c r="H15" s="64"/>
      <c r="I15" s="65"/>
      <c r="J15" s="130">
        <v>4410.0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738</v>
      </c>
      <c r="D16" s="24"/>
      <c r="E16" s="43">
        <v>7.0</v>
      </c>
      <c r="F16" s="56">
        <v>186.0</v>
      </c>
      <c r="G16" s="64">
        <v>186.0</v>
      </c>
      <c r="H16" s="64"/>
      <c r="I16" s="65"/>
      <c r="J16" s="130">
        <v>4411.0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738</v>
      </c>
      <c r="D17" s="24"/>
      <c r="E17" s="43">
        <v>8.0</v>
      </c>
      <c r="F17" s="56">
        <v>189.0</v>
      </c>
      <c r="G17" s="65"/>
      <c r="H17" s="132">
        <v>189.0</v>
      </c>
      <c r="I17" s="65"/>
      <c r="J17" s="130">
        <v>4412.0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15.0</v>
      </c>
      <c r="G18" s="64"/>
      <c r="H18" s="150">
        <v>15.0</v>
      </c>
      <c r="I18" s="65"/>
      <c r="J18" s="130">
        <v>4413.0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80.0</v>
      </c>
      <c r="G19" s="64"/>
      <c r="H19" s="150">
        <v>80.0</v>
      </c>
      <c r="I19" s="65"/>
      <c r="J19" s="130">
        <v>4414.0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45864</v>
      </c>
      <c r="D20" s="24"/>
      <c r="E20" s="254">
        <v>11.0</v>
      </c>
      <c r="F20" s="216">
        <v>922.0</v>
      </c>
      <c r="G20" s="169"/>
      <c r="H20" s="150">
        <v>922.0</v>
      </c>
      <c r="I20" s="169"/>
      <c r="J20" s="155" t="s">
        <v>233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33677</v>
      </c>
      <c r="D21" s="24"/>
      <c r="E21" s="254">
        <v>12.0</v>
      </c>
      <c r="F21" s="216">
        <v>80.0</v>
      </c>
      <c r="G21" s="169"/>
      <c r="H21" s="150">
        <v>80.0</v>
      </c>
      <c r="I21" s="169"/>
      <c r="J21" s="155" t="s">
        <v>234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51787</v>
      </c>
      <c r="D22" s="24"/>
      <c r="E22" s="43">
        <v>13.0</v>
      </c>
      <c r="F22" s="56">
        <v>370.0</v>
      </c>
      <c r="G22" s="64">
        <v>370.0</v>
      </c>
      <c r="H22" s="64"/>
      <c r="I22" s="65"/>
      <c r="J22" s="130">
        <v>4417.0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55491.0</v>
      </c>
      <c r="D23" s="24"/>
      <c r="E23" s="43">
        <v>14.0</v>
      </c>
      <c r="F23" s="56">
        <v>422.0</v>
      </c>
      <c r="G23" s="64">
        <v>422.0</v>
      </c>
      <c r="H23" s="65"/>
      <c r="I23" s="65"/>
      <c r="J23" s="130">
        <v>4418.0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-3704</v>
      </c>
      <c r="D24" s="24"/>
      <c r="E24" s="43">
        <v>15.0</v>
      </c>
      <c r="F24" s="56">
        <v>1994.0</v>
      </c>
      <c r="G24" s="64">
        <v>1060.0</v>
      </c>
      <c r="H24" s="150">
        <v>934.0</v>
      </c>
      <c r="I24" s="65"/>
      <c r="J24" s="130">
        <v>4419.0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667.0</v>
      </c>
      <c r="G25" s="64"/>
      <c r="H25" s="150">
        <v>667.0</v>
      </c>
      <c r="I25" s="65"/>
      <c r="J25" s="130">
        <v>4420.0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55560</v>
      </c>
      <c r="D26" s="24"/>
      <c r="E26" s="43">
        <v>17.0</v>
      </c>
      <c r="F26" s="56">
        <v>298.0</v>
      </c>
      <c r="G26" s="64"/>
      <c r="H26" s="150">
        <v>298.0</v>
      </c>
      <c r="I26" s="65"/>
      <c r="J26" s="130">
        <v>4421.0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144.0</v>
      </c>
      <c r="D27" s="24"/>
      <c r="E27" s="43">
        <v>18.0</v>
      </c>
      <c r="F27" s="56">
        <v>106.0</v>
      </c>
      <c r="G27" s="64"/>
      <c r="H27" s="150">
        <v>106.0</v>
      </c>
      <c r="I27" s="65"/>
      <c r="J27" s="130">
        <v>4422.0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385.8333333</v>
      </c>
      <c r="D28" s="24"/>
      <c r="E28" s="43">
        <v>19.0</v>
      </c>
      <c r="F28" s="56">
        <v>258.0</v>
      </c>
      <c r="G28" s="64">
        <v>258.0</v>
      </c>
      <c r="H28" s="65"/>
      <c r="I28" s="65"/>
      <c r="J28" s="130">
        <v>4423.0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39.0</v>
      </c>
      <c r="G29" s="64">
        <v>39.0</v>
      </c>
      <c r="H29" s="65"/>
      <c r="I29" s="65"/>
      <c r="J29" s="130">
        <v>4424.0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567.0</v>
      </c>
      <c r="G30" s="93">
        <v>567.0</v>
      </c>
      <c r="H30" s="92"/>
      <c r="I30" s="93"/>
      <c r="J30" s="130">
        <v>4425.0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38056</v>
      </c>
      <c r="D31" s="24"/>
      <c r="E31" s="43">
        <v>22.0</v>
      </c>
      <c r="F31" s="56">
        <v>106.0</v>
      </c>
      <c r="G31" s="93">
        <v>106.0</v>
      </c>
      <c r="H31" s="92"/>
      <c r="I31" s="92"/>
      <c r="J31" s="130">
        <v>4426.0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738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79.0</v>
      </c>
      <c r="G32" s="93">
        <v>79.0</v>
      </c>
      <c r="H32" s="92"/>
      <c r="I32" s="92"/>
      <c r="J32" s="130">
        <v>4427.0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256.0</v>
      </c>
      <c r="G33" s="93">
        <v>256.0</v>
      </c>
      <c r="H33" s="92"/>
      <c r="I33" s="92"/>
      <c r="J33" s="130">
        <v>4428.0</v>
      </c>
      <c r="K33" s="24"/>
      <c r="L33" s="104">
        <f t="shared" ref="L33:M33" si="2">sum(L10:L32)</f>
        <v>0</v>
      </c>
      <c r="M33" s="104">
        <f t="shared" si="2"/>
        <v>5636</v>
      </c>
      <c r="N33" s="104"/>
      <c r="O33" s="105"/>
      <c r="P33" s="85" t="s">
        <v>38</v>
      </c>
      <c r="Q33" s="51"/>
      <c r="R33" s="100"/>
      <c r="S33" s="52">
        <v>38056.0</v>
      </c>
      <c r="T33" s="101"/>
      <c r="U33" s="55"/>
      <c r="V33" s="24"/>
      <c r="W33" s="104">
        <f t="shared" ref="W33:X33" si="3">sum(W10:W32)</f>
        <v>179</v>
      </c>
      <c r="X33" s="104">
        <f t="shared" si="3"/>
        <v>0</v>
      </c>
      <c r="Y33" s="104">
        <f>W33+X33</f>
        <v>179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59.0</v>
      </c>
      <c r="G34" s="93">
        <v>59.0</v>
      </c>
      <c r="H34" s="92"/>
      <c r="I34" s="92"/>
      <c r="J34" s="130">
        <v>4429.0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89.0</v>
      </c>
      <c r="G35" s="93">
        <v>89.0</v>
      </c>
      <c r="H35" s="93"/>
      <c r="I35" s="92"/>
      <c r="J35" s="130">
        <v>4430.0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143.0</v>
      </c>
      <c r="G36" s="93">
        <v>140.0</v>
      </c>
      <c r="H36" s="157">
        <v>3.0</v>
      </c>
      <c r="I36" s="92"/>
      <c r="J36" s="130">
        <v>4431.0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375.0</v>
      </c>
      <c r="G37" s="93">
        <v>375.0</v>
      </c>
      <c r="H37" s="92"/>
      <c r="I37" s="92"/>
      <c r="J37" s="130">
        <v>4432.0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419.0</v>
      </c>
      <c r="G38" s="93">
        <v>419.0</v>
      </c>
      <c r="H38" s="92"/>
      <c r="I38" s="92"/>
      <c r="J38" s="130">
        <v>4433.0</v>
      </c>
      <c r="K38" s="24"/>
      <c r="L38" s="112"/>
      <c r="M38" s="117">
        <v>1511.0</v>
      </c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102.0</v>
      </c>
      <c r="G39" s="93"/>
      <c r="H39" s="157">
        <v>102.0</v>
      </c>
      <c r="I39" s="92"/>
      <c r="J39" s="130">
        <v>4434.0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252.0</v>
      </c>
      <c r="G40" s="93">
        <v>252.0</v>
      </c>
      <c r="H40" s="93"/>
      <c r="I40" s="92"/>
      <c r="J40" s="130">
        <v>4435.0</v>
      </c>
      <c r="K40" s="24"/>
      <c r="L40" s="112"/>
      <c r="M40" s="117">
        <v>1169.0</v>
      </c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49.0</v>
      </c>
      <c r="G41" s="93">
        <v>49.0</v>
      </c>
      <c r="H41" s="93"/>
      <c r="I41" s="92"/>
      <c r="J41" s="130">
        <v>4436.0</v>
      </c>
      <c r="K41" s="24"/>
      <c r="L41" s="112"/>
      <c r="M41" s="117"/>
      <c r="N41" s="112"/>
      <c r="O41" s="112"/>
      <c r="P41" s="112"/>
      <c r="Q41" s="255" t="s">
        <v>235</v>
      </c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236.0</v>
      </c>
      <c r="G42" s="93"/>
      <c r="H42" s="157">
        <v>236.0</v>
      </c>
      <c r="I42" s="92"/>
      <c r="J42" s="130">
        <v>4437.0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140.0</v>
      </c>
      <c r="G43" s="93">
        <v>140.0</v>
      </c>
      <c r="H43" s="92"/>
      <c r="I43" s="92"/>
      <c r="J43" s="130">
        <v>4438.0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211.0</v>
      </c>
      <c r="G44" s="93">
        <v>211.0</v>
      </c>
      <c r="H44" s="93"/>
      <c r="I44" s="92"/>
      <c r="J44" s="130">
        <v>4439.0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655.0</v>
      </c>
      <c r="G45" s="93"/>
      <c r="H45" s="157">
        <v>655.0</v>
      </c>
      <c r="I45" s="92"/>
      <c r="J45" s="130">
        <v>4440.0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1186.0</v>
      </c>
      <c r="G46" s="93"/>
      <c r="H46" s="157">
        <v>1186.0</v>
      </c>
      <c r="I46" s="92"/>
      <c r="J46" s="130">
        <v>4441.0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569.0</v>
      </c>
      <c r="G47" s="93">
        <v>569.0</v>
      </c>
      <c r="H47" s="93"/>
      <c r="I47" s="92"/>
      <c r="J47" s="130">
        <v>4442.0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226.0</v>
      </c>
      <c r="G48" s="92"/>
      <c r="H48" s="157">
        <v>226.0</v>
      </c>
      <c r="I48" s="92"/>
      <c r="J48" s="130">
        <v>4443.0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52.0</v>
      </c>
      <c r="G49" s="93">
        <v>52.0</v>
      </c>
      <c r="H49" s="92"/>
      <c r="I49" s="92"/>
      <c r="J49" s="130">
        <v>4444.0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304.0</v>
      </c>
      <c r="G50" s="92"/>
      <c r="H50" s="157">
        <v>304.0</v>
      </c>
      <c r="I50" s="92"/>
      <c r="J50" s="130">
        <v>4445.0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370.0</v>
      </c>
      <c r="G51" s="93"/>
      <c r="H51" s="92"/>
      <c r="I51" s="93">
        <v>370.0</v>
      </c>
      <c r="J51" s="130" t="s">
        <v>236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834.0</v>
      </c>
      <c r="G52" s="92"/>
      <c r="H52" s="157">
        <v>834.0</v>
      </c>
      <c r="I52" s="92"/>
      <c r="J52" s="130">
        <v>4447.0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2020.0</v>
      </c>
      <c r="G53" s="93">
        <v>2020.0</v>
      </c>
      <c r="H53" s="92"/>
      <c r="I53" s="92"/>
      <c r="J53" s="130">
        <v>4448.0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120.0</v>
      </c>
      <c r="G54" s="93">
        <v>120.0</v>
      </c>
      <c r="H54" s="92"/>
      <c r="I54" s="92"/>
      <c r="J54" s="130">
        <v>4449.0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56.0</v>
      </c>
      <c r="G55" s="93">
        <v>56.0</v>
      </c>
      <c r="H55" s="92"/>
      <c r="I55" s="92"/>
      <c r="J55" s="130">
        <v>4450.0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224.0</v>
      </c>
      <c r="G56" s="93"/>
      <c r="H56" s="92"/>
      <c r="I56" s="93">
        <v>224.0</v>
      </c>
      <c r="J56" s="130" t="s">
        <v>237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4492.0</v>
      </c>
      <c r="G57" s="93">
        <v>5146.0</v>
      </c>
      <c r="H57" s="92"/>
      <c r="I57" s="93"/>
      <c r="J57" s="130" t="s">
        <v>238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534.0</v>
      </c>
      <c r="G58" s="92"/>
      <c r="H58" s="157">
        <v>534.0</v>
      </c>
      <c r="I58" s="92"/>
      <c r="J58" s="130">
        <v>4453.0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216">
        <v>200.0</v>
      </c>
      <c r="G59" s="173"/>
      <c r="H59" s="157">
        <v>200.0</v>
      </c>
      <c r="I59" s="173"/>
      <c r="J59" s="155" t="s">
        <v>239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252.0</v>
      </c>
      <c r="G60" s="92"/>
      <c r="H60" s="157">
        <v>252.0</v>
      </c>
      <c r="I60" s="92"/>
      <c r="J60" s="130">
        <v>4455.0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126.0</v>
      </c>
      <c r="G61" s="93">
        <v>126.0</v>
      </c>
      <c r="H61" s="92"/>
      <c r="I61" s="92"/>
      <c r="J61" s="130">
        <v>4456.0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90.0</v>
      </c>
      <c r="G62" s="92"/>
      <c r="H62" s="157">
        <v>90.0</v>
      </c>
      <c r="I62" s="92"/>
      <c r="J62" s="130">
        <v>4457.0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40.0</v>
      </c>
      <c r="G63" s="93">
        <v>40.0</v>
      </c>
      <c r="H63" s="92"/>
      <c r="I63" s="92"/>
      <c r="J63" s="130">
        <v>4458.0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1600.0</v>
      </c>
      <c r="G64" s="92"/>
      <c r="H64" s="157">
        <v>1600.0</v>
      </c>
      <c r="I64" s="92"/>
      <c r="J64" s="130">
        <v>4459.0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158.0</v>
      </c>
      <c r="G65" s="92"/>
      <c r="H65" s="157">
        <v>158.0</v>
      </c>
      <c r="I65" s="92"/>
      <c r="J65" s="130">
        <v>4460.0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361.0</v>
      </c>
      <c r="G66" s="93">
        <v>361.0</v>
      </c>
      <c r="H66" s="92"/>
      <c r="I66" s="92"/>
      <c r="J66" s="130">
        <v>4461.0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216">
        <v>1511.0</v>
      </c>
      <c r="G67" s="173"/>
      <c r="H67" s="136">
        <v>1915.0</v>
      </c>
      <c r="I67" s="173"/>
      <c r="J67" s="155" t="s">
        <v>240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629.0</v>
      </c>
      <c r="G68" s="92"/>
      <c r="H68" s="157">
        <v>629.0</v>
      </c>
      <c r="I68" s="92"/>
      <c r="J68" s="130">
        <v>4463.0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1459.0</v>
      </c>
      <c r="G69" s="92"/>
      <c r="H69" s="157">
        <v>1459.0</v>
      </c>
      <c r="I69" s="92"/>
      <c r="J69" s="130">
        <v>4464.0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327.0</v>
      </c>
      <c r="G70" s="93">
        <v>327.0</v>
      </c>
      <c r="H70" s="92"/>
      <c r="I70" s="92"/>
      <c r="J70" s="130">
        <v>4465.0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171.0</v>
      </c>
      <c r="G71" s="93">
        <v>171.0</v>
      </c>
      <c r="H71" s="92"/>
      <c r="I71" s="92"/>
      <c r="J71" s="130">
        <v>4466.0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202.0</v>
      </c>
      <c r="G72" s="93"/>
      <c r="H72" s="92"/>
      <c r="I72" s="93">
        <v>202.0</v>
      </c>
      <c r="J72" s="130" t="s">
        <v>241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10.0</v>
      </c>
      <c r="G73" s="93">
        <v>10.0</v>
      </c>
      <c r="H73" s="92"/>
      <c r="I73" s="92"/>
      <c r="J73" s="130">
        <v>4468.0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149.0</v>
      </c>
      <c r="G74" s="93">
        <v>100.0</v>
      </c>
      <c r="H74" s="157">
        <v>49.0</v>
      </c>
      <c r="I74" s="92"/>
      <c r="J74" s="130">
        <v>4469.0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1052.0</v>
      </c>
      <c r="G75" s="93">
        <v>1052.0</v>
      </c>
      <c r="H75" s="92"/>
      <c r="I75" s="92"/>
      <c r="J75" s="130">
        <v>4470.0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216">
        <v>194.0</v>
      </c>
      <c r="G76" s="173"/>
      <c r="H76" s="157">
        <v>194.0</v>
      </c>
      <c r="I76" s="173"/>
      <c r="J76" s="155" t="s">
        <v>242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257.0</v>
      </c>
      <c r="G77" s="93">
        <v>257.0</v>
      </c>
      <c r="H77" s="92"/>
      <c r="I77" s="92"/>
      <c r="J77" s="130">
        <v>4472.0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329.0</v>
      </c>
      <c r="G78" s="93">
        <v>329.0</v>
      </c>
      <c r="H78" s="92"/>
      <c r="I78" s="92"/>
      <c r="J78" s="130">
        <v>4473.0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16.0</v>
      </c>
      <c r="G79" s="92"/>
      <c r="H79" s="157">
        <v>16.0</v>
      </c>
      <c r="I79" s="92"/>
      <c r="J79" s="130">
        <v>4474.0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93.0</v>
      </c>
      <c r="G80" s="92"/>
      <c r="H80" s="157">
        <v>93.0</v>
      </c>
      <c r="I80" s="92"/>
      <c r="J80" s="130">
        <v>4475.0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142.0</v>
      </c>
      <c r="G81" s="93">
        <v>142.0</v>
      </c>
      <c r="H81" s="92"/>
      <c r="I81" s="92"/>
      <c r="J81" s="130">
        <v>4476.0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56">
        <v>59.0</v>
      </c>
      <c r="G82" s="93">
        <v>59.0</v>
      </c>
      <c r="H82" s="92"/>
      <c r="I82" s="92"/>
      <c r="J82" s="130">
        <v>4477.0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56">
        <v>1689.0</v>
      </c>
      <c r="G83" s="93">
        <v>1689.0</v>
      </c>
      <c r="H83" s="92"/>
      <c r="I83" s="92"/>
      <c r="J83" s="130">
        <v>4478.0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56">
        <v>29.0</v>
      </c>
      <c r="G84" s="93">
        <v>29.0</v>
      </c>
      <c r="H84" s="92"/>
      <c r="I84" s="92"/>
      <c r="J84" s="130">
        <v>4479.0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56">
        <v>399.0</v>
      </c>
      <c r="G85" s="93">
        <v>399.0</v>
      </c>
      <c r="H85" s="92"/>
      <c r="I85" s="92"/>
      <c r="J85" s="130">
        <v>4480.0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56">
        <v>367.0</v>
      </c>
      <c r="G86" s="92"/>
      <c r="H86" s="157">
        <v>367.0</v>
      </c>
      <c r="I86" s="92"/>
      <c r="J86" s="130">
        <v>4481.0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56">
        <v>198.0</v>
      </c>
      <c r="G87" s="92"/>
      <c r="H87" s="157">
        <v>198.0</v>
      </c>
      <c r="I87" s="92"/>
      <c r="J87" s="130">
        <v>4482.0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56">
        <v>799.0</v>
      </c>
      <c r="G88" s="93">
        <v>550.0</v>
      </c>
      <c r="H88" s="157">
        <v>249.0</v>
      </c>
      <c r="I88" s="92"/>
      <c r="J88" s="130">
        <v>4483.0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56">
        <v>944.0</v>
      </c>
      <c r="G89" s="92"/>
      <c r="H89" s="157">
        <v>944.0</v>
      </c>
      <c r="I89" s="92"/>
      <c r="J89" s="130">
        <v>4484.0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56">
        <v>25.0</v>
      </c>
      <c r="G90" s="92"/>
      <c r="H90" s="157">
        <v>25.0</v>
      </c>
      <c r="I90" s="92"/>
      <c r="J90" s="130">
        <v>4485.0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56">
        <v>691.0</v>
      </c>
      <c r="G91" s="93">
        <v>691.0</v>
      </c>
      <c r="H91" s="92"/>
      <c r="I91" s="92"/>
      <c r="J91" s="130">
        <v>4486.0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56">
        <v>85.0</v>
      </c>
      <c r="G92" s="92"/>
      <c r="H92" s="157">
        <v>85.0</v>
      </c>
      <c r="I92" s="92"/>
      <c r="J92" s="130">
        <v>4487.0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216">
        <v>579.0</v>
      </c>
      <c r="G93" s="173"/>
      <c r="H93" s="157">
        <v>579.0</v>
      </c>
      <c r="I93" s="173"/>
      <c r="J93" s="155">
        <v>4488.0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56">
        <v>159.0</v>
      </c>
      <c r="G94" s="93">
        <v>159.0</v>
      </c>
      <c r="H94" s="93"/>
      <c r="I94" s="92"/>
      <c r="J94" s="130">
        <v>4489.0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56">
        <v>55.0</v>
      </c>
      <c r="G95" s="93">
        <v>55.0</v>
      </c>
      <c r="H95" s="92"/>
      <c r="I95" s="92"/>
      <c r="J95" s="130">
        <v>4490.0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56">
        <v>150.0</v>
      </c>
      <c r="G96" s="93">
        <v>150.0</v>
      </c>
      <c r="H96" s="92"/>
      <c r="I96" s="92"/>
      <c r="J96" s="130">
        <v>4491.0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56">
        <v>86.0</v>
      </c>
      <c r="G97" s="93">
        <v>86.0</v>
      </c>
      <c r="H97" s="93"/>
      <c r="I97" s="92"/>
      <c r="J97" s="130">
        <v>4492.0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56">
        <v>431.0</v>
      </c>
      <c r="G98" s="93"/>
      <c r="H98" s="157">
        <v>431.0</v>
      </c>
      <c r="I98" s="92"/>
      <c r="J98" s="130">
        <v>4493.0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56">
        <v>30.0</v>
      </c>
      <c r="G99" s="93">
        <v>30.0</v>
      </c>
      <c r="H99" s="92"/>
      <c r="I99" s="92"/>
      <c r="J99" s="130">
        <v>4494.0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56">
        <v>1147.0</v>
      </c>
      <c r="G100" s="92"/>
      <c r="H100" s="157">
        <v>1147.0</v>
      </c>
      <c r="I100" s="92"/>
      <c r="J100" s="130">
        <v>4495.0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56">
        <v>40.0</v>
      </c>
      <c r="G101" s="93"/>
      <c r="H101" s="92"/>
      <c r="I101" s="93">
        <v>40.0</v>
      </c>
      <c r="J101" s="130" t="s">
        <v>243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56">
        <v>380.0</v>
      </c>
      <c r="G102" s="92"/>
      <c r="H102" s="157">
        <v>380.0</v>
      </c>
      <c r="I102" s="92"/>
      <c r="J102" s="130">
        <v>4497.0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56">
        <v>683.0</v>
      </c>
      <c r="G103" s="92"/>
      <c r="H103" s="157">
        <v>683.0</v>
      </c>
      <c r="I103" s="92"/>
      <c r="J103" s="130">
        <v>4498.0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56">
        <v>56.0</v>
      </c>
      <c r="G104" s="92"/>
      <c r="H104" s="157">
        <v>56.0</v>
      </c>
      <c r="I104" s="92"/>
      <c r="J104" s="130">
        <v>4499.0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56">
        <v>229.0</v>
      </c>
      <c r="G105" s="93">
        <v>229.0</v>
      </c>
      <c r="H105" s="92"/>
      <c r="I105" s="92"/>
      <c r="J105" s="130">
        <v>4500.0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56">
        <v>200.0</v>
      </c>
      <c r="G106" s="93">
        <v>200.0</v>
      </c>
      <c r="H106" s="92"/>
      <c r="I106" s="92"/>
      <c r="J106" s="130">
        <v>4501.0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56">
        <v>83.0</v>
      </c>
      <c r="G107" s="93">
        <v>83.0</v>
      </c>
      <c r="H107" s="92"/>
      <c r="I107" s="92"/>
      <c r="J107" s="130" t="s">
        <v>244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56">
        <v>119.0</v>
      </c>
      <c r="G108" s="93">
        <v>119.0</v>
      </c>
      <c r="H108" s="92"/>
      <c r="I108" s="92"/>
      <c r="J108" s="130" t="s">
        <v>245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56">
        <v>278.0</v>
      </c>
      <c r="G109" s="93"/>
      <c r="H109" s="157">
        <v>278.0</v>
      </c>
      <c r="I109" s="92"/>
      <c r="J109" s="130">
        <v>4504.0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56">
        <v>513.0</v>
      </c>
      <c r="G110" s="93">
        <v>500.0</v>
      </c>
      <c r="H110" s="157">
        <v>13.0</v>
      </c>
      <c r="I110" s="92"/>
      <c r="J110" s="130">
        <v>4505.0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56">
        <v>1169.0</v>
      </c>
      <c r="G111" s="92"/>
      <c r="H111" s="157">
        <v>1169.0</v>
      </c>
      <c r="I111" s="92"/>
      <c r="J111" s="130">
        <v>4506.0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56">
        <v>154.0</v>
      </c>
      <c r="G112" s="93"/>
      <c r="H112" s="157">
        <v>154.0</v>
      </c>
      <c r="I112" s="92"/>
      <c r="J112" s="130">
        <v>4507.0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56">
        <v>146.0</v>
      </c>
      <c r="G113" s="92"/>
      <c r="H113" s="157">
        <v>146.0</v>
      </c>
      <c r="I113" s="92"/>
      <c r="J113" s="130">
        <v>4508.0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56">
        <v>40.0</v>
      </c>
      <c r="G114" s="93">
        <v>40.0</v>
      </c>
      <c r="H114" s="92"/>
      <c r="I114" s="92"/>
      <c r="J114" s="130">
        <v>4509.0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56">
        <v>236.0</v>
      </c>
      <c r="G115" s="93">
        <v>236.0</v>
      </c>
      <c r="H115" s="92"/>
      <c r="I115" s="92"/>
      <c r="J115" s="130">
        <v>4510.0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216">
        <v>1435.0</v>
      </c>
      <c r="G116" s="173"/>
      <c r="H116" s="157">
        <v>1435.0</v>
      </c>
      <c r="I116" s="173"/>
      <c r="J116" s="155">
        <v>4511.0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56">
        <v>284.0</v>
      </c>
      <c r="G117" s="93">
        <v>284.0</v>
      </c>
      <c r="H117" s="92"/>
      <c r="I117" s="92"/>
      <c r="J117" s="130">
        <v>4512.0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56">
        <v>694.0</v>
      </c>
      <c r="G118" s="93">
        <v>694.0</v>
      </c>
      <c r="H118" s="92"/>
      <c r="I118" s="92"/>
      <c r="J118" s="130">
        <v>4513.0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56">
        <v>120.0</v>
      </c>
      <c r="G119" s="92"/>
      <c r="H119" s="157">
        <v>120.0</v>
      </c>
      <c r="I119" s="92"/>
      <c r="J119" s="130">
        <v>4514.0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56">
        <v>9.0</v>
      </c>
      <c r="G120" s="92"/>
      <c r="H120" s="157">
        <v>9.0</v>
      </c>
      <c r="I120" s="92"/>
      <c r="J120" s="130">
        <v>4515.0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56">
        <v>213.0</v>
      </c>
      <c r="G121" s="92"/>
      <c r="H121" s="157">
        <v>213.0</v>
      </c>
      <c r="I121" s="92"/>
      <c r="J121" s="130">
        <v>4516.0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56">
        <v>580.0</v>
      </c>
      <c r="G122" s="93">
        <v>580.0</v>
      </c>
      <c r="H122" s="92"/>
      <c r="I122" s="92"/>
      <c r="J122" s="130">
        <v>4517.0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56">
        <v>614.0</v>
      </c>
      <c r="G123" s="93">
        <v>614.0</v>
      </c>
      <c r="H123" s="92"/>
      <c r="I123" s="92"/>
      <c r="J123" s="130">
        <v>4518.0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56">
        <v>991.0</v>
      </c>
      <c r="G124" s="92"/>
      <c r="H124" s="157">
        <v>991.0</v>
      </c>
      <c r="I124" s="92"/>
      <c r="J124" s="130">
        <v>4519.0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56">
        <v>48.0</v>
      </c>
      <c r="G125" s="93">
        <v>48.0</v>
      </c>
      <c r="H125" s="92"/>
      <c r="I125" s="92"/>
      <c r="J125" s="130">
        <v>4520.0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56">
        <v>70.0</v>
      </c>
      <c r="G126" s="93">
        <v>70.0</v>
      </c>
      <c r="H126" s="92"/>
      <c r="I126" s="92"/>
      <c r="J126" s="130">
        <v>4521.0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56">
        <v>29.0</v>
      </c>
      <c r="G127" s="93">
        <v>29.0</v>
      </c>
      <c r="H127" s="92"/>
      <c r="I127" s="92"/>
      <c r="J127" s="130">
        <v>4522.0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56">
        <v>319.0</v>
      </c>
      <c r="G128" s="93">
        <v>319.0</v>
      </c>
      <c r="H128" s="92"/>
      <c r="I128" s="92"/>
      <c r="J128" s="130">
        <v>4523.0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216">
        <v>100.0</v>
      </c>
      <c r="G129" s="136"/>
      <c r="H129" s="157">
        <v>100.0</v>
      </c>
      <c r="I129" s="173"/>
      <c r="J129" s="155" t="s">
        <v>246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38">
        <v>56.0</v>
      </c>
      <c r="G130" s="61"/>
      <c r="H130" s="157">
        <v>56.0</v>
      </c>
      <c r="I130" s="61"/>
      <c r="J130" s="130">
        <v>4525.0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38">
        <v>24.0</v>
      </c>
      <c r="G131" s="54">
        <v>24.0</v>
      </c>
      <c r="H131" s="61"/>
      <c r="I131" s="61"/>
      <c r="J131" s="130">
        <v>4526.0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216">
        <v>1291.0</v>
      </c>
      <c r="G132" s="136"/>
      <c r="H132" s="157">
        <v>1291.0</v>
      </c>
      <c r="I132" s="173"/>
      <c r="J132" s="155" t="s">
        <v>247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38">
        <v>470.0</v>
      </c>
      <c r="G133" s="61"/>
      <c r="H133" s="157">
        <v>470.0</v>
      </c>
      <c r="I133" s="61"/>
      <c r="J133" s="130">
        <v>4528.0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38">
        <v>195.0</v>
      </c>
      <c r="G134" s="54">
        <v>195.0</v>
      </c>
      <c r="H134" s="61"/>
      <c r="I134" s="61"/>
      <c r="J134" s="130">
        <v>4529.0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138">
        <v>410.0</v>
      </c>
      <c r="G135" s="61"/>
      <c r="H135" s="157">
        <v>410.0</v>
      </c>
      <c r="I135" s="61"/>
      <c r="J135" s="130">
        <v>4530.0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138">
        <v>40.0</v>
      </c>
      <c r="G136" s="61"/>
      <c r="H136" s="157">
        <v>40.0</v>
      </c>
      <c r="I136" s="61"/>
      <c r="J136" s="130">
        <v>4531.0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43">
        <v>128.0</v>
      </c>
      <c r="F137" s="216">
        <v>300.0</v>
      </c>
      <c r="G137" s="136"/>
      <c r="H137" s="157">
        <v>300.0</v>
      </c>
      <c r="I137" s="173"/>
      <c r="J137" s="155" t="s">
        <v>248</v>
      </c>
    </row>
    <row r="138" ht="14.25" customHeight="1">
      <c r="E138" s="43">
        <v>129.0</v>
      </c>
      <c r="F138" s="138">
        <v>189.0</v>
      </c>
      <c r="G138" s="54">
        <v>189.0</v>
      </c>
      <c r="H138" s="61"/>
      <c r="I138" s="61"/>
      <c r="J138" s="130">
        <v>4533.0</v>
      </c>
    </row>
    <row r="139" ht="14.25" customHeight="1">
      <c r="E139" s="43">
        <v>130.0</v>
      </c>
      <c r="F139" s="138">
        <v>40.0</v>
      </c>
      <c r="G139" s="54"/>
      <c r="H139" s="61"/>
      <c r="I139" s="54">
        <v>40.0</v>
      </c>
      <c r="J139" s="130" t="s">
        <v>249</v>
      </c>
    </row>
    <row r="140" ht="14.25" customHeight="1">
      <c r="E140" s="43">
        <v>131.0</v>
      </c>
      <c r="F140" s="138">
        <v>790.0</v>
      </c>
      <c r="G140" s="61"/>
      <c r="H140" s="157">
        <v>790.0</v>
      </c>
      <c r="I140" s="61"/>
      <c r="J140" s="130">
        <v>4535.0</v>
      </c>
    </row>
    <row r="141" ht="14.25" customHeight="1">
      <c r="E141" s="43">
        <v>132.0</v>
      </c>
      <c r="F141" s="138">
        <v>77.0</v>
      </c>
      <c r="G141" s="61"/>
      <c r="H141" s="157">
        <v>77.0</v>
      </c>
      <c r="I141" s="61"/>
      <c r="J141" s="130">
        <v>4536.0</v>
      </c>
    </row>
    <row r="142" ht="14.25" customHeight="1">
      <c r="E142" s="43">
        <v>133.0</v>
      </c>
      <c r="F142" s="138">
        <v>361.0</v>
      </c>
      <c r="G142" s="61"/>
      <c r="H142" s="157">
        <v>361.0</v>
      </c>
      <c r="I142" s="61"/>
      <c r="J142" s="130">
        <v>4537.0</v>
      </c>
    </row>
    <row r="143" ht="14.25" customHeight="1">
      <c r="E143" s="43">
        <v>134.0</v>
      </c>
      <c r="F143" s="138">
        <v>105.0</v>
      </c>
      <c r="G143" s="54">
        <v>105.0</v>
      </c>
      <c r="H143" s="61"/>
      <c r="I143" s="61"/>
      <c r="J143" s="130">
        <v>4538.0</v>
      </c>
    </row>
    <row r="144" ht="14.25" customHeight="1">
      <c r="E144" s="43">
        <v>135.0</v>
      </c>
      <c r="F144" s="138">
        <v>286.0</v>
      </c>
      <c r="G144" s="54">
        <v>286.0</v>
      </c>
      <c r="H144" s="61"/>
      <c r="I144" s="61"/>
      <c r="J144" s="130">
        <v>4539.0</v>
      </c>
    </row>
    <row r="145" ht="14.25" customHeight="1">
      <c r="E145" s="43">
        <v>136.0</v>
      </c>
      <c r="F145" s="138">
        <v>305.0</v>
      </c>
      <c r="G145" s="54">
        <v>305.0</v>
      </c>
      <c r="H145" s="61"/>
      <c r="I145" s="61"/>
      <c r="J145" s="130">
        <v>4540.0</v>
      </c>
    </row>
    <row r="146" ht="14.25" customHeight="1">
      <c r="E146" s="43">
        <v>137.0</v>
      </c>
      <c r="F146" s="138">
        <v>479.0</v>
      </c>
      <c r="G146" s="54">
        <v>479.0</v>
      </c>
      <c r="H146" s="61"/>
      <c r="I146" s="61"/>
      <c r="J146" s="130">
        <v>4541.0</v>
      </c>
    </row>
    <row r="147" ht="14.25" customHeight="1">
      <c r="E147" s="43">
        <v>138.0</v>
      </c>
      <c r="F147" s="138">
        <v>206.0</v>
      </c>
      <c r="G147" s="61"/>
      <c r="H147" s="157">
        <v>206.0</v>
      </c>
      <c r="I147" s="61"/>
      <c r="J147" s="130">
        <v>4542.0</v>
      </c>
    </row>
    <row r="148" ht="14.25" customHeight="1">
      <c r="E148" s="43">
        <v>139.0</v>
      </c>
      <c r="F148" s="216">
        <v>173.0</v>
      </c>
      <c r="G148" s="136"/>
      <c r="H148" s="157">
        <v>173.0</v>
      </c>
      <c r="I148" s="173"/>
      <c r="J148" s="155" t="s">
        <v>250</v>
      </c>
    </row>
    <row r="149" ht="14.25" customHeight="1">
      <c r="E149" s="43">
        <v>140.0</v>
      </c>
      <c r="F149" s="138">
        <v>290.0</v>
      </c>
      <c r="G149" s="54">
        <v>290.0</v>
      </c>
      <c r="H149" s="61"/>
      <c r="I149" s="61"/>
      <c r="J149" s="130">
        <v>4544.0</v>
      </c>
    </row>
    <row r="150" ht="14.25" customHeight="1">
      <c r="E150" s="43">
        <v>141.0</v>
      </c>
      <c r="F150" s="138">
        <v>10.0</v>
      </c>
      <c r="G150" s="54">
        <v>10.0</v>
      </c>
      <c r="H150" s="61"/>
      <c r="I150" s="61"/>
      <c r="J150" s="130">
        <v>4545.0</v>
      </c>
    </row>
    <row r="151" ht="14.25" customHeight="1">
      <c r="E151" s="43">
        <v>142.0</v>
      </c>
      <c r="F151" s="138">
        <v>69.0</v>
      </c>
      <c r="G151" s="61"/>
      <c r="H151" s="157">
        <v>69.0</v>
      </c>
      <c r="I151" s="61"/>
      <c r="J151" s="130">
        <v>4546.0</v>
      </c>
    </row>
    <row r="152" ht="14.25" customHeight="1">
      <c r="E152" s="43">
        <v>143.0</v>
      </c>
      <c r="F152" s="138">
        <v>50.0</v>
      </c>
      <c r="G152" s="54">
        <v>50.0</v>
      </c>
      <c r="H152" s="61"/>
      <c r="I152" s="61"/>
      <c r="J152" s="130">
        <v>4547.0</v>
      </c>
    </row>
    <row r="153" ht="14.25" customHeight="1">
      <c r="E153" s="158">
        <v>144.0</v>
      </c>
      <c r="F153" s="138">
        <v>1212.0</v>
      </c>
      <c r="G153" s="54">
        <v>1212.0</v>
      </c>
      <c r="H153" s="61"/>
      <c r="I153" s="61"/>
      <c r="J153" s="46"/>
    </row>
    <row r="154" ht="14.25" customHeight="1">
      <c r="E154" s="43"/>
      <c r="F154" s="121"/>
      <c r="G154" s="61"/>
      <c r="H154" s="167"/>
      <c r="I154" s="61"/>
      <c r="J154" s="46"/>
    </row>
    <row r="155" ht="14.25" customHeight="1">
      <c r="E155" s="43"/>
      <c r="F155" s="121"/>
      <c r="G155" s="61"/>
      <c r="H155" s="167"/>
      <c r="I155" s="54"/>
      <c r="J155" s="46"/>
    </row>
    <row r="156" ht="14.25" customHeight="1">
      <c r="E156" s="43"/>
      <c r="F156" s="121"/>
      <c r="G156" s="61"/>
      <c r="H156" s="167"/>
      <c r="I156" s="61"/>
      <c r="J156" s="46"/>
    </row>
    <row r="157" ht="14.25" customHeight="1">
      <c r="E157" s="43"/>
      <c r="F157" s="121"/>
      <c r="G157" s="61"/>
      <c r="H157" s="61"/>
      <c r="I157" s="61"/>
      <c r="J157" s="46"/>
    </row>
    <row r="158" ht="14.25" customHeight="1">
      <c r="E158" s="43"/>
      <c r="F158" s="121"/>
      <c r="G158" s="61"/>
      <c r="H158" s="61"/>
      <c r="I158" s="61"/>
      <c r="J158" s="46"/>
    </row>
    <row r="159" ht="14.25" customHeight="1">
      <c r="E159" s="122"/>
      <c r="F159" s="123">
        <f t="shared" ref="F159:I159" si="4">SUM(F10:F158)</f>
        <v>55560</v>
      </c>
      <c r="G159" s="123">
        <f t="shared" si="4"/>
        <v>27701</v>
      </c>
      <c r="H159" s="123">
        <f t="shared" si="4"/>
        <v>28041</v>
      </c>
      <c r="I159" s="123">
        <f t="shared" si="4"/>
        <v>876</v>
      </c>
      <c r="J159" s="1"/>
    </row>
    <row r="160" ht="14.25" customHeight="1">
      <c r="E160" s="124"/>
      <c r="F160" s="124"/>
      <c r="G160" s="124"/>
      <c r="H160" s="124"/>
      <c r="I160" s="125"/>
      <c r="J160" s="1"/>
    </row>
    <row r="161" ht="14.25" customHeight="1">
      <c r="E161" s="8"/>
      <c r="F161" s="8"/>
      <c r="G161" s="8"/>
      <c r="H161" s="8"/>
      <c r="I161" s="8"/>
      <c r="J161" s="1"/>
    </row>
    <row r="162" ht="14.25" customHeight="1">
      <c r="E162" s="8"/>
      <c r="F162" s="8"/>
      <c r="G162" s="8"/>
      <c r="H162" s="8"/>
      <c r="I162" s="8"/>
      <c r="J162" s="1"/>
    </row>
    <row r="163" ht="14.25" customHeight="1">
      <c r="E163" s="8"/>
      <c r="F163" s="8"/>
      <c r="G163" s="8"/>
      <c r="H163" s="8"/>
      <c r="I163" s="8"/>
      <c r="J163" s="1"/>
    </row>
    <row r="164" ht="14.25" customHeight="1">
      <c r="E164" s="8"/>
      <c r="F164" s="8"/>
      <c r="G164" s="8"/>
      <c r="H164" s="8"/>
      <c r="I164" s="8"/>
      <c r="J164" s="1"/>
    </row>
    <row r="165" ht="14.25" customHeight="1">
      <c r="E165" s="8"/>
      <c r="F165" s="8"/>
      <c r="G165" s="8"/>
      <c r="H165" s="8"/>
      <c r="I165" s="8"/>
      <c r="J165" s="1"/>
    </row>
    <row r="166" ht="14.25" customHeight="1">
      <c r="E166" s="1"/>
      <c r="F166" s="1"/>
      <c r="G166" s="1"/>
      <c r="H166" s="1"/>
      <c r="I166" s="1"/>
      <c r="J166" s="1"/>
    </row>
    <row r="167" ht="14.25" customHeight="1">
      <c r="E167" s="1"/>
      <c r="F167" s="1"/>
      <c r="G167" s="1"/>
      <c r="H167" s="1"/>
      <c r="I167" s="1"/>
      <c r="J167" s="1"/>
    </row>
    <row r="168" ht="14.25" customHeight="1">
      <c r="E168" s="1"/>
      <c r="F168" s="1"/>
      <c r="G168" s="1"/>
      <c r="H168" s="1"/>
      <c r="I168" s="1"/>
      <c r="J168" s="1"/>
    </row>
    <row r="169" ht="14.25" customHeight="1">
      <c r="E169" s="1"/>
      <c r="F169" s="1"/>
      <c r="G169" s="1"/>
      <c r="H169" s="1"/>
      <c r="I169" s="1"/>
      <c r="J169" s="1"/>
    </row>
    <row r="170" ht="14.25" customHeight="1">
      <c r="E170" s="1"/>
      <c r="F170" s="1"/>
      <c r="G170" s="1"/>
      <c r="H170" s="1"/>
      <c r="I170" s="1"/>
      <c r="J170" s="1"/>
    </row>
    <row r="171" ht="14.25" customHeight="1">
      <c r="E171" s="1"/>
      <c r="F171" s="1"/>
      <c r="G171" s="1"/>
      <c r="H171" s="1"/>
      <c r="I171" s="1"/>
      <c r="J171" s="1"/>
    </row>
    <row r="172" ht="14.25" customHeight="1">
      <c r="E172" s="1"/>
      <c r="F172" s="1"/>
      <c r="G172" s="126"/>
      <c r="H172" s="127"/>
      <c r="I172" s="1"/>
      <c r="J172" s="1"/>
    </row>
    <row r="173" ht="14.25" customHeight="1">
      <c r="E173" s="1"/>
      <c r="F173" s="1"/>
      <c r="G173" s="1"/>
      <c r="H173" s="1"/>
      <c r="I173" s="1"/>
      <c r="J173" s="1"/>
    </row>
    <row r="174" ht="14.25" customHeight="1">
      <c r="E174" s="1"/>
      <c r="F174" s="1"/>
      <c r="G174" s="1"/>
      <c r="H174" s="1"/>
      <c r="I174" s="1"/>
      <c r="J174" s="1"/>
    </row>
    <row r="175" ht="14.25" customHeight="1">
      <c r="E175" s="1"/>
      <c r="F175" s="1"/>
      <c r="G175" s="1"/>
      <c r="H175" s="1"/>
      <c r="I175" s="1"/>
      <c r="J175" s="1"/>
    </row>
    <row r="176" ht="14.25" customHeight="1">
      <c r="E176" s="1"/>
      <c r="F176" s="1"/>
      <c r="G176" s="1"/>
      <c r="H176" s="1"/>
      <c r="I176" s="1"/>
      <c r="J176" s="1"/>
    </row>
    <row r="177" ht="14.25" customHeight="1">
      <c r="E177" s="1"/>
      <c r="F177" s="1"/>
      <c r="G177" s="1"/>
      <c r="H177" s="1"/>
      <c r="I177" s="1"/>
      <c r="J177" s="1"/>
    </row>
    <row r="178" ht="14.25" customHeight="1">
      <c r="E178" s="1"/>
      <c r="F178" s="1"/>
      <c r="G178" s="1"/>
      <c r="H178" s="1"/>
      <c r="I178" s="1"/>
      <c r="J178" s="1"/>
    </row>
    <row r="179" ht="14.25" customHeight="1">
      <c r="E179" s="1"/>
      <c r="F179" s="1"/>
      <c r="G179" s="1"/>
      <c r="H179" s="1"/>
      <c r="I179" s="1"/>
      <c r="J179" s="1"/>
    </row>
    <row r="180" ht="14.25" customHeight="1">
      <c r="E180" s="1"/>
      <c r="F180" s="1"/>
      <c r="G180" s="1"/>
      <c r="H180" s="1"/>
      <c r="I180" s="1"/>
      <c r="J180" s="1"/>
    </row>
    <row r="181" ht="14.25" customHeight="1">
      <c r="E181" s="1"/>
      <c r="F181" s="1"/>
      <c r="G181" s="1"/>
      <c r="H181" s="1"/>
      <c r="I181" s="1"/>
      <c r="J181" s="1"/>
    </row>
    <row r="182" ht="14.25" customHeight="1">
      <c r="E182" s="1"/>
      <c r="F182" s="1"/>
      <c r="G182" s="1"/>
      <c r="H182" s="1"/>
      <c r="I182" s="1"/>
      <c r="J182" s="1"/>
    </row>
    <row r="183" ht="14.25" customHeight="1">
      <c r="E183" s="1"/>
      <c r="F183" s="1"/>
      <c r="G183" s="1"/>
      <c r="H183" s="1"/>
      <c r="I183" s="1"/>
      <c r="J183" s="1"/>
    </row>
    <row r="184" ht="14.25" customHeight="1">
      <c r="E184" s="1"/>
      <c r="F184" s="1"/>
      <c r="G184" s="1"/>
      <c r="H184" s="1"/>
      <c r="I184" s="1"/>
      <c r="J184" s="1"/>
    </row>
    <row r="185" ht="14.25" customHeight="1">
      <c r="E185" s="1"/>
      <c r="F185" s="1"/>
      <c r="G185" s="1"/>
      <c r="H185" s="1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E188" s="1"/>
      <c r="F188" s="1"/>
      <c r="G188" s="1"/>
      <c r="H188" s="1"/>
      <c r="I188" s="1"/>
      <c r="J188" s="1"/>
    </row>
    <row r="189" ht="14.25" customHeight="1">
      <c r="E189" s="1"/>
      <c r="F189" s="1"/>
      <c r="G189" s="1"/>
      <c r="H189" s="1"/>
      <c r="I189" s="1"/>
      <c r="J189" s="1"/>
    </row>
    <row r="190" ht="14.25" customHeight="1">
      <c r="E190" s="1"/>
      <c r="F190" s="1"/>
      <c r="G190" s="1"/>
      <c r="H190" s="1"/>
      <c r="I190" s="1"/>
      <c r="J190" s="1"/>
    </row>
    <row r="191" ht="14.25" customHeight="1">
      <c r="E191" s="1"/>
      <c r="F191" s="1"/>
      <c r="G191" s="1"/>
      <c r="H191" s="1"/>
      <c r="I191" s="1"/>
      <c r="J191" s="1"/>
    </row>
    <row r="192" ht="14.25" customHeight="1">
      <c r="E192" s="1"/>
      <c r="F192" s="1"/>
      <c r="G192" s="1"/>
      <c r="H192" s="1"/>
      <c r="I192" s="1"/>
      <c r="J192" s="1"/>
    </row>
    <row r="193" ht="14.25" customHeight="1">
      <c r="E193" s="1"/>
      <c r="F193" s="1"/>
      <c r="G193" s="1"/>
      <c r="H193" s="1"/>
      <c r="I193" s="1"/>
      <c r="J193" s="1"/>
    </row>
    <row r="194" ht="14.25" customHeight="1">
      <c r="E194" s="1"/>
      <c r="F194" s="1"/>
      <c r="G194" s="1"/>
      <c r="H194" s="1"/>
      <c r="I194" s="1"/>
      <c r="J194" s="1"/>
    </row>
    <row r="195" ht="14.25" customHeight="1">
      <c r="E195" s="1"/>
      <c r="F195" s="1"/>
      <c r="G195" s="1"/>
      <c r="H195" s="1"/>
      <c r="I195" s="1"/>
      <c r="J195" s="1"/>
    </row>
    <row r="196" ht="14.25" customHeight="1">
      <c r="E196" s="1"/>
      <c r="F196" s="1"/>
      <c r="G196" s="1"/>
      <c r="H196" s="1"/>
      <c r="I196" s="1"/>
      <c r="J196" s="1"/>
    </row>
    <row r="197" ht="14.25" customHeight="1">
      <c r="E197" s="1"/>
      <c r="F197" s="1"/>
      <c r="G197" s="1"/>
      <c r="H197" s="1"/>
      <c r="I197" s="1"/>
      <c r="J197" s="1"/>
    </row>
    <row r="198" ht="14.25" customHeight="1">
      <c r="E198" s="1"/>
      <c r="F198" s="1"/>
      <c r="G198" s="1"/>
      <c r="H198" s="1"/>
      <c r="I198" s="1"/>
      <c r="J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51786.0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33677.0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45864.0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F166-C15</f>
        <v>55851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G166-W33</f>
        <v>13713</v>
      </c>
      <c r="D10" s="24"/>
      <c r="E10" s="43">
        <v>1.0</v>
      </c>
      <c r="F10" s="44">
        <v>88.0</v>
      </c>
      <c r="G10" s="45">
        <v>88.0</v>
      </c>
      <c r="H10" s="45"/>
      <c r="I10" s="45"/>
      <c r="J10" s="130">
        <v>4549.0</v>
      </c>
      <c r="K10" s="24"/>
      <c r="L10" s="47"/>
      <c r="M10" s="47"/>
      <c r="N10" s="48"/>
      <c r="O10" s="49"/>
      <c r="P10" s="85" t="s">
        <v>251</v>
      </c>
      <c r="Q10" s="51"/>
      <c r="R10" s="52">
        <v>1610.0</v>
      </c>
      <c r="S10" s="53"/>
      <c r="T10" s="54"/>
      <c r="U10" s="55"/>
      <c r="V10" s="24"/>
      <c r="W10" s="47">
        <v>446.0</v>
      </c>
      <c r="X10" s="47"/>
      <c r="Y10" s="47">
        <v>41.0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H166-X33</f>
        <v>38420</v>
      </c>
      <c r="D11" s="24"/>
      <c r="E11" s="43">
        <v>2.0</v>
      </c>
      <c r="F11" s="56">
        <v>9.0</v>
      </c>
      <c r="G11" s="57">
        <v>9.0</v>
      </c>
      <c r="H11" s="58"/>
      <c r="I11" s="59"/>
      <c r="J11" s="130">
        <v>4550.0</v>
      </c>
      <c r="K11" s="24"/>
      <c r="L11" s="48"/>
      <c r="M11" s="48"/>
      <c r="N11" s="48"/>
      <c r="O11" s="49"/>
      <c r="P11" s="72" t="s">
        <v>251</v>
      </c>
      <c r="Q11" s="51"/>
      <c r="R11" s="52">
        <v>260.0</v>
      </c>
      <c r="S11" s="53"/>
      <c r="T11" s="61"/>
      <c r="U11" s="62"/>
      <c r="V11" s="24"/>
      <c r="W11" s="47">
        <v>81.0</v>
      </c>
      <c r="X11" s="47"/>
      <c r="Y11" s="47">
        <v>42.0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I166</f>
        <v>3718</v>
      </c>
      <c r="D12" s="24"/>
      <c r="E12" s="43">
        <v>3.0</v>
      </c>
      <c r="F12" s="63">
        <v>34.0</v>
      </c>
      <c r="G12" s="64"/>
      <c r="H12" s="64">
        <v>34.0</v>
      </c>
      <c r="I12" s="65"/>
      <c r="J12" s="130">
        <v>4551.0</v>
      </c>
      <c r="K12" s="24"/>
      <c r="L12" s="48"/>
      <c r="M12" s="48"/>
      <c r="N12" s="48"/>
      <c r="O12" s="49"/>
      <c r="P12" s="72" t="s">
        <v>252</v>
      </c>
      <c r="Q12" s="51"/>
      <c r="R12" s="52">
        <v>477.0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50.0</v>
      </c>
      <c r="G13" s="64"/>
      <c r="H13" s="64">
        <v>50.0</v>
      </c>
      <c r="I13" s="65"/>
      <c r="J13" s="130">
        <v>4552.0</v>
      </c>
      <c r="K13" s="24"/>
      <c r="L13" s="48"/>
      <c r="M13" s="48"/>
      <c r="N13" s="48"/>
      <c r="O13" s="49"/>
      <c r="P13" s="72" t="s">
        <v>220</v>
      </c>
      <c r="Q13" s="51"/>
      <c r="R13" s="52">
        <v>1712.0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10.0</v>
      </c>
      <c r="G14" s="64">
        <v>10.0</v>
      </c>
      <c r="H14" s="65"/>
      <c r="I14" s="65"/>
      <c r="J14" s="130">
        <v>4553.0</v>
      </c>
      <c r="K14" s="24"/>
      <c r="L14" s="48"/>
      <c r="M14" s="48"/>
      <c r="N14" s="48"/>
      <c r="O14" s="49"/>
      <c r="P14" s="72" t="s">
        <v>253</v>
      </c>
      <c r="Q14" s="51"/>
      <c r="R14" s="52">
        <v>377.0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527</v>
      </c>
      <c r="D15" s="24"/>
      <c r="E15" s="43">
        <v>6.0</v>
      </c>
      <c r="F15" s="56">
        <v>30.0</v>
      </c>
      <c r="G15" s="64">
        <v>30.0</v>
      </c>
      <c r="H15" s="64"/>
      <c r="I15" s="65"/>
      <c r="J15" s="130">
        <v>4554.0</v>
      </c>
      <c r="K15" s="24"/>
      <c r="L15" s="48"/>
      <c r="M15" s="48"/>
      <c r="N15" s="48"/>
      <c r="O15" s="49"/>
      <c r="P15" s="72" t="s">
        <v>254</v>
      </c>
      <c r="Q15" s="51"/>
      <c r="R15" s="52">
        <v>100.0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4636</v>
      </c>
      <c r="D16" s="24"/>
      <c r="E16" s="43">
        <v>7.0</v>
      </c>
      <c r="F16" s="56">
        <v>566.0</v>
      </c>
      <c r="G16" s="64">
        <v>566.0</v>
      </c>
      <c r="H16" s="64"/>
      <c r="I16" s="65"/>
      <c r="J16" s="130">
        <v>4555.0</v>
      </c>
      <c r="K16" s="24"/>
      <c r="L16" s="48"/>
      <c r="M16" s="48"/>
      <c r="N16" s="48"/>
      <c r="O16" s="49"/>
      <c r="P16" s="72" t="s">
        <v>48</v>
      </c>
      <c r="Q16" s="51"/>
      <c r="R16" s="52">
        <v>100.0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4636</v>
      </c>
      <c r="D17" s="24"/>
      <c r="E17" s="43">
        <v>8.0</v>
      </c>
      <c r="F17" s="56">
        <v>455.0</v>
      </c>
      <c r="G17" s="65"/>
      <c r="H17" s="64">
        <v>455.0</v>
      </c>
      <c r="I17" s="65"/>
      <c r="J17" s="130">
        <v>4556.0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157.0</v>
      </c>
      <c r="G18" s="64">
        <v>157.0</v>
      </c>
      <c r="H18" s="64"/>
      <c r="I18" s="65"/>
      <c r="J18" s="130">
        <v>4557.0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377.0</v>
      </c>
      <c r="G19" s="64"/>
      <c r="H19" s="64">
        <v>377.0</v>
      </c>
      <c r="I19" s="65"/>
      <c r="J19" s="130">
        <v>4558.0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49582</v>
      </c>
      <c r="D20" s="24"/>
      <c r="E20" s="43">
        <v>11.0</v>
      </c>
      <c r="F20" s="56">
        <v>10.0</v>
      </c>
      <c r="G20" s="64"/>
      <c r="H20" s="64">
        <v>10.0</v>
      </c>
      <c r="I20" s="65"/>
      <c r="J20" s="130">
        <v>4559.0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38420</v>
      </c>
      <c r="D21" s="24"/>
      <c r="E21" s="43">
        <v>12.0</v>
      </c>
      <c r="F21" s="56">
        <v>480.0</v>
      </c>
      <c r="G21" s="64"/>
      <c r="H21" s="64">
        <v>480.0</v>
      </c>
      <c r="I21" s="65"/>
      <c r="J21" s="130">
        <v>4560.0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60863</v>
      </c>
      <c r="D22" s="24"/>
      <c r="E22" s="43">
        <v>13.0</v>
      </c>
      <c r="F22" s="216">
        <v>139.0</v>
      </c>
      <c r="G22" s="182"/>
      <c r="H22" s="182">
        <v>139.0</v>
      </c>
      <c r="I22" s="169"/>
      <c r="J22" s="155" t="s">
        <v>255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66535.0</v>
      </c>
      <c r="D23" s="24"/>
      <c r="E23" s="43">
        <v>14.0</v>
      </c>
      <c r="F23" s="56">
        <v>60.0</v>
      </c>
      <c r="G23" s="64">
        <v>60.0</v>
      </c>
      <c r="H23" s="65"/>
      <c r="I23" s="65"/>
      <c r="J23" s="130">
        <v>4562.0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-5672</v>
      </c>
      <c r="D24" s="24"/>
      <c r="E24" s="43">
        <v>15.0</v>
      </c>
      <c r="F24" s="56">
        <v>950.0</v>
      </c>
      <c r="G24" s="64"/>
      <c r="H24" s="64">
        <v>950.0</v>
      </c>
      <c r="I24" s="65"/>
      <c r="J24" s="130">
        <v>4563.0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503.0</v>
      </c>
      <c r="G25" s="64">
        <v>200.0</v>
      </c>
      <c r="H25" s="64">
        <v>303.0</v>
      </c>
      <c r="I25" s="65"/>
      <c r="J25" s="130">
        <v>4564.0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F166</f>
        <v>56378</v>
      </c>
      <c r="D26" s="24"/>
      <c r="E26" s="43">
        <v>17.0</v>
      </c>
      <c r="F26" s="56">
        <v>27.0</v>
      </c>
      <c r="G26" s="64"/>
      <c r="H26" s="64">
        <v>27.0</v>
      </c>
      <c r="I26" s="65"/>
      <c r="J26" s="130">
        <v>4565.0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141.0</v>
      </c>
      <c r="D27" s="24"/>
      <c r="E27" s="43">
        <v>18.0</v>
      </c>
      <c r="F27" s="56">
        <v>235.0</v>
      </c>
      <c r="G27" s="64"/>
      <c r="H27" s="64">
        <v>235.0</v>
      </c>
      <c r="I27" s="65"/>
      <c r="J27" s="130">
        <v>4566.0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399.8439716</v>
      </c>
      <c r="D28" s="24"/>
      <c r="E28" s="43">
        <v>19.0</v>
      </c>
      <c r="F28" s="56">
        <v>11.0</v>
      </c>
      <c r="G28" s="64">
        <v>11.0</v>
      </c>
      <c r="H28" s="65"/>
      <c r="I28" s="65"/>
      <c r="J28" s="130">
        <v>4567.0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720.0</v>
      </c>
      <c r="G29" s="64"/>
      <c r="H29" s="65"/>
      <c r="I29" s="64">
        <v>720.0</v>
      </c>
      <c r="J29" s="130" t="s">
        <v>256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29.0</v>
      </c>
      <c r="G30" s="93">
        <v>29.0</v>
      </c>
      <c r="H30" s="92"/>
      <c r="I30" s="93"/>
      <c r="J30" s="130">
        <v>4569.0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33677</v>
      </c>
      <c r="D31" s="24"/>
      <c r="E31" s="43">
        <v>22.0</v>
      </c>
      <c r="F31" s="56">
        <v>10.0</v>
      </c>
      <c r="G31" s="93"/>
      <c r="H31" s="93">
        <v>10.0</v>
      </c>
      <c r="I31" s="92"/>
      <c r="J31" s="130">
        <v>4570.0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4636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146.0</v>
      </c>
      <c r="G32" s="93"/>
      <c r="H32" s="93">
        <v>146.0</v>
      </c>
      <c r="I32" s="92"/>
      <c r="J32" s="130">
        <v>4571.0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60.0</v>
      </c>
      <c r="G33" s="93"/>
      <c r="H33" s="93">
        <v>60.0</v>
      </c>
      <c r="I33" s="92"/>
      <c r="J33" s="130">
        <v>4572.0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33677.0</v>
      </c>
      <c r="T33" s="101"/>
      <c r="U33" s="55"/>
      <c r="V33" s="24"/>
      <c r="W33" s="104">
        <f t="shared" ref="W33:X33" si="3">sum(W10:W32)</f>
        <v>527</v>
      </c>
      <c r="X33" s="104">
        <f t="shared" si="3"/>
        <v>0</v>
      </c>
      <c r="Y33" s="104">
        <f>W33+X33</f>
        <v>527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89.0</v>
      </c>
      <c r="G34" s="93"/>
      <c r="H34" s="93">
        <v>89.0</v>
      </c>
      <c r="I34" s="92"/>
      <c r="J34" s="130">
        <v>4573.0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80.0</v>
      </c>
      <c r="G35" s="93">
        <v>80.0</v>
      </c>
      <c r="H35" s="93"/>
      <c r="I35" s="92"/>
      <c r="J35" s="130">
        <v>4574.0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72.0</v>
      </c>
      <c r="G36" s="93">
        <v>72.0</v>
      </c>
      <c r="H36" s="93"/>
      <c r="I36" s="92"/>
      <c r="J36" s="130">
        <v>4575.0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642.0</v>
      </c>
      <c r="G37" s="93"/>
      <c r="H37" s="93">
        <v>642.0</v>
      </c>
      <c r="I37" s="92"/>
      <c r="J37" s="130">
        <v>4576.0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730.0</v>
      </c>
      <c r="G38" s="93"/>
      <c r="H38" s="93">
        <v>730.0</v>
      </c>
      <c r="I38" s="92"/>
      <c r="J38" s="130">
        <v>4577.0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60.0</v>
      </c>
      <c r="G39" s="93">
        <v>60.0</v>
      </c>
      <c r="H39" s="93"/>
      <c r="I39" s="92"/>
      <c r="J39" s="130">
        <v>4578.0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200.0</v>
      </c>
      <c r="G40" s="93">
        <v>200.0</v>
      </c>
      <c r="H40" s="93"/>
      <c r="I40" s="92"/>
      <c r="J40" s="130">
        <v>4579.0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203.0</v>
      </c>
      <c r="G41" s="93">
        <v>203.0</v>
      </c>
      <c r="H41" s="93"/>
      <c r="I41" s="92"/>
      <c r="J41" s="130">
        <v>4580.0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71.0</v>
      </c>
      <c r="G42" s="93">
        <v>71.0</v>
      </c>
      <c r="H42" s="93"/>
      <c r="I42" s="92"/>
      <c r="J42" s="130">
        <v>4581.0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241.0</v>
      </c>
      <c r="G43" s="93"/>
      <c r="H43" s="93">
        <v>241.0</v>
      </c>
      <c r="I43" s="92"/>
      <c r="J43" s="130">
        <v>4582.0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99.0</v>
      </c>
      <c r="G44" s="93">
        <v>99.0</v>
      </c>
      <c r="H44" s="93"/>
      <c r="I44" s="92"/>
      <c r="J44" s="130">
        <v>4583.0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248.0</v>
      </c>
      <c r="G45" s="93"/>
      <c r="H45" s="93">
        <v>248.0</v>
      </c>
      <c r="I45" s="92"/>
      <c r="J45" s="130">
        <v>4584.0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362.0</v>
      </c>
      <c r="G46" s="93">
        <v>362.0</v>
      </c>
      <c r="H46" s="92"/>
      <c r="I46" s="92"/>
      <c r="J46" s="130">
        <v>4585.0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216">
        <v>1187.0</v>
      </c>
      <c r="G47" s="173"/>
      <c r="H47" s="136">
        <v>1187.0</v>
      </c>
      <c r="I47" s="173"/>
      <c r="J47" s="155" t="s">
        <v>257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400.0</v>
      </c>
      <c r="G48" s="93">
        <v>400.0</v>
      </c>
      <c r="H48" s="92"/>
      <c r="I48" s="92"/>
      <c r="J48" s="130">
        <v>4587.0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1774.0</v>
      </c>
      <c r="G49" s="92"/>
      <c r="H49" s="93">
        <v>1774.0</v>
      </c>
      <c r="I49" s="92"/>
      <c r="J49" s="130">
        <v>4588.0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45.0</v>
      </c>
      <c r="G50" s="92"/>
      <c r="H50" s="93">
        <v>45.0</v>
      </c>
      <c r="I50" s="92"/>
      <c r="J50" s="130">
        <v>4589.0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26.0</v>
      </c>
      <c r="G51" s="92"/>
      <c r="H51" s="152">
        <v>26.0</v>
      </c>
      <c r="I51" s="92"/>
      <c r="J51" s="130">
        <v>4590.0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78.0</v>
      </c>
      <c r="G52" s="93">
        <v>78.0</v>
      </c>
      <c r="H52" s="92"/>
      <c r="I52" s="92"/>
      <c r="J52" s="130">
        <v>4591.0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740.0</v>
      </c>
      <c r="G53" s="93">
        <v>740.0</v>
      </c>
      <c r="H53" s="92"/>
      <c r="I53" s="92"/>
      <c r="J53" s="130">
        <v>4592.0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110.0</v>
      </c>
      <c r="G54" s="92"/>
      <c r="H54" s="93">
        <v>110.0</v>
      </c>
      <c r="I54" s="92"/>
      <c r="J54" s="130">
        <v>4593.0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22.0</v>
      </c>
      <c r="G55" s="92"/>
      <c r="H55" s="93">
        <v>22.0</v>
      </c>
      <c r="I55" s="92"/>
      <c r="J55" s="130">
        <v>4594.0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10.0</v>
      </c>
      <c r="G56" s="92"/>
      <c r="H56" s="93">
        <v>10.0</v>
      </c>
      <c r="I56" s="92"/>
      <c r="J56" s="130">
        <v>4595.0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3480.0</v>
      </c>
      <c r="G57" s="92"/>
      <c r="H57" s="93">
        <v>3480.0</v>
      </c>
      <c r="I57" s="93"/>
      <c r="J57" s="130">
        <v>4596.0</v>
      </c>
      <c r="K57" s="24"/>
      <c r="L57" s="112"/>
      <c r="M57" s="117" t="s">
        <v>139</v>
      </c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27.0</v>
      </c>
      <c r="G58" s="93">
        <v>27.0</v>
      </c>
      <c r="H58" s="92"/>
      <c r="I58" s="92"/>
      <c r="J58" s="130">
        <v>4597.0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820.0</v>
      </c>
      <c r="G59" s="92"/>
      <c r="H59" s="93">
        <v>820.0</v>
      </c>
      <c r="I59" s="92"/>
      <c r="J59" s="130">
        <v>4598.0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828.0</v>
      </c>
      <c r="G60" s="92"/>
      <c r="H60" s="93">
        <v>828.0</v>
      </c>
      <c r="I60" s="92"/>
      <c r="J60" s="130">
        <v>4599.0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440.0</v>
      </c>
      <c r="G61" s="92"/>
      <c r="H61" s="93">
        <v>440.0</v>
      </c>
      <c r="I61" s="92"/>
      <c r="J61" s="130">
        <v>4600.0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20.0</v>
      </c>
      <c r="G62" s="93">
        <v>20.0</v>
      </c>
      <c r="H62" s="92"/>
      <c r="I62" s="92"/>
      <c r="J62" s="130">
        <v>4601.0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529.0</v>
      </c>
      <c r="G63" s="93">
        <v>529.0</v>
      </c>
      <c r="H63" s="92"/>
      <c r="I63" s="92"/>
      <c r="J63" s="130">
        <v>4602.0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279.0</v>
      </c>
      <c r="G64" s="93">
        <v>279.0</v>
      </c>
      <c r="H64" s="92"/>
      <c r="I64" s="92"/>
      <c r="J64" s="130">
        <v>4603.0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107.0</v>
      </c>
      <c r="G65" s="93">
        <v>107.0</v>
      </c>
      <c r="H65" s="92"/>
      <c r="I65" s="92"/>
      <c r="J65" s="130">
        <v>4604.0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197.0</v>
      </c>
      <c r="G66" s="93">
        <v>197.0</v>
      </c>
      <c r="H66" s="92"/>
      <c r="I66" s="92"/>
      <c r="J66" s="130">
        <v>4605.0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69.0</v>
      </c>
      <c r="G67" s="93">
        <v>69.0</v>
      </c>
      <c r="H67" s="92"/>
      <c r="I67" s="92"/>
      <c r="J67" s="130">
        <v>4606.0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725.0</v>
      </c>
      <c r="G68" s="93">
        <v>725.0</v>
      </c>
      <c r="H68" s="92"/>
      <c r="I68" s="92"/>
      <c r="J68" s="130">
        <v>4607.0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72.0</v>
      </c>
      <c r="G69" s="93">
        <v>72.0</v>
      </c>
      <c r="H69" s="92"/>
      <c r="I69" s="92"/>
      <c r="J69" s="130">
        <v>4608.0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16.0</v>
      </c>
      <c r="G70" s="93">
        <v>16.0</v>
      </c>
      <c r="H70" s="92"/>
      <c r="I70" s="92"/>
      <c r="J70" s="130">
        <v>4609.0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124.0</v>
      </c>
      <c r="G71" s="92"/>
      <c r="H71" s="93">
        <v>124.0</v>
      </c>
      <c r="I71" s="92"/>
      <c r="J71" s="130">
        <v>4610.0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346.0</v>
      </c>
      <c r="G72" s="93">
        <v>346.0</v>
      </c>
      <c r="H72" s="92"/>
      <c r="I72" s="92"/>
      <c r="J72" s="130">
        <v>4611.0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237.0</v>
      </c>
      <c r="G73" s="92"/>
      <c r="H73" s="93">
        <v>237.0</v>
      </c>
      <c r="I73" s="92"/>
      <c r="J73" s="130">
        <v>4612.0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216">
        <v>256.0</v>
      </c>
      <c r="G74" s="173"/>
      <c r="H74" s="136">
        <v>256.0</v>
      </c>
      <c r="I74" s="173"/>
      <c r="J74" s="155" t="s">
        <v>258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1642.0</v>
      </c>
      <c r="G75" s="92"/>
      <c r="H75" s="93">
        <v>1642.0</v>
      </c>
      <c r="I75" s="92"/>
      <c r="J75" s="130">
        <v>4614.0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399.0</v>
      </c>
      <c r="G76" s="93">
        <v>399.0</v>
      </c>
      <c r="H76" s="92"/>
      <c r="I76" s="92"/>
      <c r="J76" s="130">
        <v>4615.0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123.0</v>
      </c>
      <c r="G77" s="93">
        <v>123.0</v>
      </c>
      <c r="H77" s="92"/>
      <c r="I77" s="92"/>
      <c r="J77" s="130">
        <v>4616.0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105.0</v>
      </c>
      <c r="G78" s="92"/>
      <c r="H78" s="93">
        <v>105.0</v>
      </c>
      <c r="I78" s="92"/>
      <c r="J78" s="130">
        <v>4617.0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216">
        <v>650.0</v>
      </c>
      <c r="G79" s="173"/>
      <c r="H79" s="136">
        <v>650.0</v>
      </c>
      <c r="I79" s="173"/>
      <c r="J79" s="155" t="s">
        <v>259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52.0</v>
      </c>
      <c r="G80" s="92"/>
      <c r="H80" s="93">
        <v>52.0</v>
      </c>
      <c r="I80" s="92"/>
      <c r="J80" s="130">
        <v>4619.0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1124.0</v>
      </c>
      <c r="G81" s="92"/>
      <c r="H81" s="93">
        <v>1124.0</v>
      </c>
      <c r="I81" s="92"/>
      <c r="J81" s="130">
        <v>4620.0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16.0</v>
      </c>
      <c r="G82" s="61"/>
      <c r="H82" s="54">
        <v>16.0</v>
      </c>
      <c r="I82" s="61"/>
      <c r="J82" s="130">
        <v>4621.0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147.0</v>
      </c>
      <c r="G83" s="54">
        <v>147.0</v>
      </c>
      <c r="H83" s="61"/>
      <c r="I83" s="61"/>
      <c r="J83" s="130">
        <v>4622.0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259.0</v>
      </c>
      <c r="G84" s="54">
        <v>259.0</v>
      </c>
      <c r="H84" s="61"/>
      <c r="I84" s="61"/>
      <c r="J84" s="130">
        <v>4623.0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74.0</v>
      </c>
      <c r="G85" s="54">
        <v>74.0</v>
      </c>
      <c r="H85" s="61"/>
      <c r="I85" s="61"/>
      <c r="J85" s="130">
        <v>4624.0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123.0</v>
      </c>
      <c r="G86" s="61"/>
      <c r="H86" s="54">
        <v>123.0</v>
      </c>
      <c r="I86" s="61"/>
      <c r="J86" s="130">
        <v>4625.0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93.0</v>
      </c>
      <c r="G87" s="54">
        <v>93.0</v>
      </c>
      <c r="H87" s="61"/>
      <c r="I87" s="61"/>
      <c r="J87" s="130">
        <v>4626.0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33.0</v>
      </c>
      <c r="G88" s="61"/>
      <c r="H88" s="54">
        <v>33.0</v>
      </c>
      <c r="I88" s="61"/>
      <c r="J88" s="130">
        <v>4627.0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216">
        <v>2600.0</v>
      </c>
      <c r="G89" s="173"/>
      <c r="H89" s="136">
        <v>2600.0</v>
      </c>
      <c r="I89" s="173"/>
      <c r="J89" s="155" t="s">
        <v>260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98.0</v>
      </c>
      <c r="G90" s="54">
        <v>98.0</v>
      </c>
      <c r="H90" s="61"/>
      <c r="I90" s="61"/>
      <c r="J90" s="130">
        <v>4629.0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47.0</v>
      </c>
      <c r="G91" s="54">
        <v>47.0</v>
      </c>
      <c r="H91" s="61"/>
      <c r="I91" s="61"/>
      <c r="J91" s="130">
        <v>4630.0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399.0</v>
      </c>
      <c r="G92" s="54">
        <v>399.0</v>
      </c>
      <c r="H92" s="61"/>
      <c r="I92" s="61"/>
      <c r="J92" s="130">
        <v>4631.0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135.0</v>
      </c>
      <c r="G93" s="61"/>
      <c r="H93" s="54">
        <v>135.0</v>
      </c>
      <c r="I93" s="61"/>
      <c r="J93" s="130">
        <v>4632.0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216">
        <v>2748.0</v>
      </c>
      <c r="G94" s="173"/>
      <c r="H94" s="136">
        <v>2748.0</v>
      </c>
      <c r="I94" s="173"/>
      <c r="J94" s="155" t="s">
        <v>261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303.0</v>
      </c>
      <c r="G95" s="54">
        <v>300.0</v>
      </c>
      <c r="H95" s="54">
        <v>3.0</v>
      </c>
      <c r="I95" s="61"/>
      <c r="J95" s="130">
        <v>4634.0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945.0</v>
      </c>
      <c r="G96" s="54"/>
      <c r="H96" s="61"/>
      <c r="I96" s="54">
        <v>945.0</v>
      </c>
      <c r="J96" s="130" t="s">
        <v>262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138">
        <v>36.0</v>
      </c>
      <c r="G97" s="54">
        <v>36.0</v>
      </c>
      <c r="H97" s="61"/>
      <c r="I97" s="61"/>
      <c r="J97" s="130">
        <v>4636.0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138">
        <v>89.0</v>
      </c>
      <c r="G98" s="61"/>
      <c r="H98" s="54">
        <v>89.0</v>
      </c>
      <c r="I98" s="61"/>
      <c r="J98" s="130">
        <v>4637.0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138">
        <v>936.0</v>
      </c>
      <c r="G99" s="61"/>
      <c r="H99" s="54">
        <v>936.0</v>
      </c>
      <c r="I99" s="61"/>
      <c r="J99" s="130">
        <v>4638.0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138">
        <v>525.0</v>
      </c>
      <c r="G100" s="61"/>
      <c r="H100" s="54">
        <v>525.0</v>
      </c>
      <c r="I100" s="61"/>
      <c r="J100" s="130">
        <v>4639.0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138">
        <v>236.0</v>
      </c>
      <c r="G101" s="54">
        <v>236.0</v>
      </c>
      <c r="H101" s="61"/>
      <c r="I101" s="61"/>
      <c r="J101" s="130">
        <v>4640.0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138">
        <v>983.0</v>
      </c>
      <c r="G102" s="61"/>
      <c r="H102" s="54">
        <v>983.0</v>
      </c>
      <c r="I102" s="61"/>
      <c r="J102" s="130">
        <v>4641.0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138">
        <v>220.0</v>
      </c>
      <c r="G103" s="61"/>
      <c r="H103" s="54">
        <v>220.0</v>
      </c>
      <c r="I103" s="61"/>
      <c r="J103" s="130">
        <v>4642.0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138">
        <v>257.0</v>
      </c>
      <c r="G104" s="54">
        <v>257.0</v>
      </c>
      <c r="H104" s="61"/>
      <c r="I104" s="61"/>
      <c r="J104" s="130">
        <v>4643.0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138">
        <v>63.0</v>
      </c>
      <c r="G105" s="54">
        <v>63.0</v>
      </c>
      <c r="H105" s="61"/>
      <c r="I105" s="61"/>
      <c r="J105" s="130">
        <v>4644.0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138">
        <v>149.0</v>
      </c>
      <c r="G106" s="61"/>
      <c r="H106" s="256">
        <v>149.0</v>
      </c>
      <c r="I106" s="61"/>
      <c r="J106" s="130">
        <v>4645.0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138">
        <v>325.0</v>
      </c>
      <c r="G107" s="61"/>
      <c r="H107" s="256">
        <v>325.0</v>
      </c>
      <c r="I107" s="61"/>
      <c r="J107" s="130">
        <v>4646.0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138">
        <v>135.0</v>
      </c>
      <c r="G108" s="61"/>
      <c r="H108" s="54">
        <v>135.0</v>
      </c>
      <c r="I108" s="61"/>
      <c r="J108" s="130">
        <v>4647.0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138">
        <v>185.0</v>
      </c>
      <c r="G109" s="61"/>
      <c r="H109" s="54">
        <v>185.0</v>
      </c>
      <c r="I109" s="61"/>
      <c r="J109" s="130">
        <v>4648.0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138">
        <v>913.0</v>
      </c>
      <c r="G110" s="61"/>
      <c r="H110" s="54">
        <v>913.0</v>
      </c>
      <c r="I110" s="61"/>
      <c r="J110" s="130">
        <v>4649.0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138">
        <v>2116.0</v>
      </c>
      <c r="G111" s="61"/>
      <c r="H111" s="54">
        <v>2116.0</v>
      </c>
      <c r="I111" s="61"/>
      <c r="J111" s="130">
        <v>4650.0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138">
        <v>256.0</v>
      </c>
      <c r="G112" s="61"/>
      <c r="H112" s="54">
        <v>256.0</v>
      </c>
      <c r="I112" s="61"/>
      <c r="J112" s="130">
        <v>4651.0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138">
        <v>7.0</v>
      </c>
      <c r="G113" s="61"/>
      <c r="H113" s="54">
        <v>7.0</v>
      </c>
      <c r="I113" s="61"/>
      <c r="J113" s="130">
        <v>4652.0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138">
        <v>145.0</v>
      </c>
      <c r="G114" s="54">
        <v>145.0</v>
      </c>
      <c r="H114" s="61"/>
      <c r="I114" s="61"/>
      <c r="J114" s="130">
        <v>4653.0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138">
        <v>350.0</v>
      </c>
      <c r="G115" s="54">
        <v>350.0</v>
      </c>
      <c r="H115" s="61"/>
      <c r="I115" s="61"/>
      <c r="J115" s="130">
        <v>4654.0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138">
        <v>127.0</v>
      </c>
      <c r="G116" s="54">
        <v>120.0</v>
      </c>
      <c r="H116" s="54">
        <v>7.0</v>
      </c>
      <c r="I116" s="61"/>
      <c r="J116" s="130">
        <v>4655.0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138">
        <v>145.0</v>
      </c>
      <c r="G117" s="61"/>
      <c r="H117" s="54">
        <v>145.0</v>
      </c>
      <c r="I117" s="61"/>
      <c r="J117" s="130">
        <v>4656.0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138">
        <v>27.0</v>
      </c>
      <c r="G118" s="61"/>
      <c r="H118" s="54">
        <v>27.0</v>
      </c>
      <c r="I118" s="61"/>
      <c r="J118" s="130">
        <v>4657.0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138">
        <v>60.0</v>
      </c>
      <c r="G119" s="54">
        <v>60.0</v>
      </c>
      <c r="H119" s="61"/>
      <c r="I119" s="61"/>
      <c r="J119" s="130">
        <v>4658.0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138">
        <v>798.0</v>
      </c>
      <c r="G120" s="54">
        <v>798.0</v>
      </c>
      <c r="H120" s="61"/>
      <c r="I120" s="61"/>
      <c r="J120" s="130">
        <v>4659.0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138">
        <v>102.0</v>
      </c>
      <c r="G121" s="54">
        <v>102.0</v>
      </c>
      <c r="H121" s="61"/>
      <c r="I121" s="61"/>
      <c r="J121" s="130">
        <v>4660.0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138">
        <v>1278.0</v>
      </c>
      <c r="G122" s="61"/>
      <c r="H122" s="54">
        <v>1278.0</v>
      </c>
      <c r="I122" s="61"/>
      <c r="J122" s="130">
        <v>4661.0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138">
        <v>113.0</v>
      </c>
      <c r="G123" s="61"/>
      <c r="H123" s="54">
        <v>113.0</v>
      </c>
      <c r="I123" s="61"/>
      <c r="J123" s="130">
        <v>4662.0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138">
        <v>1100.0</v>
      </c>
      <c r="G124" s="61"/>
      <c r="H124" s="54">
        <v>1100.0</v>
      </c>
      <c r="I124" s="61"/>
      <c r="J124" s="130">
        <v>4663.0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138">
        <v>1995.0</v>
      </c>
      <c r="G125" s="61"/>
      <c r="H125" s="54">
        <v>1995.0</v>
      </c>
      <c r="I125" s="61"/>
      <c r="J125" s="130">
        <v>4664.0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138">
        <v>39.0</v>
      </c>
      <c r="G126" s="61"/>
      <c r="H126" s="54">
        <v>39.0</v>
      </c>
      <c r="I126" s="61"/>
      <c r="J126" s="130">
        <v>4665.0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138">
        <v>200.0</v>
      </c>
      <c r="G127" s="61"/>
      <c r="H127" s="54">
        <v>200.0</v>
      </c>
      <c r="I127" s="61"/>
      <c r="J127" s="130">
        <v>4666.0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138">
        <v>93.0</v>
      </c>
      <c r="G128" s="61"/>
      <c r="H128" s="54">
        <v>93.0</v>
      </c>
      <c r="I128" s="61"/>
      <c r="J128" s="130">
        <v>4667.0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38">
        <v>1248.0</v>
      </c>
      <c r="G129" s="54">
        <v>1248.0</v>
      </c>
      <c r="H129" s="61"/>
      <c r="I129" s="61"/>
      <c r="J129" s="130">
        <v>4668.0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38">
        <v>862.0</v>
      </c>
      <c r="G130" s="61"/>
      <c r="H130" s="54">
        <v>862.0</v>
      </c>
      <c r="I130" s="61"/>
      <c r="J130" s="130">
        <v>4669.0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38">
        <v>75.0</v>
      </c>
      <c r="G131" s="54">
        <v>75.0</v>
      </c>
      <c r="H131" s="61"/>
      <c r="I131" s="61"/>
      <c r="J131" s="130">
        <v>4670.0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138">
        <v>966.0</v>
      </c>
      <c r="G132" s="54">
        <v>966.0</v>
      </c>
      <c r="H132" s="61"/>
      <c r="I132" s="61"/>
      <c r="J132" s="130">
        <v>4671.0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38">
        <v>99.0</v>
      </c>
      <c r="G133" s="54">
        <v>99.0</v>
      </c>
      <c r="H133" s="61"/>
      <c r="I133" s="61"/>
      <c r="J133" s="130">
        <v>4672.0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38">
        <v>360.0</v>
      </c>
      <c r="G134" s="61"/>
      <c r="H134" s="54">
        <v>360.0</v>
      </c>
      <c r="I134" s="61"/>
      <c r="J134" s="130">
        <v>4673.0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138">
        <v>48.0</v>
      </c>
      <c r="G135" s="61"/>
      <c r="H135" s="54">
        <v>48.0</v>
      </c>
      <c r="I135" s="61"/>
      <c r="J135" s="130">
        <v>4674.0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138">
        <v>363.0</v>
      </c>
      <c r="G136" s="61"/>
      <c r="H136" s="54">
        <v>363.0</v>
      </c>
      <c r="I136" s="61"/>
      <c r="J136" s="130">
        <v>4675.0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43">
        <v>128.0</v>
      </c>
      <c r="F137" s="138">
        <v>10.0</v>
      </c>
      <c r="G137" s="61"/>
      <c r="H137" s="61"/>
      <c r="I137" s="54">
        <v>10.0</v>
      </c>
      <c r="J137" s="130" t="s">
        <v>263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43">
        <v>129.0</v>
      </c>
      <c r="F138" s="138">
        <v>1599.0</v>
      </c>
      <c r="G138" s="54">
        <v>1599.0</v>
      </c>
      <c r="H138" s="61"/>
      <c r="I138" s="61"/>
      <c r="J138" s="130">
        <v>4677.0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43">
        <v>130.0</v>
      </c>
      <c r="F139" s="138">
        <v>24.0</v>
      </c>
      <c r="G139" s="61"/>
      <c r="H139" s="54">
        <v>24.0</v>
      </c>
      <c r="I139" s="61"/>
      <c r="J139" s="130">
        <v>4678.0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43">
        <v>131.0</v>
      </c>
      <c r="F140" s="138">
        <v>474.0</v>
      </c>
      <c r="G140" s="61"/>
      <c r="H140" s="54">
        <v>474.0</v>
      </c>
      <c r="I140" s="61"/>
      <c r="J140" s="130">
        <v>4679.0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43">
        <v>132.0</v>
      </c>
      <c r="F141" s="138">
        <v>282.0</v>
      </c>
      <c r="G141" s="61"/>
      <c r="H141" s="54">
        <v>282.0</v>
      </c>
      <c r="I141" s="61"/>
      <c r="J141" s="130">
        <v>4680.0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43">
        <v>133.0</v>
      </c>
      <c r="F142" s="138">
        <v>2043.0</v>
      </c>
      <c r="G142" s="61"/>
      <c r="H142" s="61"/>
      <c r="I142" s="54">
        <v>2043.0</v>
      </c>
      <c r="J142" s="130" t="s">
        <v>264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43">
        <v>134.0</v>
      </c>
      <c r="F143" s="138">
        <v>5.0</v>
      </c>
      <c r="G143" s="54"/>
      <c r="H143" s="54">
        <v>5.0</v>
      </c>
      <c r="I143" s="61"/>
      <c r="J143" s="130">
        <v>4682.0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43">
        <v>135.0</v>
      </c>
      <c r="F144" s="138">
        <v>19.0</v>
      </c>
      <c r="G144" s="54">
        <v>19.0</v>
      </c>
      <c r="H144" s="61"/>
      <c r="I144" s="61"/>
      <c r="J144" s="130">
        <v>4683.0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43">
        <v>136.0</v>
      </c>
      <c r="F145" s="138">
        <v>40.0</v>
      </c>
      <c r="G145" s="61"/>
      <c r="H145" s="54">
        <v>40.0</v>
      </c>
      <c r="I145" s="61"/>
      <c r="J145" s="130">
        <v>4684.0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43">
        <v>137.0</v>
      </c>
      <c r="F146" s="138">
        <v>159.0</v>
      </c>
      <c r="G146" s="61"/>
      <c r="H146" s="54">
        <v>159.0</v>
      </c>
      <c r="I146" s="61"/>
      <c r="J146" s="130">
        <v>4685.0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43">
        <v>138.0</v>
      </c>
      <c r="F147" s="138">
        <v>31.0</v>
      </c>
      <c r="G147" s="54">
        <v>31.0</v>
      </c>
      <c r="H147" s="61"/>
      <c r="I147" s="61"/>
      <c r="J147" s="130">
        <v>4686.0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43">
        <v>139.0</v>
      </c>
      <c r="F148" s="138">
        <v>70.0</v>
      </c>
      <c r="G148" s="61"/>
      <c r="H148" s="54">
        <v>70.0</v>
      </c>
      <c r="I148" s="54"/>
      <c r="J148" s="130">
        <v>4687.0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43">
        <v>140.0</v>
      </c>
      <c r="F149" s="138">
        <v>81.0</v>
      </c>
      <c r="G149" s="61"/>
      <c r="H149" s="54">
        <v>81.0</v>
      </c>
      <c r="I149" s="61"/>
      <c r="J149" s="130">
        <v>4688.0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43">
        <v>141.0</v>
      </c>
      <c r="F150" s="138">
        <v>185.0</v>
      </c>
      <c r="G150" s="54">
        <v>185.0</v>
      </c>
      <c r="H150" s="54"/>
      <c r="I150" s="61"/>
      <c r="J150" s="130">
        <v>4689.0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43"/>
      <c r="F151" s="121"/>
      <c r="G151" s="61"/>
      <c r="H151" s="61"/>
      <c r="I151" s="61"/>
      <c r="J151" s="130">
        <v>4690.0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43"/>
      <c r="F152" s="121"/>
      <c r="G152" s="61"/>
      <c r="H152" s="61"/>
      <c r="I152" s="61"/>
      <c r="J152" s="4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43"/>
      <c r="F153" s="121"/>
      <c r="G153" s="61"/>
      <c r="H153" s="61"/>
      <c r="I153" s="61"/>
      <c r="J153" s="4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43"/>
      <c r="F154" s="121"/>
      <c r="G154" s="61"/>
      <c r="H154" s="61"/>
      <c r="I154" s="61"/>
      <c r="J154" s="4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43"/>
      <c r="F155" s="121"/>
      <c r="G155" s="61"/>
      <c r="H155" s="61"/>
      <c r="I155" s="61"/>
      <c r="J155" s="4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43"/>
      <c r="F156" s="121"/>
      <c r="G156" s="61"/>
      <c r="H156" s="61"/>
      <c r="I156" s="61"/>
      <c r="J156" s="4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43"/>
      <c r="F157" s="121"/>
      <c r="G157" s="61"/>
      <c r="H157" s="61"/>
      <c r="I157" s="61"/>
      <c r="J157" s="4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43"/>
      <c r="F158" s="121"/>
      <c r="G158" s="61"/>
      <c r="H158" s="61"/>
      <c r="I158" s="61"/>
      <c r="J158" s="4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43"/>
      <c r="F159" s="121"/>
      <c r="G159" s="61"/>
      <c r="H159" s="61"/>
      <c r="I159" s="61"/>
      <c r="J159" s="4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43"/>
      <c r="F160" s="121"/>
      <c r="G160" s="61"/>
      <c r="H160" s="61"/>
      <c r="I160" s="61"/>
      <c r="J160" s="4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43"/>
      <c r="F161" s="121"/>
      <c r="G161" s="61"/>
      <c r="H161" s="61"/>
      <c r="I161" s="61"/>
      <c r="J161" s="4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43"/>
      <c r="F162" s="121"/>
      <c r="G162" s="61"/>
      <c r="H162" s="61"/>
      <c r="I162" s="61"/>
      <c r="J162" s="4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43"/>
      <c r="F163" s="121"/>
      <c r="G163" s="61"/>
      <c r="H163" s="61"/>
      <c r="I163" s="61"/>
      <c r="J163" s="4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43"/>
      <c r="F164" s="121"/>
      <c r="G164" s="61"/>
      <c r="H164" s="61"/>
      <c r="I164" s="61"/>
      <c r="J164" s="4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43"/>
      <c r="F165" s="121"/>
      <c r="G165" s="61"/>
      <c r="H165" s="61"/>
      <c r="I165" s="61"/>
      <c r="J165" s="4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22"/>
      <c r="F166" s="123">
        <f t="shared" ref="F166:I166" si="4">SUM(F10:F165)</f>
        <v>56378</v>
      </c>
      <c r="G166" s="123">
        <f t="shared" si="4"/>
        <v>14240</v>
      </c>
      <c r="H166" s="123">
        <f t="shared" si="4"/>
        <v>38420</v>
      </c>
      <c r="I166" s="123">
        <f t="shared" si="4"/>
        <v>3718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24"/>
      <c r="F167" s="124"/>
      <c r="G167" s="124"/>
      <c r="H167" s="124"/>
      <c r="I167" s="12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E173" s="1"/>
      <c r="F173" s="1"/>
      <c r="G173" s="1"/>
      <c r="H173" s="1"/>
      <c r="I173" s="1"/>
      <c r="J173" s="1"/>
    </row>
    <row r="174" ht="14.25" customHeight="1">
      <c r="E174" s="1"/>
      <c r="F174" s="1"/>
      <c r="G174" s="1"/>
      <c r="H174" s="1"/>
      <c r="I174" s="1"/>
      <c r="J174" s="1"/>
    </row>
    <row r="175" ht="14.25" customHeight="1">
      <c r="E175" s="1"/>
      <c r="F175" s="1"/>
      <c r="G175" s="1"/>
      <c r="H175" s="1"/>
      <c r="I175" s="1"/>
      <c r="J175" s="1"/>
    </row>
    <row r="176" ht="14.25" customHeight="1">
      <c r="E176" s="1"/>
      <c r="F176" s="1"/>
      <c r="G176" s="1"/>
      <c r="H176" s="1"/>
      <c r="I176" s="1"/>
      <c r="J176" s="1"/>
    </row>
    <row r="177" ht="14.25" customHeight="1">
      <c r="E177" s="1"/>
      <c r="F177" s="1"/>
      <c r="G177" s="1"/>
      <c r="H177" s="1"/>
      <c r="I177" s="1"/>
      <c r="J177" s="1"/>
    </row>
    <row r="178" ht="14.25" customHeight="1">
      <c r="E178" s="1"/>
      <c r="F178" s="1"/>
      <c r="G178" s="1"/>
      <c r="H178" s="1"/>
      <c r="I178" s="1"/>
      <c r="J178" s="1"/>
    </row>
    <row r="179" ht="14.25" customHeight="1">
      <c r="E179" s="1"/>
      <c r="F179" s="1"/>
      <c r="G179" s="126"/>
      <c r="H179" s="127"/>
      <c r="I179" s="1"/>
      <c r="J179" s="1"/>
    </row>
    <row r="180" ht="14.25" customHeight="1">
      <c r="E180" s="1"/>
      <c r="F180" s="1"/>
      <c r="G180" s="1"/>
      <c r="H180" s="1"/>
      <c r="I180" s="1"/>
      <c r="J180" s="1"/>
    </row>
    <row r="181" ht="14.25" customHeight="1">
      <c r="E181" s="1"/>
      <c r="F181" s="1"/>
      <c r="G181" s="1"/>
      <c r="H181" s="1"/>
      <c r="I181" s="1"/>
      <c r="J181" s="1"/>
    </row>
    <row r="182" ht="14.25" customHeight="1">
      <c r="E182" s="1"/>
      <c r="F182" s="1"/>
      <c r="G182" s="1"/>
      <c r="H182" s="1"/>
      <c r="I182" s="1"/>
      <c r="J182" s="1"/>
    </row>
    <row r="183" ht="14.25" customHeight="1">
      <c r="E183" s="1"/>
      <c r="F183" s="1"/>
      <c r="G183" s="1"/>
      <c r="H183" s="1"/>
      <c r="I183" s="1"/>
      <c r="J183" s="1"/>
    </row>
    <row r="184" ht="14.25" customHeight="1">
      <c r="E184" s="1"/>
      <c r="F184" s="1"/>
      <c r="G184" s="1"/>
      <c r="H184" s="1"/>
      <c r="I184" s="1"/>
      <c r="J184" s="1"/>
    </row>
    <row r="185" ht="14.25" customHeight="1">
      <c r="E185" s="1"/>
      <c r="F185" s="1"/>
      <c r="G185" s="1"/>
      <c r="H185" s="1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E188" s="1"/>
      <c r="F188" s="1"/>
      <c r="G188" s="1"/>
      <c r="H188" s="1"/>
      <c r="I188" s="1"/>
      <c r="J188" s="1"/>
    </row>
    <row r="189" ht="14.25" customHeight="1">
      <c r="E189" s="1"/>
      <c r="F189" s="1"/>
      <c r="G189" s="1"/>
      <c r="H189" s="1"/>
      <c r="I189" s="1"/>
      <c r="J189" s="1"/>
    </row>
    <row r="190" ht="14.25" customHeight="1">
      <c r="E190" s="1"/>
      <c r="F190" s="1"/>
      <c r="G190" s="1"/>
      <c r="H190" s="1"/>
      <c r="I190" s="1"/>
      <c r="J190" s="1"/>
    </row>
    <row r="191" ht="14.25" customHeight="1">
      <c r="E191" s="1"/>
      <c r="F191" s="1"/>
      <c r="G191" s="1"/>
      <c r="H191" s="1"/>
      <c r="I191" s="1"/>
      <c r="J191" s="1"/>
    </row>
    <row r="192" ht="14.25" customHeight="1">
      <c r="E192" s="1"/>
      <c r="F192" s="1"/>
      <c r="G192" s="1"/>
      <c r="H192" s="1"/>
      <c r="I192" s="1"/>
      <c r="J192" s="1"/>
    </row>
    <row r="193" ht="14.25" customHeight="1">
      <c r="E193" s="1"/>
      <c r="F193" s="1"/>
      <c r="G193" s="1"/>
      <c r="H193" s="1"/>
      <c r="I193" s="1"/>
      <c r="J193" s="1"/>
    </row>
    <row r="194" ht="14.25" customHeight="1">
      <c r="E194" s="1"/>
      <c r="F194" s="1"/>
      <c r="G194" s="1"/>
      <c r="H194" s="1"/>
      <c r="I194" s="1"/>
      <c r="J194" s="1"/>
    </row>
    <row r="195" ht="14.25" customHeight="1">
      <c r="E195" s="1"/>
      <c r="F195" s="1"/>
      <c r="G195" s="1"/>
      <c r="H195" s="1"/>
      <c r="I195" s="1"/>
      <c r="J195" s="1"/>
    </row>
    <row r="196" ht="14.25" customHeight="1">
      <c r="E196" s="1"/>
      <c r="F196" s="1"/>
      <c r="G196" s="1"/>
      <c r="H196" s="1"/>
      <c r="I196" s="1"/>
      <c r="J196" s="1"/>
    </row>
    <row r="197" ht="14.25" customHeight="1">
      <c r="E197" s="1"/>
      <c r="F197" s="1"/>
      <c r="G197" s="1"/>
      <c r="H197" s="1"/>
      <c r="I197" s="1"/>
      <c r="J197" s="1"/>
    </row>
    <row r="198" ht="14.25" customHeight="1">
      <c r="E198" s="1"/>
      <c r="F198" s="1"/>
      <c r="G198" s="1"/>
      <c r="H198" s="1"/>
      <c r="I198" s="1"/>
      <c r="J198" s="1"/>
    </row>
    <row r="199" ht="14.25" customHeight="1">
      <c r="E199" s="1"/>
      <c r="F199" s="1"/>
      <c r="G199" s="1"/>
      <c r="H199" s="1"/>
      <c r="I199" s="1"/>
      <c r="J199" s="1"/>
    </row>
    <row r="200" ht="14.25" customHeight="1">
      <c r="E200" s="1"/>
      <c r="F200" s="1"/>
      <c r="G200" s="1"/>
      <c r="H200" s="1"/>
      <c r="I200" s="1"/>
      <c r="J200" s="1"/>
    </row>
    <row r="201" ht="14.25" customHeight="1">
      <c r="E201" s="1"/>
      <c r="F201" s="1"/>
      <c r="G201" s="1"/>
      <c r="H201" s="1"/>
      <c r="I201" s="1"/>
      <c r="J201" s="1"/>
    </row>
    <row r="202" ht="14.25" customHeight="1">
      <c r="E202" s="1"/>
      <c r="F202" s="1"/>
      <c r="G202" s="1"/>
      <c r="H202" s="1"/>
      <c r="I202" s="1"/>
      <c r="J202" s="1"/>
    </row>
    <row r="203" ht="14.25" customHeight="1">
      <c r="E203" s="1"/>
      <c r="F203" s="1"/>
      <c r="G203" s="1"/>
      <c r="H203" s="1"/>
      <c r="I203" s="1"/>
      <c r="J203" s="1"/>
    </row>
    <row r="204" ht="14.25" customHeight="1">
      <c r="E204" s="1"/>
      <c r="F204" s="1"/>
      <c r="G204" s="1"/>
      <c r="H204" s="1"/>
      <c r="I204" s="1"/>
      <c r="J204" s="1"/>
    </row>
    <row r="205" ht="14.25" customHeight="1">
      <c r="E205" s="1"/>
      <c r="F205" s="1"/>
      <c r="G205" s="1"/>
      <c r="H205" s="1"/>
      <c r="I205" s="1"/>
      <c r="J205" s="1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60863.0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38420.0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49582.0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F157-C15</f>
        <v>73653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G157-W33</f>
        <v>17622</v>
      </c>
      <c r="D10" s="24"/>
      <c r="E10" s="43">
        <v>1.0</v>
      </c>
      <c r="F10" s="44">
        <v>55.0</v>
      </c>
      <c r="G10" s="45">
        <v>55.0</v>
      </c>
      <c r="H10" s="45"/>
      <c r="I10" s="45"/>
      <c r="J10" s="130">
        <v>4690.0</v>
      </c>
      <c r="K10" s="24"/>
      <c r="L10" s="47">
        <v>945.0</v>
      </c>
      <c r="M10" s="47"/>
      <c r="N10" s="47">
        <v>4635.0</v>
      </c>
      <c r="O10" s="49"/>
      <c r="P10" s="85" t="s">
        <v>265</v>
      </c>
      <c r="Q10" s="51"/>
      <c r="R10" s="52">
        <v>2000.0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H157-X33</f>
        <v>47029</v>
      </c>
      <c r="D11" s="24"/>
      <c r="E11" s="43">
        <v>2.0</v>
      </c>
      <c r="F11" s="56">
        <v>15.0</v>
      </c>
      <c r="G11" s="57">
        <v>15.0</v>
      </c>
      <c r="H11" s="58"/>
      <c r="I11" s="59"/>
      <c r="J11" s="139">
        <v>4691.0</v>
      </c>
      <c r="K11" s="24"/>
      <c r="L11" s="48"/>
      <c r="M11" s="48"/>
      <c r="N11" s="48"/>
      <c r="O11" s="49"/>
      <c r="P11" s="72" t="s">
        <v>141</v>
      </c>
      <c r="Q11" s="51"/>
      <c r="R11" s="52">
        <v>1124.0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I157</f>
        <v>10641</v>
      </c>
      <c r="D12" s="24"/>
      <c r="E12" s="43">
        <v>3.0</v>
      </c>
      <c r="F12" s="63">
        <v>3700.0</v>
      </c>
      <c r="G12" s="64"/>
      <c r="H12" s="132">
        <v>3700.0</v>
      </c>
      <c r="I12" s="65"/>
      <c r="J12" s="130">
        <v>4692.0</v>
      </c>
      <c r="K12" s="24"/>
      <c r="L12" s="48"/>
      <c r="M12" s="48"/>
      <c r="N12" s="48"/>
      <c r="O12" s="49"/>
      <c r="P12" s="72" t="s">
        <v>165</v>
      </c>
      <c r="Q12" s="51"/>
      <c r="R12" s="52">
        <v>664.0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945</v>
      </c>
      <c r="D13" s="24"/>
      <c r="E13" s="43">
        <v>4.0</v>
      </c>
      <c r="F13" s="56">
        <v>890.0</v>
      </c>
      <c r="G13" s="64"/>
      <c r="H13" s="132">
        <v>890.0</v>
      </c>
      <c r="I13" s="65"/>
      <c r="J13" s="130">
        <v>4693.0</v>
      </c>
      <c r="K13" s="24"/>
      <c r="L13" s="48"/>
      <c r="M13" s="48"/>
      <c r="N13" s="48"/>
      <c r="O13" s="49"/>
      <c r="P13" s="72" t="s">
        <v>266</v>
      </c>
      <c r="Q13" s="51"/>
      <c r="R13" s="52">
        <v>269.0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323.0</v>
      </c>
      <c r="G14" s="64"/>
      <c r="H14" s="132">
        <v>323.0</v>
      </c>
      <c r="I14" s="65"/>
      <c r="J14" s="130">
        <v>4694.0</v>
      </c>
      <c r="K14" s="24"/>
      <c r="L14" s="48"/>
      <c r="M14" s="48"/>
      <c r="N14" s="48"/>
      <c r="O14" s="49"/>
      <c r="P14" s="72" t="s">
        <v>83</v>
      </c>
      <c r="Q14" s="51"/>
      <c r="R14" s="52">
        <v>450.0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238.0</v>
      </c>
      <c r="G15" s="64"/>
      <c r="H15" s="132">
        <v>238.0</v>
      </c>
      <c r="I15" s="65"/>
      <c r="J15" s="139">
        <v>4695.0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4507</v>
      </c>
      <c r="D16" s="24"/>
      <c r="E16" s="43">
        <v>7.0</v>
      </c>
      <c r="F16" s="56">
        <v>608.0</v>
      </c>
      <c r="G16" s="64"/>
      <c r="H16" s="132">
        <v>608.0</v>
      </c>
      <c r="I16" s="65"/>
      <c r="J16" s="130">
        <v>4696.0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4507</v>
      </c>
      <c r="D17" s="24"/>
      <c r="E17" s="43">
        <v>8.0</v>
      </c>
      <c r="F17" s="216">
        <v>267.0</v>
      </c>
      <c r="G17" s="169"/>
      <c r="H17" s="182">
        <v>267.0</v>
      </c>
      <c r="I17" s="169"/>
      <c r="J17" s="155" t="s">
        <v>267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216">
        <v>3923.0</v>
      </c>
      <c r="G18" s="182"/>
      <c r="H18" s="182">
        <v>3923.0</v>
      </c>
      <c r="I18" s="169"/>
      <c r="J18" s="155" t="s">
        <v>268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4.0</v>
      </c>
      <c r="G19" s="64">
        <v>4.0</v>
      </c>
      <c r="H19" s="65"/>
      <c r="I19" s="65"/>
      <c r="J19" s="139">
        <v>4699.0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59278</v>
      </c>
      <c r="D20" s="24"/>
      <c r="E20" s="43">
        <v>11.0</v>
      </c>
      <c r="F20" s="56">
        <v>550.0</v>
      </c>
      <c r="G20" s="65"/>
      <c r="H20" s="132">
        <v>550.0</v>
      </c>
      <c r="I20" s="65"/>
      <c r="J20" s="130">
        <v>4700.0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47029</v>
      </c>
      <c r="D21" s="24"/>
      <c r="E21" s="43">
        <v>12.0</v>
      </c>
      <c r="F21" s="56">
        <v>42.0</v>
      </c>
      <c r="G21" s="65"/>
      <c r="H21" s="132">
        <v>42.0</v>
      </c>
      <c r="I21" s="65"/>
      <c r="J21" s="130">
        <v>4701.0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74923</v>
      </c>
      <c r="D22" s="24"/>
      <c r="E22" s="43">
        <v>13.0</v>
      </c>
      <c r="F22" s="56">
        <v>665.0</v>
      </c>
      <c r="G22" s="64"/>
      <c r="H22" s="132">
        <v>665.0</v>
      </c>
      <c r="I22" s="65"/>
      <c r="J22" s="130">
        <v>4702.0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79171.0</v>
      </c>
      <c r="D23" s="24"/>
      <c r="E23" s="43">
        <v>14.0</v>
      </c>
      <c r="F23" s="56">
        <v>169.0</v>
      </c>
      <c r="G23" s="65"/>
      <c r="H23" s="132">
        <v>169.0</v>
      </c>
      <c r="I23" s="65"/>
      <c r="J23" s="139">
        <v>4703.0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-4248</v>
      </c>
      <c r="D24" s="24"/>
      <c r="E24" s="43">
        <v>15.0</v>
      </c>
      <c r="F24" s="56">
        <v>1727.0</v>
      </c>
      <c r="G24" s="64"/>
      <c r="H24" s="132">
        <v>1727.0</v>
      </c>
      <c r="I24" s="65"/>
      <c r="J24" s="130">
        <v>4704.0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407.0</v>
      </c>
      <c r="G25" s="64"/>
      <c r="H25" s="132">
        <v>407.0</v>
      </c>
      <c r="I25" s="65"/>
      <c r="J25" s="130">
        <v>4705.0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F157</f>
        <v>73653</v>
      </c>
      <c r="D26" s="24"/>
      <c r="E26" s="43">
        <v>17.0</v>
      </c>
      <c r="F26" s="56">
        <v>611.0</v>
      </c>
      <c r="G26" s="64">
        <v>611.0</v>
      </c>
      <c r="H26" s="65"/>
      <c r="I26" s="65"/>
      <c r="J26" s="130">
        <v>4706.0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105.0</v>
      </c>
      <c r="G27" s="64"/>
      <c r="H27" s="132">
        <v>105.0</v>
      </c>
      <c r="I27" s="65"/>
      <c r="J27" s="139">
        <v>4707.0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399.0</v>
      </c>
      <c r="G28" s="64"/>
      <c r="H28" s="132">
        <v>399.0</v>
      </c>
      <c r="I28" s="65"/>
      <c r="J28" s="130">
        <v>4708.0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836.0</v>
      </c>
      <c r="G29" s="64">
        <v>800.0</v>
      </c>
      <c r="H29" s="132">
        <v>36.0</v>
      </c>
      <c r="I29" s="65"/>
      <c r="J29" s="130">
        <v>4709.0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36.0</v>
      </c>
      <c r="G30" s="92"/>
      <c r="H30" s="135">
        <v>36.0</v>
      </c>
      <c r="I30" s="93"/>
      <c r="J30" s="130">
        <v>4710.0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38420</v>
      </c>
      <c r="D31" s="24"/>
      <c r="E31" s="43">
        <v>22.0</v>
      </c>
      <c r="F31" s="56">
        <v>3748.0</v>
      </c>
      <c r="G31" s="93"/>
      <c r="H31" s="92"/>
      <c r="I31" s="93">
        <v>3748.0</v>
      </c>
      <c r="J31" s="139" t="s">
        <v>269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4507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77.0</v>
      </c>
      <c r="G32" s="93"/>
      <c r="H32" s="135">
        <v>77.0</v>
      </c>
      <c r="I32" s="92"/>
      <c r="J32" s="130">
        <v>4712.0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291.0</v>
      </c>
      <c r="G33" s="93">
        <v>291.0</v>
      </c>
      <c r="H33" s="92"/>
      <c r="I33" s="92"/>
      <c r="J33" s="130">
        <v>4713.0</v>
      </c>
      <c r="K33" s="24"/>
      <c r="L33" s="104">
        <f t="shared" ref="L33:M33" si="2">sum(L10:L32)</f>
        <v>945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38420.0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210.0</v>
      </c>
      <c r="G34" s="93">
        <v>200.0</v>
      </c>
      <c r="H34" s="135">
        <v>10.0</v>
      </c>
      <c r="I34" s="92"/>
      <c r="J34" s="130">
        <v>4714.0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5.0</v>
      </c>
      <c r="G35" s="93">
        <v>5.0</v>
      </c>
      <c r="H35" s="93"/>
      <c r="I35" s="92"/>
      <c r="J35" s="139">
        <v>4715.0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570.0</v>
      </c>
      <c r="G36" s="92"/>
      <c r="H36" s="135">
        <v>570.0</v>
      </c>
      <c r="I36" s="92"/>
      <c r="J36" s="130">
        <v>4716.0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298.0</v>
      </c>
      <c r="G37" s="93"/>
      <c r="H37" s="135">
        <v>298.0</v>
      </c>
      <c r="I37" s="92"/>
      <c r="J37" s="130">
        <v>4717.0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2100.0</v>
      </c>
      <c r="G38" s="93"/>
      <c r="H38" s="135">
        <v>2100.0</v>
      </c>
      <c r="I38" s="92"/>
      <c r="J38" s="130">
        <v>4718.0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899.0</v>
      </c>
      <c r="G39" s="93"/>
      <c r="H39" s="93">
        <v>899.0</v>
      </c>
      <c r="I39" s="92"/>
      <c r="J39" s="139">
        <v>4719.0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1095.0</v>
      </c>
      <c r="G40" s="92"/>
      <c r="H40" s="93">
        <v>1095.0</v>
      </c>
      <c r="I40" s="92"/>
      <c r="J40" s="130">
        <v>4720.0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840.0</v>
      </c>
      <c r="G41" s="93">
        <v>840.0</v>
      </c>
      <c r="H41" s="93"/>
      <c r="I41" s="92"/>
      <c r="J41" s="130">
        <v>4721.0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32.0</v>
      </c>
      <c r="G42" s="93">
        <v>30.0</v>
      </c>
      <c r="H42" s="93">
        <v>2.0</v>
      </c>
      <c r="I42" s="92"/>
      <c r="J42" s="130">
        <v>4722.0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81.0</v>
      </c>
      <c r="G43" s="93"/>
      <c r="H43" s="93">
        <v>81.0</v>
      </c>
      <c r="I43" s="92"/>
      <c r="J43" s="139">
        <v>4723.0</v>
      </c>
      <c r="K43" s="24"/>
      <c r="L43" s="112"/>
      <c r="M43" s="112"/>
      <c r="N43" s="117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556.0</v>
      </c>
      <c r="G44" s="93">
        <v>556.0</v>
      </c>
      <c r="H44" s="93"/>
      <c r="I44" s="92"/>
      <c r="J44" s="130">
        <v>4724.0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1400.0</v>
      </c>
      <c r="G45" s="93"/>
      <c r="H45" s="93">
        <v>1400.0</v>
      </c>
      <c r="I45" s="92"/>
      <c r="J45" s="130">
        <v>4725.0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93.0</v>
      </c>
      <c r="G46" s="93"/>
      <c r="H46" s="93">
        <v>93.0</v>
      </c>
      <c r="I46" s="92"/>
      <c r="J46" s="130">
        <v>4726.0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1667.0</v>
      </c>
      <c r="G47" s="93">
        <v>1600.0</v>
      </c>
      <c r="H47" s="93">
        <v>67.0</v>
      </c>
      <c r="I47" s="92"/>
      <c r="J47" s="139">
        <v>4727.0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365.0</v>
      </c>
      <c r="G48" s="92"/>
      <c r="H48" s="92"/>
      <c r="I48" s="93">
        <v>365.0</v>
      </c>
      <c r="J48" s="130" t="s">
        <v>270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257">
        <v>40.0</v>
      </c>
      <c r="F49" s="258">
        <v>3280.0</v>
      </c>
      <c r="G49" s="259"/>
      <c r="H49" s="157">
        <v>3280.0</v>
      </c>
      <c r="I49" s="259"/>
      <c r="J49" s="145" t="s">
        <v>271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43.0</v>
      </c>
      <c r="G50" s="93">
        <v>40.0</v>
      </c>
      <c r="H50" s="93">
        <v>3.0</v>
      </c>
      <c r="I50" s="92"/>
      <c r="J50" s="130">
        <v>4730.0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78.0</v>
      </c>
      <c r="G51" s="93">
        <v>78.0</v>
      </c>
      <c r="H51" s="92"/>
      <c r="I51" s="92"/>
      <c r="J51" s="139">
        <v>4731.0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1702.0</v>
      </c>
      <c r="G52" s="93">
        <v>1702.0</v>
      </c>
      <c r="H52" s="92"/>
      <c r="I52" s="92"/>
      <c r="J52" s="130">
        <v>4732.0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158.0</v>
      </c>
      <c r="G53" s="93">
        <v>158.0</v>
      </c>
      <c r="H53" s="92"/>
      <c r="I53" s="92"/>
      <c r="J53" s="130">
        <v>4733.0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1066.0</v>
      </c>
      <c r="G54" s="92"/>
      <c r="H54" s="93">
        <v>1066.0</v>
      </c>
      <c r="I54" s="92"/>
      <c r="J54" s="130">
        <v>4734.0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174"/>
      <c r="E55" s="254">
        <v>46.0</v>
      </c>
      <c r="F55" s="216">
        <v>629.0</v>
      </c>
      <c r="G55" s="173"/>
      <c r="H55" s="136">
        <v>629.0</v>
      </c>
      <c r="I55" s="173"/>
      <c r="J55" s="260" t="s">
        <v>272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77.0</v>
      </c>
      <c r="G56" s="93">
        <v>77.0</v>
      </c>
      <c r="H56" s="92"/>
      <c r="I56" s="92"/>
      <c r="J56" s="130">
        <v>4736.0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370.0</v>
      </c>
      <c r="G57" s="92"/>
      <c r="H57" s="93">
        <v>370.0</v>
      </c>
      <c r="I57" s="92"/>
      <c r="J57" s="130">
        <v>4737.0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209.0</v>
      </c>
      <c r="G58" s="92"/>
      <c r="H58" s="93">
        <v>209.0</v>
      </c>
      <c r="I58" s="92"/>
      <c r="J58" s="130">
        <v>4738.0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118.0</v>
      </c>
      <c r="G59" s="93">
        <v>118.0</v>
      </c>
      <c r="H59" s="92"/>
      <c r="I59" s="92"/>
      <c r="J59" s="139">
        <v>4739.0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225.0</v>
      </c>
      <c r="G60" s="92"/>
      <c r="H60" s="93">
        <v>225.0</v>
      </c>
      <c r="I60" s="92"/>
      <c r="J60" s="130">
        <v>4740.0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7.0</v>
      </c>
      <c r="G61" s="92"/>
      <c r="H61" s="93">
        <v>7.0</v>
      </c>
      <c r="I61" s="92"/>
      <c r="J61" s="130">
        <v>4741.0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542.0</v>
      </c>
      <c r="G62" s="93">
        <v>542.0</v>
      </c>
      <c r="H62" s="92"/>
      <c r="I62" s="92"/>
      <c r="J62" s="130">
        <v>4742.0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350.0</v>
      </c>
      <c r="G63" s="92"/>
      <c r="H63" s="93">
        <v>350.0</v>
      </c>
      <c r="I63" s="92"/>
      <c r="J63" s="139">
        <v>4743.0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722.0</v>
      </c>
      <c r="G64" s="93">
        <v>722.0</v>
      </c>
      <c r="H64" s="92"/>
      <c r="I64" s="92"/>
      <c r="J64" s="130">
        <v>4744.0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414.0</v>
      </c>
      <c r="G65" s="93">
        <v>400.0</v>
      </c>
      <c r="H65" s="93">
        <v>14.0</v>
      </c>
      <c r="I65" s="92"/>
      <c r="J65" s="130">
        <v>4745.0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319.0</v>
      </c>
      <c r="G66" s="92"/>
      <c r="H66" s="93">
        <v>319.0</v>
      </c>
      <c r="I66" s="92"/>
      <c r="J66" s="130">
        <v>4746.0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16.0</v>
      </c>
      <c r="G67" s="92"/>
      <c r="H67" s="93">
        <v>16.0</v>
      </c>
      <c r="I67" s="92"/>
      <c r="J67" s="130">
        <v>4747.0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149.0</v>
      </c>
      <c r="G68" s="92"/>
      <c r="H68" s="93">
        <v>149.0</v>
      </c>
      <c r="I68" s="92"/>
      <c r="J68" s="139">
        <v>4748.0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90.0</v>
      </c>
      <c r="G69" s="92"/>
      <c r="H69" s="93">
        <v>90.0</v>
      </c>
      <c r="I69" s="92"/>
      <c r="J69" s="130">
        <v>4749.0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250.0</v>
      </c>
      <c r="G70" s="93">
        <v>250.0</v>
      </c>
      <c r="H70" s="92"/>
      <c r="I70" s="92"/>
      <c r="J70" s="130">
        <v>4750.0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265.0</v>
      </c>
      <c r="G71" s="93"/>
      <c r="H71" s="92"/>
      <c r="I71" s="93">
        <v>265.0</v>
      </c>
      <c r="J71" s="130">
        <v>4751.0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197.0</v>
      </c>
      <c r="G72" s="93">
        <v>197.0</v>
      </c>
      <c r="H72" s="92"/>
      <c r="I72" s="92"/>
      <c r="J72" s="139">
        <v>4752.0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2341.0</v>
      </c>
      <c r="G73" s="93"/>
      <c r="H73" s="92"/>
      <c r="I73" s="93">
        <v>2341.0</v>
      </c>
      <c r="J73" s="130" t="s">
        <v>273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144.0</v>
      </c>
      <c r="G74" s="93">
        <v>144.0</v>
      </c>
      <c r="H74" s="92"/>
      <c r="I74" s="92"/>
      <c r="J74" s="130">
        <v>4754.0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1830.0</v>
      </c>
      <c r="G75" s="92"/>
      <c r="H75" s="93">
        <v>1830.0</v>
      </c>
      <c r="I75" s="92"/>
      <c r="J75" s="130">
        <v>4755.0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148.0</v>
      </c>
      <c r="G76" s="93">
        <v>148.0</v>
      </c>
      <c r="H76" s="92"/>
      <c r="I76" s="92"/>
      <c r="J76" s="130">
        <v>4756.0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50.0</v>
      </c>
      <c r="G77" s="93">
        <v>50.0</v>
      </c>
      <c r="H77" s="92"/>
      <c r="I77" s="92"/>
      <c r="J77" s="139">
        <v>4757.0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261">
        <v>69.0</v>
      </c>
      <c r="F78" s="262">
        <v>470.0</v>
      </c>
      <c r="G78" s="263"/>
      <c r="H78" s="264">
        <v>470.0</v>
      </c>
      <c r="I78" s="263"/>
      <c r="J78" s="265" t="s">
        <v>274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336.0</v>
      </c>
      <c r="G79" s="92"/>
      <c r="H79" s="93">
        <v>336.0</v>
      </c>
      <c r="I79" s="92"/>
      <c r="J79" s="130">
        <v>4759.0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3218.0</v>
      </c>
      <c r="G80" s="93">
        <v>3000.0</v>
      </c>
      <c r="H80" s="93">
        <v>218.0</v>
      </c>
      <c r="I80" s="92"/>
      <c r="J80" s="130">
        <v>4760.0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150.0</v>
      </c>
      <c r="G81" s="92"/>
      <c r="H81" s="93">
        <v>150.0</v>
      </c>
      <c r="I81" s="92"/>
      <c r="J81" s="139">
        <v>4761.0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261">
        <v>73.0</v>
      </c>
      <c r="F82" s="262">
        <v>456.0</v>
      </c>
      <c r="G82" s="263"/>
      <c r="H82" s="264">
        <v>456.0</v>
      </c>
      <c r="I82" s="263"/>
      <c r="J82" s="265" t="s">
        <v>275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335.0</v>
      </c>
      <c r="G83" s="61"/>
      <c r="H83" s="266">
        <v>335.0</v>
      </c>
      <c r="I83" s="267"/>
      <c r="J83" s="217" t="s">
        <v>276</v>
      </c>
      <c r="K83" s="218"/>
      <c r="L83" s="219"/>
      <c r="M83" s="219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1070.0</v>
      </c>
      <c r="G84" s="61"/>
      <c r="H84" s="54">
        <v>1070.0</v>
      </c>
      <c r="I84" s="61"/>
      <c r="J84" s="130">
        <v>4764.0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798.0</v>
      </c>
      <c r="G85" s="61"/>
      <c r="H85" s="54">
        <v>798.0</v>
      </c>
      <c r="I85" s="61"/>
      <c r="J85" s="130">
        <v>4765.0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60.0</v>
      </c>
      <c r="G86" s="54">
        <v>50.0</v>
      </c>
      <c r="H86" s="54">
        <v>10.0</v>
      </c>
      <c r="I86" s="61"/>
      <c r="J86" s="139">
        <v>4766.0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306.0</v>
      </c>
      <c r="G87" s="61"/>
      <c r="H87" s="54">
        <v>306.0</v>
      </c>
      <c r="I87" s="61"/>
      <c r="J87" s="130">
        <v>4767.0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450.0</v>
      </c>
      <c r="G88" s="54">
        <v>450.0</v>
      </c>
      <c r="H88" s="61"/>
      <c r="I88" s="61"/>
      <c r="J88" s="139">
        <v>4768.0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100.0</v>
      </c>
      <c r="G89" s="54">
        <v>100.0</v>
      </c>
      <c r="H89" s="61"/>
      <c r="I89" s="61"/>
      <c r="J89" s="130">
        <v>4769.0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3135.0</v>
      </c>
      <c r="G90" s="61"/>
      <c r="H90" s="61"/>
      <c r="I90" s="152">
        <v>3135.0</v>
      </c>
      <c r="J90" s="213" t="s">
        <v>277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105.0</v>
      </c>
      <c r="G91" s="61"/>
      <c r="H91" s="54">
        <v>105.0</v>
      </c>
      <c r="I91" s="61"/>
      <c r="J91" s="130">
        <v>4771.0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374.0</v>
      </c>
      <c r="G92" s="61"/>
      <c r="H92" s="54">
        <v>374.0</v>
      </c>
      <c r="I92" s="61"/>
      <c r="J92" s="130">
        <v>4772.0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145.0</v>
      </c>
      <c r="G93" s="61"/>
      <c r="H93" s="54">
        <v>145.0</v>
      </c>
      <c r="I93" s="61"/>
      <c r="J93" s="139">
        <v>4773.0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50.0</v>
      </c>
      <c r="G94" s="54">
        <v>50.0</v>
      </c>
      <c r="H94" s="61"/>
      <c r="I94" s="61"/>
      <c r="J94" s="130">
        <v>4774.0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787.0</v>
      </c>
      <c r="G95" s="61"/>
      <c r="H95" s="54"/>
      <c r="I95" s="152">
        <v>787.0</v>
      </c>
      <c r="J95" s="268" t="s">
        <v>278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282.0</v>
      </c>
      <c r="G96" s="54">
        <v>282.0</v>
      </c>
      <c r="H96" s="61"/>
      <c r="I96" s="61"/>
      <c r="J96" s="130">
        <v>4776.0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580.0</v>
      </c>
      <c r="G97" s="54">
        <v>580.0</v>
      </c>
      <c r="H97" s="61"/>
      <c r="I97" s="61"/>
      <c r="J97" s="130">
        <v>4777.0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54.0</v>
      </c>
      <c r="G98" s="54">
        <v>50.0</v>
      </c>
      <c r="H98" s="54">
        <v>4.0</v>
      </c>
      <c r="I98" s="61"/>
      <c r="J98" s="130">
        <v>4778.0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95.0</v>
      </c>
      <c r="G99" s="61"/>
      <c r="H99" s="54">
        <v>95.0</v>
      </c>
      <c r="I99" s="61"/>
      <c r="J99" s="130">
        <v>4779.0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379.0</v>
      </c>
      <c r="G100" s="61"/>
      <c r="H100" s="54">
        <v>379.0</v>
      </c>
      <c r="I100" s="61"/>
      <c r="J100" s="139">
        <v>4780.0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1069.0</v>
      </c>
      <c r="G101" s="61"/>
      <c r="H101" s="54">
        <v>1069.0</v>
      </c>
      <c r="I101" s="61"/>
      <c r="J101" s="130">
        <v>4781.0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119.0</v>
      </c>
      <c r="G102" s="54">
        <v>119.0</v>
      </c>
      <c r="H102" s="61"/>
      <c r="I102" s="61"/>
      <c r="J102" s="139">
        <v>4782.0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118.0</v>
      </c>
      <c r="G103" s="61"/>
      <c r="H103" s="54">
        <v>118.0</v>
      </c>
      <c r="I103" s="61"/>
      <c r="J103" s="130">
        <v>4783.0</v>
      </c>
      <c r="K103" s="24"/>
      <c r="L103" s="112"/>
      <c r="M103" s="112"/>
      <c r="N103" s="269" t="s">
        <v>279</v>
      </c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299.0</v>
      </c>
      <c r="G104" s="54">
        <v>299.0</v>
      </c>
      <c r="H104" s="61"/>
      <c r="I104" s="61"/>
      <c r="J104" s="130">
        <v>4784.0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20.0</v>
      </c>
      <c r="G105" s="61"/>
      <c r="H105" s="54">
        <v>20.0</v>
      </c>
      <c r="I105" s="61"/>
      <c r="J105" s="130">
        <v>4785.0</v>
      </c>
      <c r="K105" s="24"/>
      <c r="L105" s="112"/>
      <c r="M105" s="112"/>
      <c r="N105" s="249" t="s">
        <v>280</v>
      </c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1350.0</v>
      </c>
      <c r="G106" s="61"/>
      <c r="H106" s="54">
        <v>1350.0</v>
      </c>
      <c r="I106" s="61"/>
      <c r="J106" s="130">
        <v>4786.0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358.0</v>
      </c>
      <c r="G107" s="61"/>
      <c r="H107" s="54">
        <v>358.0</v>
      </c>
      <c r="I107" s="61"/>
      <c r="J107" s="139">
        <v>4787.0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100.0</v>
      </c>
      <c r="G108" s="61"/>
      <c r="H108" s="54">
        <v>100.0</v>
      </c>
      <c r="I108" s="61"/>
      <c r="J108" s="130">
        <v>4788.0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120.0</v>
      </c>
      <c r="G109" s="54">
        <v>120.0</v>
      </c>
      <c r="H109" s="61"/>
      <c r="I109" s="61"/>
      <c r="J109" s="139">
        <v>4789.0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184.0</v>
      </c>
      <c r="G110" s="61"/>
      <c r="H110" s="54">
        <v>184.0</v>
      </c>
      <c r="I110" s="61"/>
      <c r="J110" s="130">
        <v>4790.0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312.0</v>
      </c>
      <c r="G111" s="61"/>
      <c r="H111" s="54">
        <v>312.0</v>
      </c>
      <c r="I111" s="61"/>
      <c r="J111" s="139">
        <v>4791.0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37.0</v>
      </c>
      <c r="G112" s="61"/>
      <c r="H112" s="54">
        <v>37.0</v>
      </c>
      <c r="I112" s="61"/>
      <c r="J112" s="130">
        <v>4792.0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100.0</v>
      </c>
      <c r="G113" s="54">
        <v>100.0</v>
      </c>
      <c r="H113" s="61"/>
      <c r="I113" s="61"/>
      <c r="J113" s="130">
        <v>4793.0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45.0</v>
      </c>
      <c r="G114" s="54">
        <v>40.0</v>
      </c>
      <c r="H114" s="54">
        <v>5.0</v>
      </c>
      <c r="I114" s="61"/>
      <c r="J114" s="130">
        <v>4794.0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5.0</v>
      </c>
      <c r="G115" s="54">
        <v>5.0</v>
      </c>
      <c r="H115" s="54"/>
      <c r="I115" s="61"/>
      <c r="J115" s="130">
        <v>4795.0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652.0</v>
      </c>
      <c r="G116" s="54">
        <v>652.0</v>
      </c>
      <c r="H116" s="61"/>
      <c r="I116" s="61"/>
      <c r="J116" s="139">
        <v>4796.0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2.0</v>
      </c>
      <c r="G117" s="54">
        <v>2.0</v>
      </c>
      <c r="H117" s="61"/>
      <c r="I117" s="61"/>
      <c r="J117" s="130">
        <v>4797.0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270">
        <v>109.0</v>
      </c>
      <c r="F118" s="271">
        <v>1818.0</v>
      </c>
      <c r="G118" s="272"/>
      <c r="H118" s="273">
        <v>1818.0</v>
      </c>
      <c r="I118" s="272"/>
      <c r="J118" s="274" t="s">
        <v>281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270">
        <v>110.0</v>
      </c>
      <c r="F119" s="271">
        <v>531.0</v>
      </c>
      <c r="G119" s="272"/>
      <c r="H119" s="273">
        <v>531.0</v>
      </c>
      <c r="I119" s="272"/>
      <c r="J119" s="275" t="s">
        <v>282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133.0</v>
      </c>
      <c r="G120" s="61"/>
      <c r="H120" s="54">
        <v>133.0</v>
      </c>
      <c r="I120" s="61"/>
      <c r="J120" s="130">
        <v>4800.0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276">
        <v>112.0</v>
      </c>
      <c r="F121" s="277">
        <v>810.0</v>
      </c>
      <c r="G121" s="135">
        <v>110.0</v>
      </c>
      <c r="H121" s="135">
        <v>700.0</v>
      </c>
      <c r="I121" s="156"/>
      <c r="J121" s="278">
        <v>4801.0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276">
        <v>113.0</v>
      </c>
      <c r="F122" s="277">
        <v>308.0</v>
      </c>
      <c r="G122" s="156"/>
      <c r="H122" s="135">
        <v>308.0</v>
      </c>
      <c r="I122" s="156"/>
      <c r="J122" s="278">
        <v>4802.0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494.0</v>
      </c>
      <c r="G123" s="61"/>
      <c r="H123" s="54">
        <v>494.0</v>
      </c>
      <c r="I123" s="61"/>
      <c r="J123" s="139">
        <v>4803.0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688.0</v>
      </c>
      <c r="G124" s="54">
        <v>688.0</v>
      </c>
      <c r="H124" s="61"/>
      <c r="I124" s="61"/>
      <c r="J124" s="130">
        <v>4804.0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155.0</v>
      </c>
      <c r="G125" s="61"/>
      <c r="H125" s="54">
        <v>155.0</v>
      </c>
      <c r="I125" s="61"/>
      <c r="J125" s="139">
        <v>4805.0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870.0</v>
      </c>
      <c r="G126" s="61"/>
      <c r="H126" s="54">
        <v>870.0</v>
      </c>
      <c r="I126" s="61"/>
      <c r="J126" s="130">
        <v>4806.0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679.0</v>
      </c>
      <c r="G127" s="61"/>
      <c r="H127" s="54">
        <v>679.0</v>
      </c>
      <c r="I127" s="61"/>
      <c r="J127" s="130">
        <v>4807.0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405.0</v>
      </c>
      <c r="G128" s="54">
        <v>405.0</v>
      </c>
      <c r="H128" s="61"/>
      <c r="I128" s="61"/>
      <c r="J128" s="130">
        <v>4808.0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143.0</v>
      </c>
      <c r="G129" s="61"/>
      <c r="H129" s="54">
        <v>143.0</v>
      </c>
      <c r="I129" s="61"/>
      <c r="J129" s="130">
        <v>4809.0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13.0</v>
      </c>
      <c r="G130" s="54">
        <v>13.0</v>
      </c>
      <c r="H130" s="61"/>
      <c r="I130" s="61"/>
      <c r="J130" s="130">
        <v>4810.0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132.0</v>
      </c>
      <c r="G131" s="61"/>
      <c r="H131" s="54">
        <v>132.0</v>
      </c>
      <c r="I131" s="61"/>
      <c r="J131" s="139">
        <v>4811.0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98.0</v>
      </c>
      <c r="G132" s="61"/>
      <c r="H132" s="54">
        <v>98.0</v>
      </c>
      <c r="I132" s="61"/>
      <c r="J132" s="130">
        <v>4812.0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320.0</v>
      </c>
      <c r="G133" s="54">
        <v>320.0</v>
      </c>
      <c r="H133" s="61"/>
      <c r="I133" s="61"/>
      <c r="J133" s="139">
        <v>4813.0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35.0</v>
      </c>
      <c r="G134" s="61"/>
      <c r="H134" s="54">
        <v>35.0</v>
      </c>
      <c r="I134" s="61"/>
      <c r="J134" s="130">
        <v>4814.0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54.0</v>
      </c>
      <c r="G135" s="54">
        <v>54.0</v>
      </c>
      <c r="H135" s="61"/>
      <c r="I135" s="61"/>
      <c r="J135" s="130">
        <v>4815.0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1596.0</v>
      </c>
      <c r="G136" s="61"/>
      <c r="H136" s="54">
        <v>1596.0</v>
      </c>
      <c r="I136" s="61"/>
      <c r="J136" s="130">
        <v>4816.0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60.0</v>
      </c>
      <c r="G137" s="61"/>
      <c r="H137" s="54">
        <v>60.0</v>
      </c>
      <c r="I137" s="61"/>
      <c r="J137" s="130">
        <v>4817.0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21"/>
      <c r="G138" s="61"/>
      <c r="H138" s="61"/>
      <c r="I138" s="61"/>
      <c r="J138" s="130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21"/>
      <c r="G139" s="61"/>
      <c r="H139" s="61"/>
      <c r="I139" s="61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61"/>
      <c r="I140" s="61"/>
      <c r="J140" s="46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61"/>
      <c r="I141" s="61"/>
      <c r="J141" s="46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61"/>
      <c r="I142" s="61"/>
      <c r="J142" s="46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61"/>
      <c r="I143" s="61"/>
      <c r="J143" s="46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21"/>
      <c r="G145" s="61"/>
      <c r="H145" s="61"/>
      <c r="I145" s="61"/>
      <c r="J145" s="46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21"/>
      <c r="G146" s="61"/>
      <c r="H146" s="61"/>
      <c r="I146" s="61"/>
      <c r="J146" s="46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21"/>
      <c r="G147" s="61"/>
      <c r="H147" s="61"/>
      <c r="I147" s="61"/>
      <c r="J147" s="46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21"/>
      <c r="G148" s="61"/>
      <c r="H148" s="61"/>
      <c r="I148" s="61"/>
      <c r="J148" s="46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46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46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46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279">
        <v>249.0</v>
      </c>
      <c r="I153" s="280"/>
      <c r="J153" s="281" t="s">
        <v>283</v>
      </c>
      <c r="K153" s="282"/>
      <c r="L153" s="283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157">
        <v>890.0</v>
      </c>
      <c r="I154" s="259"/>
      <c r="J154" s="145" t="s">
        <v>284</v>
      </c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54">
        <v>250.0</v>
      </c>
      <c r="H155" s="61"/>
      <c r="I155" s="61"/>
      <c r="J155" s="130" t="s">
        <v>285</v>
      </c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54">
        <v>250.0</v>
      </c>
      <c r="H156" s="61"/>
      <c r="I156" s="61"/>
      <c r="J156" s="130" t="s">
        <v>286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1"/>
      <c r="E157" s="122"/>
      <c r="F157" s="123">
        <f t="shared" ref="F157:I157" si="4">SUM(F10:F156)</f>
        <v>73653</v>
      </c>
      <c r="G157" s="123">
        <f t="shared" si="4"/>
        <v>17622</v>
      </c>
      <c r="H157" s="123">
        <f t="shared" si="4"/>
        <v>47029</v>
      </c>
      <c r="I157" s="123">
        <f t="shared" si="4"/>
        <v>10641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18"/>
      <c r="C158" s="118"/>
      <c r="D158" s="1"/>
      <c r="E158" s="124"/>
      <c r="F158" s="124"/>
      <c r="G158" s="124"/>
      <c r="H158" s="124"/>
      <c r="I158" s="12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18"/>
      <c r="C159" s="1"/>
      <c r="D159" s="1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26"/>
      <c r="H170" s="12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74923.0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47029.0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59278.0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F152-C15</f>
        <v>66418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G152-W33</f>
        <v>18412</v>
      </c>
      <c r="D10" s="24"/>
      <c r="E10" s="43">
        <v>1.0</v>
      </c>
      <c r="F10" s="44">
        <v>141.0</v>
      </c>
      <c r="G10" s="45"/>
      <c r="H10" s="144">
        <v>141.0</v>
      </c>
      <c r="I10" s="45"/>
      <c r="J10" s="130">
        <v>4818.0</v>
      </c>
      <c r="K10" s="24"/>
      <c r="L10" s="47"/>
      <c r="M10" s="161">
        <v>787.0</v>
      </c>
      <c r="N10" s="47">
        <v>4775.0</v>
      </c>
      <c r="O10" s="49"/>
      <c r="P10" s="85" t="s">
        <v>287</v>
      </c>
      <c r="Q10" s="51"/>
      <c r="R10" s="52">
        <v>1050.0</v>
      </c>
      <c r="S10" s="53"/>
      <c r="T10" s="54"/>
      <c r="U10" s="55"/>
      <c r="V10" s="24"/>
      <c r="W10" s="47">
        <v>54.0</v>
      </c>
      <c r="X10" s="47"/>
      <c r="Y10" s="47">
        <v>44.0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H152-X33</f>
        <v>35359</v>
      </c>
      <c r="D11" s="24"/>
      <c r="E11" s="43">
        <v>2.0</v>
      </c>
      <c r="F11" s="56">
        <v>144.0</v>
      </c>
      <c r="G11" s="57">
        <v>144.0</v>
      </c>
      <c r="H11" s="58"/>
      <c r="I11" s="59"/>
      <c r="J11" s="130">
        <v>4819.0</v>
      </c>
      <c r="K11" s="24"/>
      <c r="L11" s="48"/>
      <c r="M11" s="284">
        <v>2170.0</v>
      </c>
      <c r="N11" s="47" t="s">
        <v>288</v>
      </c>
      <c r="O11" s="49"/>
      <c r="P11" s="72" t="s">
        <v>289</v>
      </c>
      <c r="Q11" s="51"/>
      <c r="R11" s="52">
        <v>300.0</v>
      </c>
      <c r="S11" s="53"/>
      <c r="T11" s="61"/>
      <c r="U11" s="62"/>
      <c r="V11" s="24"/>
      <c r="W11" s="47">
        <v>2341.0</v>
      </c>
      <c r="X11" s="47"/>
      <c r="Y11" s="47">
        <v>43.0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I152</f>
        <v>7408</v>
      </c>
      <c r="D12" s="24"/>
      <c r="E12" s="43">
        <v>3.0</v>
      </c>
      <c r="F12" s="63">
        <v>33.0</v>
      </c>
      <c r="G12" s="64"/>
      <c r="H12" s="150">
        <v>33.0</v>
      </c>
      <c r="I12" s="65"/>
      <c r="J12" s="130">
        <v>4820.0</v>
      </c>
      <c r="K12" s="24"/>
      <c r="L12" s="47">
        <v>2341.0</v>
      </c>
      <c r="M12" s="47"/>
      <c r="N12" s="48"/>
      <c r="O12" s="49"/>
      <c r="P12" s="72" t="s">
        <v>141</v>
      </c>
      <c r="Q12" s="51"/>
      <c r="R12" s="52">
        <v>1836.0</v>
      </c>
      <c r="S12" s="52"/>
      <c r="T12" s="61"/>
      <c r="U12" s="62"/>
      <c r="V12" s="24"/>
      <c r="W12" s="47">
        <v>1308.0</v>
      </c>
      <c r="X12" s="48"/>
      <c r="Y12" s="47">
        <v>45.0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2341</v>
      </c>
      <c r="D13" s="24"/>
      <c r="E13" s="43">
        <v>4.0</v>
      </c>
      <c r="F13" s="56">
        <v>10.0</v>
      </c>
      <c r="G13" s="64">
        <v>10.0</v>
      </c>
      <c r="H13" s="65"/>
      <c r="I13" s="65"/>
      <c r="J13" s="130">
        <v>4821.0</v>
      </c>
      <c r="K13" s="24"/>
      <c r="L13" s="48"/>
      <c r="M13" s="48"/>
      <c r="N13" s="48"/>
      <c r="O13" s="49"/>
      <c r="P13" s="72" t="s">
        <v>48</v>
      </c>
      <c r="Q13" s="51"/>
      <c r="R13" s="52">
        <v>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2957</v>
      </c>
      <c r="D14" s="24"/>
      <c r="E14" s="43">
        <v>5.0</v>
      </c>
      <c r="F14" s="56">
        <v>192.0</v>
      </c>
      <c r="G14" s="64">
        <v>192.0</v>
      </c>
      <c r="H14" s="65"/>
      <c r="I14" s="65"/>
      <c r="J14" s="130">
        <v>4822.0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3703</v>
      </c>
      <c r="D15" s="24"/>
      <c r="E15" s="43">
        <v>6.0</v>
      </c>
      <c r="F15" s="56">
        <v>10.0</v>
      </c>
      <c r="G15" s="64">
        <v>10.0</v>
      </c>
      <c r="H15" s="64"/>
      <c r="I15" s="65"/>
      <c r="J15" s="130">
        <v>4823.0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3435</v>
      </c>
      <c r="D16" s="24"/>
      <c r="E16" s="43">
        <v>7.0</v>
      </c>
      <c r="F16" s="56">
        <v>69.0</v>
      </c>
      <c r="G16" s="64"/>
      <c r="H16" s="150">
        <v>69.0</v>
      </c>
      <c r="I16" s="65"/>
      <c r="J16" s="130">
        <v>4824.0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3435</v>
      </c>
      <c r="D17" s="24"/>
      <c r="E17" s="43">
        <v>8.0</v>
      </c>
      <c r="F17" s="56">
        <v>37.0</v>
      </c>
      <c r="G17" s="64">
        <v>37.0</v>
      </c>
      <c r="H17" s="64"/>
      <c r="I17" s="65"/>
      <c r="J17" s="130">
        <v>4825.0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216">
        <v>902.0</v>
      </c>
      <c r="G18" s="182"/>
      <c r="H18" s="150">
        <v>902.0</v>
      </c>
      <c r="I18" s="169"/>
      <c r="J18" s="155" t="s">
        <v>290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600.0</v>
      </c>
      <c r="G19" s="64">
        <v>600.0</v>
      </c>
      <c r="H19" s="65"/>
      <c r="I19" s="65"/>
      <c r="J19" s="130">
        <v>4827.0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61388</v>
      </c>
      <c r="D20" s="24"/>
      <c r="E20" s="43">
        <v>11.0</v>
      </c>
      <c r="F20" s="56">
        <v>249.0</v>
      </c>
      <c r="G20" s="64">
        <v>249.0</v>
      </c>
      <c r="H20" s="64"/>
      <c r="I20" s="65"/>
      <c r="J20" s="130">
        <v>4828.0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38316</v>
      </c>
      <c r="D21" s="24"/>
      <c r="E21" s="43">
        <v>12.0</v>
      </c>
      <c r="F21" s="56">
        <v>53.0</v>
      </c>
      <c r="G21" s="65"/>
      <c r="H21" s="150">
        <v>53.0</v>
      </c>
      <c r="I21" s="65"/>
      <c r="J21" s="130">
        <v>4829.0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92241</v>
      </c>
      <c r="D22" s="24"/>
      <c r="E22" s="43">
        <v>13.0</v>
      </c>
      <c r="F22" s="56">
        <v>479.0</v>
      </c>
      <c r="G22" s="64">
        <v>479.0</v>
      </c>
      <c r="H22" s="64"/>
      <c r="I22" s="65"/>
      <c r="J22" s="130">
        <v>4830.0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95537.0</v>
      </c>
      <c r="D23" s="24"/>
      <c r="E23" s="43">
        <v>14.0</v>
      </c>
      <c r="F23" s="56">
        <v>736.0</v>
      </c>
      <c r="G23" s="64">
        <v>736.0</v>
      </c>
      <c r="H23" s="65"/>
      <c r="I23" s="65"/>
      <c r="J23" s="130">
        <v>4831.0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-3296</v>
      </c>
      <c r="D24" s="24"/>
      <c r="E24" s="43">
        <v>15.0</v>
      </c>
      <c r="F24" s="56">
        <v>442.0</v>
      </c>
      <c r="G24" s="64">
        <v>442.0</v>
      </c>
      <c r="H24" s="65"/>
      <c r="I24" s="65"/>
      <c r="J24" s="130">
        <v>4832.0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1130.0</v>
      </c>
      <c r="G25" s="64"/>
      <c r="H25" s="150">
        <v>1130.0</v>
      </c>
      <c r="I25" s="65"/>
      <c r="J25" s="130">
        <v>4833.0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F152</f>
        <v>70121</v>
      </c>
      <c r="D26" s="24"/>
      <c r="E26" s="43">
        <v>17.0</v>
      </c>
      <c r="F26" s="56">
        <v>356.0</v>
      </c>
      <c r="G26" s="64">
        <v>350.0</v>
      </c>
      <c r="H26" s="150">
        <v>6.0</v>
      </c>
      <c r="I26" s="65"/>
      <c r="J26" s="130">
        <v>4834.0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118.0</v>
      </c>
      <c r="D27" s="24"/>
      <c r="E27" s="43">
        <v>18.0</v>
      </c>
      <c r="F27" s="56">
        <v>717.0</v>
      </c>
      <c r="G27" s="64">
        <v>717.0</v>
      </c>
      <c r="H27" s="65"/>
      <c r="I27" s="65"/>
      <c r="J27" s="130">
        <v>4835.0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594.2457627</v>
      </c>
      <c r="D28" s="24"/>
      <c r="E28" s="43">
        <v>19.0</v>
      </c>
      <c r="F28" s="56">
        <v>399.0</v>
      </c>
      <c r="G28" s="64">
        <v>399.0</v>
      </c>
      <c r="H28" s="65"/>
      <c r="I28" s="65"/>
      <c r="J28" s="130">
        <v>4836.0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737.0</v>
      </c>
      <c r="G29" s="64">
        <v>737.0</v>
      </c>
      <c r="H29" s="65"/>
      <c r="I29" s="65"/>
      <c r="J29" s="130">
        <v>4837.0</v>
      </c>
      <c r="K29" s="24"/>
      <c r="L29" s="48"/>
      <c r="M29" s="48"/>
      <c r="N29" s="48"/>
      <c r="O29" s="49"/>
      <c r="P29" s="72" t="s">
        <v>291</v>
      </c>
      <c r="Q29" s="51"/>
      <c r="R29" s="52">
        <v>199.0</v>
      </c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168.0</v>
      </c>
      <c r="G30" s="93">
        <v>168.0</v>
      </c>
      <c r="H30" s="92"/>
      <c r="I30" s="93"/>
      <c r="J30" s="130">
        <v>4838.0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47029</v>
      </c>
      <c r="D31" s="24"/>
      <c r="E31" s="43">
        <v>22.0</v>
      </c>
      <c r="F31" s="56">
        <v>194.0</v>
      </c>
      <c r="G31" s="93">
        <v>194.0</v>
      </c>
      <c r="H31" s="92"/>
      <c r="I31" s="92"/>
      <c r="J31" s="130">
        <v>4839.0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3435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500.0</v>
      </c>
      <c r="G32" s="93">
        <v>500.0</v>
      </c>
      <c r="H32" s="92"/>
      <c r="I32" s="92"/>
      <c r="J32" s="130">
        <v>4840.0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629.0</v>
      </c>
      <c r="G33" s="93"/>
      <c r="H33" s="157">
        <v>629.0</v>
      </c>
      <c r="I33" s="92"/>
      <c r="J33" s="130">
        <v>4841.0</v>
      </c>
      <c r="K33" s="24"/>
      <c r="L33" s="104">
        <f t="shared" ref="L33:M33" si="2">sum(L10:L32)</f>
        <v>2341</v>
      </c>
      <c r="M33" s="104">
        <f t="shared" si="2"/>
        <v>2957</v>
      </c>
      <c r="N33" s="104"/>
      <c r="O33" s="105"/>
      <c r="P33" s="85" t="s">
        <v>38</v>
      </c>
      <c r="Q33" s="51"/>
      <c r="R33" s="100"/>
      <c r="S33" s="52">
        <v>47029.0</v>
      </c>
      <c r="T33" s="101"/>
      <c r="U33" s="55"/>
      <c r="V33" s="24"/>
      <c r="W33" s="104">
        <f t="shared" ref="W33:X33" si="3">sum(W10:W32)</f>
        <v>3703</v>
      </c>
      <c r="X33" s="104">
        <f t="shared" si="3"/>
        <v>0</v>
      </c>
      <c r="Y33" s="104">
        <f>W33+X33</f>
        <v>3703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220">
        <v>1097.0</v>
      </c>
      <c r="G34" s="93"/>
      <c r="H34" s="157">
        <v>1097.0</v>
      </c>
      <c r="I34" s="92"/>
      <c r="J34" s="130">
        <v>4842.0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220">
        <v>1394.0</v>
      </c>
      <c r="G35" s="92"/>
      <c r="H35" s="157">
        <v>1394.0</v>
      </c>
      <c r="I35" s="92"/>
      <c r="J35" s="130">
        <v>4843.0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264.0</v>
      </c>
      <c r="G36" s="92"/>
      <c r="H36" s="157">
        <v>264.0</v>
      </c>
      <c r="I36" s="92"/>
      <c r="J36" s="130">
        <v>4844.0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2920.0</v>
      </c>
      <c r="G37" s="93"/>
      <c r="H37" s="92"/>
      <c r="I37" s="93">
        <v>2920.0</v>
      </c>
      <c r="J37" s="130" t="s">
        <v>292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51.0</v>
      </c>
      <c r="G38" s="93"/>
      <c r="H38" s="157">
        <v>51.0</v>
      </c>
      <c r="I38" s="92"/>
      <c r="J38" s="130">
        <v>4846.0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27.0</v>
      </c>
      <c r="G39" s="93"/>
      <c r="H39" s="157">
        <v>27.0</v>
      </c>
      <c r="I39" s="92"/>
      <c r="J39" s="130">
        <v>4847.0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14.0</v>
      </c>
      <c r="G40" s="92"/>
      <c r="H40" s="157">
        <v>14.0</v>
      </c>
      <c r="I40" s="92"/>
      <c r="J40" s="130">
        <v>4848.0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101.0</v>
      </c>
      <c r="G41" s="93">
        <v>101.0</v>
      </c>
      <c r="H41" s="93"/>
      <c r="I41" s="92"/>
      <c r="J41" s="130">
        <v>4849.0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120.0</v>
      </c>
      <c r="G42" s="93"/>
      <c r="H42" s="93"/>
      <c r="I42" s="93">
        <v>120.0</v>
      </c>
      <c r="J42" s="130" t="s">
        <v>293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1775.0</v>
      </c>
      <c r="G43" s="93"/>
      <c r="H43" s="157">
        <v>1775.0</v>
      </c>
      <c r="I43" s="92"/>
      <c r="J43" s="130">
        <v>4851.0</v>
      </c>
      <c r="K43" s="24"/>
      <c r="L43" s="112"/>
      <c r="M43" s="112"/>
      <c r="N43" s="269">
        <v>170.0</v>
      </c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158.0</v>
      </c>
      <c r="G44" s="93">
        <v>158.0</v>
      </c>
      <c r="H44" s="93"/>
      <c r="I44" s="92"/>
      <c r="J44" s="130">
        <v>4852.0</v>
      </c>
      <c r="K44" s="24"/>
      <c r="L44" s="112"/>
      <c r="M44" s="112"/>
      <c r="N44" s="269">
        <v>2000.0</v>
      </c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1064.0</v>
      </c>
      <c r="G45" s="93"/>
      <c r="H45" s="157">
        <v>1064.0</v>
      </c>
      <c r="I45" s="92"/>
      <c r="J45" s="130">
        <v>4853.0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569.0</v>
      </c>
      <c r="G46" s="93">
        <v>569.0</v>
      </c>
      <c r="H46" s="92"/>
      <c r="I46" s="92"/>
      <c r="J46" s="130">
        <v>4854.0</v>
      </c>
      <c r="K46" s="24"/>
      <c r="L46" s="112"/>
      <c r="M46" s="112"/>
      <c r="N46" s="285">
        <v>2491.0</v>
      </c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352.0</v>
      </c>
      <c r="G47" s="92"/>
      <c r="H47" s="157">
        <v>352.0</v>
      </c>
      <c r="I47" s="92"/>
      <c r="J47" s="130">
        <v>4855.0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153.0</v>
      </c>
      <c r="G48" s="93">
        <v>153.0</v>
      </c>
      <c r="H48" s="93"/>
      <c r="I48" s="92"/>
      <c r="J48" s="130">
        <v>4856.0</v>
      </c>
      <c r="K48" s="24"/>
      <c r="L48" s="112"/>
      <c r="M48" s="112"/>
      <c r="N48" s="249">
        <v>2674.0</v>
      </c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399.0</v>
      </c>
      <c r="G49" s="92"/>
      <c r="H49" s="157">
        <v>399.0</v>
      </c>
      <c r="I49" s="92"/>
      <c r="J49" s="130">
        <v>4857.0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88.0</v>
      </c>
      <c r="G50" s="93"/>
      <c r="H50" s="157">
        <v>88.0</v>
      </c>
      <c r="I50" s="93"/>
      <c r="J50" s="130">
        <v>4858.0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171.0</v>
      </c>
      <c r="G51" s="92"/>
      <c r="H51" s="157">
        <v>171.0</v>
      </c>
      <c r="I51" s="92"/>
      <c r="J51" s="213">
        <v>4859.0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120.0</v>
      </c>
      <c r="G52" s="93">
        <v>120.0</v>
      </c>
      <c r="H52" s="92"/>
      <c r="I52" s="93"/>
      <c r="J52" s="130">
        <v>4860.0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216">
        <v>1249.0</v>
      </c>
      <c r="G53" s="136"/>
      <c r="H53" s="157">
        <v>1249.0</v>
      </c>
      <c r="I53" s="173"/>
      <c r="J53" s="155" t="s">
        <v>294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76.0</v>
      </c>
      <c r="G54" s="92"/>
      <c r="H54" s="157">
        <v>76.0</v>
      </c>
      <c r="I54" s="92"/>
      <c r="J54" s="130">
        <v>4862.0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66.0</v>
      </c>
      <c r="G55" s="93">
        <v>66.0</v>
      </c>
      <c r="H55" s="92"/>
      <c r="I55" s="92"/>
      <c r="J55" s="130">
        <v>4863.0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800.0</v>
      </c>
      <c r="G56" s="93">
        <v>800.0</v>
      </c>
      <c r="H56" s="92"/>
      <c r="I56" s="92"/>
      <c r="J56" s="130">
        <v>4864.0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974.0</v>
      </c>
      <c r="G57" s="93">
        <v>974.0</v>
      </c>
      <c r="H57" s="92"/>
      <c r="I57" s="92"/>
      <c r="J57" s="130">
        <v>4865.0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216">
        <v>725.0</v>
      </c>
      <c r="G58" s="173"/>
      <c r="H58" s="136">
        <v>725.0</v>
      </c>
      <c r="I58" s="173"/>
      <c r="J58" s="155" t="s">
        <v>295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4717.0</v>
      </c>
      <c r="G59" s="93">
        <v>4717.0</v>
      </c>
      <c r="H59" s="92"/>
      <c r="I59" s="92"/>
      <c r="J59" s="130">
        <v>4867.0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609.0</v>
      </c>
      <c r="G60" s="93"/>
      <c r="H60" s="157">
        <v>609.0</v>
      </c>
      <c r="I60" s="92"/>
      <c r="J60" s="130">
        <v>4868.0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579.0</v>
      </c>
      <c r="G61" s="93">
        <v>579.0</v>
      </c>
      <c r="H61" s="259"/>
      <c r="I61" s="92"/>
      <c r="J61" s="130">
        <v>4869.0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103.0</v>
      </c>
      <c r="G62" s="92"/>
      <c r="H62" s="157">
        <v>103.0</v>
      </c>
      <c r="I62" s="92"/>
      <c r="J62" s="130">
        <v>4870.0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276.0</v>
      </c>
      <c r="G63" s="93">
        <v>276.0</v>
      </c>
      <c r="H63" s="92"/>
      <c r="I63" s="92"/>
      <c r="J63" s="130">
        <v>4871.0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713.0</v>
      </c>
      <c r="G64" s="92"/>
      <c r="H64" s="157">
        <v>713.0</v>
      </c>
      <c r="I64" s="92"/>
      <c r="J64" s="130">
        <v>4872.0</v>
      </c>
      <c r="K64" s="24"/>
      <c r="L64" s="112"/>
      <c r="M64" s="117">
        <v>725.0</v>
      </c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297.0</v>
      </c>
      <c r="G65" s="93">
        <v>297.0</v>
      </c>
      <c r="H65" s="92"/>
      <c r="I65" s="92"/>
      <c r="J65" s="130">
        <v>4873.0</v>
      </c>
      <c r="K65" s="24"/>
      <c r="L65" s="112"/>
      <c r="M65" s="117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223">
        <v>525.0</v>
      </c>
      <c r="G66" s="224"/>
      <c r="H66" s="157">
        <v>525.0</v>
      </c>
      <c r="I66" s="224"/>
      <c r="J66" s="225" t="s">
        <v>296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223">
        <v>1481.0</v>
      </c>
      <c r="G67" s="224"/>
      <c r="H67" s="157">
        <v>1481.0</v>
      </c>
      <c r="I67" s="224"/>
      <c r="J67" s="225" t="s">
        <v>297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223">
        <v>24.0</v>
      </c>
      <c r="G68" s="224"/>
      <c r="H68" s="157">
        <v>24.0</v>
      </c>
      <c r="I68" s="224"/>
      <c r="J68" s="225" t="s">
        <v>298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950.0</v>
      </c>
      <c r="G69" s="93">
        <v>610.0</v>
      </c>
      <c r="H69" s="157">
        <v>340.0</v>
      </c>
      <c r="I69" s="92"/>
      <c r="J69" s="130">
        <v>4877.0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65.0</v>
      </c>
      <c r="G70" s="92"/>
      <c r="H70" s="157">
        <v>65.0</v>
      </c>
      <c r="I70" s="92"/>
      <c r="J70" s="130">
        <v>4878.0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846.0</v>
      </c>
      <c r="G71" s="92"/>
      <c r="H71" s="157">
        <v>846.0</v>
      </c>
      <c r="I71" s="92"/>
      <c r="J71" s="130">
        <v>4879.0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4035.0</v>
      </c>
      <c r="G72" s="92"/>
      <c r="H72" s="157">
        <v>4035.0</v>
      </c>
      <c r="I72" s="92"/>
      <c r="J72" s="130">
        <v>4880.0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400.0</v>
      </c>
      <c r="G73" s="93">
        <v>400.0</v>
      </c>
      <c r="H73" s="92"/>
      <c r="I73" s="92"/>
      <c r="J73" s="130">
        <v>4881.0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2"/>
      <c r="H74" s="92"/>
      <c r="I74" s="93">
        <v>10.0</v>
      </c>
      <c r="J74" s="130" t="s">
        <v>299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200.0</v>
      </c>
      <c r="G75" s="93">
        <v>200.0</v>
      </c>
      <c r="H75" s="259"/>
      <c r="I75" s="92"/>
      <c r="J75" s="130">
        <v>4883.0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2106.0</v>
      </c>
      <c r="G76" s="92"/>
      <c r="H76" s="157">
        <v>2106.0</v>
      </c>
      <c r="I76" s="92"/>
      <c r="J76" s="130">
        <v>4884.0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157.0</v>
      </c>
      <c r="G77" s="93">
        <v>150.0</v>
      </c>
      <c r="H77" s="157">
        <v>7.0</v>
      </c>
      <c r="I77" s="92"/>
      <c r="J77" s="130">
        <v>4885.0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93.0</v>
      </c>
      <c r="G78" s="93">
        <v>93.0</v>
      </c>
      <c r="H78" s="92"/>
      <c r="I78" s="92"/>
      <c r="J78" s="130">
        <v>4886.0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3667.0</v>
      </c>
      <c r="G79" s="93">
        <v>1000.0</v>
      </c>
      <c r="H79" s="157">
        <v>2667.0</v>
      </c>
      <c r="I79" s="92"/>
      <c r="J79" s="130">
        <v>4887.0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1952.0</v>
      </c>
      <c r="G80" s="92"/>
      <c r="H80" s="157">
        <v>1952.0</v>
      </c>
      <c r="I80" s="92"/>
      <c r="J80" s="130">
        <v>4888.0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230.0</v>
      </c>
      <c r="G81" s="93">
        <v>230.0</v>
      </c>
      <c r="H81" s="92"/>
      <c r="I81" s="92"/>
      <c r="J81" s="130">
        <v>4889.0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107.0</v>
      </c>
      <c r="G82" s="61"/>
      <c r="H82" s="157">
        <v>107.0</v>
      </c>
      <c r="I82" s="61"/>
      <c r="J82" s="130">
        <v>4890.0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27.0</v>
      </c>
      <c r="G83" s="54">
        <v>27.0</v>
      </c>
      <c r="H83" s="61"/>
      <c r="I83" s="61"/>
      <c r="J83" s="130">
        <v>4891.0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248.0</v>
      </c>
      <c r="G84" s="61"/>
      <c r="H84" s="157">
        <v>248.0</v>
      </c>
      <c r="I84" s="61"/>
      <c r="J84" s="130">
        <v>4892.0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25.0</v>
      </c>
      <c r="G85" s="61"/>
      <c r="H85" s="157">
        <v>25.0</v>
      </c>
      <c r="I85" s="61"/>
      <c r="J85" s="130">
        <v>4893.0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360.0</v>
      </c>
      <c r="G86" s="61"/>
      <c r="H86" s="157">
        <v>360.0</v>
      </c>
      <c r="I86" s="61"/>
      <c r="J86" s="130">
        <v>4894.0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927.0</v>
      </c>
      <c r="G87" s="54">
        <v>900.0</v>
      </c>
      <c r="H87" s="157">
        <v>27.0</v>
      </c>
      <c r="I87" s="61"/>
      <c r="J87" s="130">
        <v>4895.0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216">
        <v>1025.0</v>
      </c>
      <c r="G88" s="173"/>
      <c r="H88" s="157">
        <v>1025.0</v>
      </c>
      <c r="I88" s="136"/>
      <c r="J88" s="155" t="s">
        <v>300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100.0</v>
      </c>
      <c r="G89" s="61"/>
      <c r="H89" s="157">
        <v>100.0</v>
      </c>
      <c r="I89" s="61"/>
      <c r="J89" s="130">
        <v>4897.0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26.0</v>
      </c>
      <c r="G90" s="61"/>
      <c r="H90" s="157">
        <v>26.0</v>
      </c>
      <c r="I90" s="61"/>
      <c r="J90" s="130">
        <v>4898.0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1187.0</v>
      </c>
      <c r="G91" s="61"/>
      <c r="H91" s="157">
        <v>1187.0</v>
      </c>
      <c r="I91" s="61"/>
      <c r="J91" s="130">
        <v>4899.0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391.0</v>
      </c>
      <c r="G92" s="54">
        <v>391.0</v>
      </c>
      <c r="H92" s="61"/>
      <c r="I92" s="61"/>
      <c r="J92" s="130">
        <v>4900.0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308.0</v>
      </c>
      <c r="G93" s="61"/>
      <c r="H93" s="157">
        <v>308.0</v>
      </c>
      <c r="I93" s="61"/>
      <c r="J93" s="130">
        <v>4901.0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610.0</v>
      </c>
      <c r="G94" s="54">
        <v>610.0</v>
      </c>
      <c r="H94" s="61"/>
      <c r="I94" s="61"/>
      <c r="J94" s="130">
        <v>4902.0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179.0</v>
      </c>
      <c r="G95" s="61"/>
      <c r="H95" s="157">
        <v>179.0</v>
      </c>
      <c r="I95" s="61"/>
      <c r="J95" s="130">
        <v>4903.0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159.0</v>
      </c>
      <c r="G96" s="54">
        <v>159.0</v>
      </c>
      <c r="H96" s="61"/>
      <c r="I96" s="61"/>
      <c r="J96" s="130">
        <v>4904.0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629.0</v>
      </c>
      <c r="G97" s="54">
        <v>629.0</v>
      </c>
      <c r="H97" s="61"/>
      <c r="I97" s="61"/>
      <c r="J97" s="130">
        <v>4905.0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216">
        <v>405.0</v>
      </c>
      <c r="G98" s="173"/>
      <c r="H98" s="157">
        <v>405.0</v>
      </c>
      <c r="I98" s="173"/>
      <c r="J98" s="155" t="s">
        <v>301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170.0</v>
      </c>
      <c r="G99" s="61"/>
      <c r="H99" s="157">
        <v>170.0</v>
      </c>
      <c r="I99" s="61"/>
      <c r="J99" s="130">
        <v>4907.0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1167.0</v>
      </c>
      <c r="G100" s="54"/>
      <c r="H100" s="157">
        <v>1167.0</v>
      </c>
      <c r="I100" s="54"/>
      <c r="J100" s="130">
        <v>4908.0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130.0</v>
      </c>
      <c r="G101" s="61"/>
      <c r="H101" s="157">
        <v>130.0</v>
      </c>
      <c r="I101" s="61"/>
      <c r="J101" s="130">
        <v>4909.0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111.0</v>
      </c>
      <c r="G102" s="61"/>
      <c r="H102" s="157">
        <v>111.0</v>
      </c>
      <c r="I102" s="61"/>
      <c r="J102" s="130">
        <v>4910.0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140.0</v>
      </c>
      <c r="G103" s="54">
        <v>140.0</v>
      </c>
      <c r="H103" s="61"/>
      <c r="I103" s="61"/>
      <c r="J103" s="130">
        <v>4911.0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50.0</v>
      </c>
      <c r="G104" s="61"/>
      <c r="H104" s="157">
        <v>50.0</v>
      </c>
      <c r="I104" s="61"/>
      <c r="J104" s="130">
        <v>4912.0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36.0</v>
      </c>
      <c r="G105" s="61"/>
      <c r="H105" s="157">
        <v>36.0</v>
      </c>
      <c r="I105" s="61"/>
      <c r="J105" s="130">
        <v>4913.0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121.0</v>
      </c>
      <c r="G106" s="54">
        <v>121.0</v>
      </c>
      <c r="H106" s="61"/>
      <c r="I106" s="61"/>
      <c r="J106" s="130">
        <v>4914.0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77.0</v>
      </c>
      <c r="G107" s="61"/>
      <c r="H107" s="157">
        <v>77.0</v>
      </c>
      <c r="I107" s="61"/>
      <c r="J107" s="130">
        <v>4915.0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331.0</v>
      </c>
      <c r="G108" s="54"/>
      <c r="H108" s="157">
        <v>331.0</v>
      </c>
      <c r="I108" s="61"/>
      <c r="J108" s="130">
        <v>4916.0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386.0</v>
      </c>
      <c r="G109" s="54">
        <v>386.0</v>
      </c>
      <c r="H109" s="54"/>
      <c r="I109" s="61"/>
      <c r="J109" s="130">
        <v>4917.0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500.0</v>
      </c>
      <c r="G110" s="61"/>
      <c r="H110" s="157">
        <v>500.0</v>
      </c>
      <c r="I110" s="61"/>
      <c r="J110" s="130">
        <v>4918.0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61.0</v>
      </c>
      <c r="G111" s="54">
        <v>61.0</v>
      </c>
      <c r="H111" s="61"/>
      <c r="I111" s="61"/>
      <c r="J111" s="130">
        <v>4919.0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215.0</v>
      </c>
      <c r="G112" s="61"/>
      <c r="H112" s="157">
        <v>215.0</v>
      </c>
      <c r="I112" s="61"/>
      <c r="J112" s="130">
        <v>4920.0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290.0</v>
      </c>
      <c r="G113" s="54">
        <v>290.0</v>
      </c>
      <c r="H113" s="61"/>
      <c r="I113" s="61"/>
      <c r="J113" s="130">
        <v>4921.0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100.0</v>
      </c>
      <c r="G114" s="61"/>
      <c r="H114" s="157">
        <v>100.0</v>
      </c>
      <c r="I114" s="61"/>
      <c r="J114" s="130">
        <v>4922.0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699.0</v>
      </c>
      <c r="G115" s="54">
        <v>699.0</v>
      </c>
      <c r="H115" s="61"/>
      <c r="I115" s="61"/>
      <c r="J115" s="130">
        <v>4923.0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440.0</v>
      </c>
      <c r="G116" s="61"/>
      <c r="H116" s="157">
        <v>440.0</v>
      </c>
      <c r="I116" s="61"/>
      <c r="J116" s="130">
        <v>4924.0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253.0</v>
      </c>
      <c r="G117" s="54">
        <v>100.0</v>
      </c>
      <c r="H117" s="157">
        <v>153.0</v>
      </c>
      <c r="I117" s="61"/>
      <c r="J117" s="130">
        <v>4925.0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36.0</v>
      </c>
      <c r="G118" s="61"/>
      <c r="H118" s="157">
        <v>36.0</v>
      </c>
      <c r="I118" s="61"/>
      <c r="J118" s="130">
        <v>4926.0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290.0</v>
      </c>
      <c r="G119" s="61"/>
      <c r="H119" s="157">
        <v>290.0</v>
      </c>
      <c r="I119" s="61"/>
      <c r="J119" s="130">
        <v>4927.0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111.0</v>
      </c>
      <c r="G120" s="61"/>
      <c r="H120" s="157">
        <v>111.0</v>
      </c>
      <c r="I120" s="61"/>
      <c r="J120" s="130">
        <v>4928.0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146.0</v>
      </c>
      <c r="G121" s="61"/>
      <c r="H121" s="157">
        <v>146.0</v>
      </c>
      <c r="I121" s="61"/>
      <c r="J121" s="130">
        <v>4929.0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67.0</v>
      </c>
      <c r="G122" s="61"/>
      <c r="H122" s="157">
        <v>67.0</v>
      </c>
      <c r="I122" s="61"/>
      <c r="J122" s="130">
        <v>4930.0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145.0</v>
      </c>
      <c r="G123" s="54">
        <v>145.0</v>
      </c>
      <c r="H123" s="61"/>
      <c r="I123" s="61"/>
      <c r="J123" s="130">
        <v>4931.0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226">
        <v>115.0</v>
      </c>
      <c r="F124" s="176">
        <v>2895.0</v>
      </c>
      <c r="G124" s="178"/>
      <c r="H124" s="178"/>
      <c r="I124" s="178"/>
      <c r="J124" s="168">
        <v>4932.0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158">
        <v>116.0</v>
      </c>
      <c r="F125" s="138">
        <v>2708.0</v>
      </c>
      <c r="G125" s="61"/>
      <c r="H125" s="61"/>
      <c r="I125" s="54">
        <v>2708.0</v>
      </c>
      <c r="J125" s="130" t="s">
        <v>302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286">
        <v>117.0</v>
      </c>
      <c r="F126" s="176">
        <v>2394.0</v>
      </c>
      <c r="G126" s="177"/>
      <c r="H126" s="177"/>
      <c r="I126" s="178"/>
      <c r="J126" s="168">
        <v>4934.0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158">
        <v>118.0</v>
      </c>
      <c r="F127" s="138">
        <v>1650.0</v>
      </c>
      <c r="G127" s="61"/>
      <c r="H127" s="61"/>
      <c r="I127" s="54">
        <v>1650.0</v>
      </c>
      <c r="J127" s="130" t="s">
        <v>303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/>
      <c r="F128" s="121"/>
      <c r="G128" s="61"/>
      <c r="H128" s="61"/>
      <c r="I128" s="61"/>
      <c r="J128" s="130"/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/>
      <c r="F129" s="121"/>
      <c r="G129" s="61"/>
      <c r="H129" s="61"/>
      <c r="I129" s="61"/>
      <c r="J129" s="130"/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/>
      <c r="F130" s="121"/>
      <c r="G130" s="61"/>
      <c r="H130" s="61"/>
      <c r="I130" s="61"/>
      <c r="J130" s="130"/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/>
      <c r="F131" s="121"/>
      <c r="G131" s="61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/>
      <c r="F132" s="121"/>
      <c r="G132" s="61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/>
      <c r="F133" s="121"/>
      <c r="G133" s="61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/>
      <c r="F134" s="121"/>
      <c r="G134" s="61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/>
      <c r="F135" s="121"/>
      <c r="G135" s="61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/>
      <c r="F136" s="121"/>
      <c r="G136" s="61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21"/>
      <c r="G137" s="61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21"/>
      <c r="G138" s="61"/>
      <c r="H138" s="61"/>
      <c r="I138" s="61"/>
      <c r="J138" s="130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21"/>
      <c r="G139" s="61"/>
      <c r="H139" s="61"/>
      <c r="I139" s="61"/>
      <c r="J139" s="130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61"/>
      <c r="I140" s="61"/>
      <c r="J140" s="130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61"/>
      <c r="I141" s="61"/>
      <c r="J141" s="130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61"/>
      <c r="I142" s="61"/>
      <c r="J142" s="130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61"/>
      <c r="I143" s="61"/>
      <c r="J143" s="130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130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21"/>
      <c r="G145" s="61"/>
      <c r="H145" s="61"/>
      <c r="I145" s="61"/>
      <c r="J145" s="130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21"/>
      <c r="G146" s="61"/>
      <c r="H146" s="61"/>
      <c r="I146" s="61"/>
      <c r="J146" s="130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21"/>
      <c r="G147" s="61"/>
      <c r="H147" s="61"/>
      <c r="I147" s="61"/>
      <c r="J147" s="130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21"/>
      <c r="G148" s="61"/>
      <c r="H148" s="61"/>
      <c r="I148" s="61"/>
      <c r="J148" s="130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130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130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135">
        <v>50.0</v>
      </c>
      <c r="I151" s="61"/>
      <c r="J151" s="130" t="s">
        <v>304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1"/>
      <c r="E152" s="122"/>
      <c r="F152" s="123">
        <f t="shared" ref="F152:I152" si="4">SUM(F10:F151)</f>
        <v>70121</v>
      </c>
      <c r="G152" s="123">
        <f t="shared" si="4"/>
        <v>22115</v>
      </c>
      <c r="H152" s="123">
        <f t="shared" si="4"/>
        <v>35359</v>
      </c>
      <c r="I152" s="123">
        <f t="shared" si="4"/>
        <v>7408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18"/>
      <c r="C153" s="118"/>
      <c r="D153" s="1"/>
      <c r="E153" s="124"/>
      <c r="F153" s="124"/>
      <c r="G153" s="124"/>
      <c r="H153" s="124"/>
      <c r="I153" s="12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18"/>
      <c r="C154" s="1"/>
      <c r="D154" s="1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26"/>
      <c r="H165" s="12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3.57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92239.0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38316.0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61388.0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F148-C15</f>
        <v>48729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G148-W33</f>
        <v>18262</v>
      </c>
      <c r="D10" s="24"/>
      <c r="E10" s="226"/>
      <c r="F10" s="186"/>
      <c r="G10" s="187"/>
      <c r="H10" s="187">
        <v>2895.0</v>
      </c>
      <c r="I10" s="187"/>
      <c r="J10" s="168">
        <v>4932.0</v>
      </c>
      <c r="K10" s="24"/>
      <c r="L10" s="47"/>
      <c r="M10" s="47"/>
      <c r="N10" s="48"/>
      <c r="O10" s="49"/>
      <c r="P10" s="85" t="s">
        <v>305</v>
      </c>
      <c r="Q10" s="51"/>
      <c r="R10" s="52">
        <v>240.0</v>
      </c>
      <c r="S10" s="53"/>
      <c r="T10" s="54"/>
      <c r="U10" s="55"/>
      <c r="V10" s="24"/>
      <c r="W10" s="47">
        <v>50.0</v>
      </c>
      <c r="X10" s="47"/>
      <c r="Y10" s="47">
        <v>46.0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H148-X33</f>
        <v>30432</v>
      </c>
      <c r="D11" s="24"/>
      <c r="E11" s="226"/>
      <c r="F11" s="176"/>
      <c r="G11" s="287">
        <v>1200.0</v>
      </c>
      <c r="H11" s="288">
        <v>1194.0</v>
      </c>
      <c r="I11" s="289"/>
      <c r="J11" s="168">
        <v>4934.0</v>
      </c>
      <c r="K11" s="24"/>
      <c r="L11" s="48"/>
      <c r="M11" s="48"/>
      <c r="N11" s="48"/>
      <c r="O11" s="49"/>
      <c r="P11" s="72" t="s">
        <v>306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I148</f>
        <v>5917</v>
      </c>
      <c r="D12" s="24"/>
      <c r="E12" s="43"/>
      <c r="F12" s="63"/>
      <c r="G12" s="64"/>
      <c r="H12" s="64"/>
      <c r="I12" s="65"/>
      <c r="J12" s="130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/>
      <c r="F13" s="56"/>
      <c r="G13" s="64"/>
      <c r="H13" s="65"/>
      <c r="I13" s="65"/>
      <c r="J13" s="130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158">
        <v>1.0</v>
      </c>
      <c r="F14" s="56">
        <v>220.0</v>
      </c>
      <c r="G14" s="64"/>
      <c r="H14" s="132">
        <v>220.0</v>
      </c>
      <c r="I14" s="65"/>
      <c r="J14" s="130">
        <v>4936.0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50</v>
      </c>
      <c r="D15" s="24"/>
      <c r="E15" s="158">
        <v>2.0</v>
      </c>
      <c r="F15" s="56">
        <v>109.0</v>
      </c>
      <c r="G15" s="64"/>
      <c r="H15" s="132">
        <v>109.0</v>
      </c>
      <c r="I15" s="65"/>
      <c r="J15" s="130">
        <v>4937.0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290</v>
      </c>
      <c r="D16" s="24"/>
      <c r="E16" s="158">
        <v>3.0</v>
      </c>
      <c r="F16" s="56">
        <v>800.0</v>
      </c>
      <c r="G16" s="64"/>
      <c r="H16" s="132">
        <v>800.0</v>
      </c>
      <c r="I16" s="65"/>
      <c r="J16" s="130">
        <v>4938.0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290</v>
      </c>
      <c r="D17" s="24"/>
      <c r="E17" s="158">
        <v>4.0</v>
      </c>
      <c r="F17" s="56">
        <v>702.0</v>
      </c>
      <c r="G17" s="65"/>
      <c r="H17" s="132">
        <v>702.0</v>
      </c>
      <c r="I17" s="65"/>
      <c r="J17" s="130">
        <v>4939.0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158">
        <v>5.0</v>
      </c>
      <c r="F18" s="56">
        <v>1021.0</v>
      </c>
      <c r="G18" s="64"/>
      <c r="H18" s="132">
        <v>1021.0</v>
      </c>
      <c r="I18" s="65"/>
      <c r="J18" s="130">
        <v>4940.0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158">
        <v>6.0</v>
      </c>
      <c r="F19" s="56">
        <v>256.0</v>
      </c>
      <c r="G19" s="64">
        <v>256.0</v>
      </c>
      <c r="H19" s="65"/>
      <c r="I19" s="65"/>
      <c r="J19" s="130">
        <v>4941.0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67305</v>
      </c>
      <c r="D20" s="24"/>
      <c r="E20" s="158">
        <v>7.0</v>
      </c>
      <c r="F20" s="56">
        <v>378.0</v>
      </c>
      <c r="G20" s="64">
        <v>378.0</v>
      </c>
      <c r="H20" s="64"/>
      <c r="I20" s="65"/>
      <c r="J20" s="130">
        <v>4942.0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30791</v>
      </c>
      <c r="D21" s="24"/>
      <c r="E21" s="158">
        <v>8.0</v>
      </c>
      <c r="F21" s="56">
        <v>161.0</v>
      </c>
      <c r="G21" s="65"/>
      <c r="H21" s="132">
        <v>161.0</v>
      </c>
      <c r="I21" s="65"/>
      <c r="J21" s="130">
        <v>4943.0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110211</v>
      </c>
      <c r="D22" s="24"/>
      <c r="E22" s="158">
        <v>9.0</v>
      </c>
      <c r="F22" s="56">
        <v>2.0</v>
      </c>
      <c r="G22" s="64">
        <v>2.0</v>
      </c>
      <c r="H22" s="64"/>
      <c r="I22" s="65"/>
      <c r="J22" s="130">
        <v>4944.0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114717.0</v>
      </c>
      <c r="D23" s="24"/>
      <c r="E23" s="158">
        <v>10.0</v>
      </c>
      <c r="F23" s="56">
        <v>2.0</v>
      </c>
      <c r="G23" s="64">
        <v>2.0</v>
      </c>
      <c r="H23" s="65"/>
      <c r="I23" s="65"/>
      <c r="J23" s="130">
        <v>4945.0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-4506</v>
      </c>
      <c r="D24" s="24"/>
      <c r="E24" s="158">
        <v>11.0</v>
      </c>
      <c r="F24" s="56">
        <v>2.0</v>
      </c>
      <c r="G24" s="64">
        <v>2.0</v>
      </c>
      <c r="H24" s="65"/>
      <c r="I24" s="65"/>
      <c r="J24" s="130">
        <v>4946.0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158">
        <v>12.0</v>
      </c>
      <c r="F25" s="56">
        <v>258.0</v>
      </c>
      <c r="G25" s="64"/>
      <c r="H25" s="132">
        <v>258.0</v>
      </c>
      <c r="I25" s="65"/>
      <c r="J25" s="130">
        <v>4947.0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F148</f>
        <v>48779</v>
      </c>
      <c r="D26" s="24"/>
      <c r="E26" s="158">
        <v>13.0</v>
      </c>
      <c r="F26" s="56">
        <v>227.0</v>
      </c>
      <c r="G26" s="64">
        <v>227.0</v>
      </c>
      <c r="H26" s="65"/>
      <c r="I26" s="65"/>
      <c r="J26" s="130">
        <v>4948.0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158">
        <v>14.0</v>
      </c>
      <c r="F27" s="56">
        <v>843.0</v>
      </c>
      <c r="G27" s="64"/>
      <c r="H27" s="132">
        <v>843.0</v>
      </c>
      <c r="I27" s="64"/>
      <c r="J27" s="130">
        <v>4949.0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158">
        <v>15.0</v>
      </c>
      <c r="F28" s="56">
        <v>70.0</v>
      </c>
      <c r="G28" s="64">
        <v>70.0</v>
      </c>
      <c r="H28" s="65"/>
      <c r="I28" s="65"/>
      <c r="J28" s="130">
        <v>4950.0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158">
        <v>16.0</v>
      </c>
      <c r="F29" s="56">
        <v>40.0</v>
      </c>
      <c r="G29" s="64"/>
      <c r="H29" s="132">
        <v>40.0</v>
      </c>
      <c r="I29" s="65"/>
      <c r="J29" s="130">
        <v>4951.0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158">
        <v>17.0</v>
      </c>
      <c r="F30" s="56">
        <v>55.0</v>
      </c>
      <c r="G30" s="92"/>
      <c r="H30" s="135">
        <v>55.0</v>
      </c>
      <c r="I30" s="93"/>
      <c r="J30" s="130">
        <v>4952.0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37957</v>
      </c>
      <c r="D31" s="24"/>
      <c r="E31" s="158">
        <v>18.0</v>
      </c>
      <c r="F31" s="56">
        <v>1307.0</v>
      </c>
      <c r="G31" s="93">
        <v>1307.0</v>
      </c>
      <c r="H31" s="92"/>
      <c r="I31" s="92"/>
      <c r="J31" s="130">
        <v>4953.0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158">
        <v>19.0</v>
      </c>
      <c r="F32" s="56">
        <v>808.0</v>
      </c>
      <c r="G32" s="93"/>
      <c r="H32" s="135">
        <v>808.0</v>
      </c>
      <c r="I32" s="92"/>
      <c r="J32" s="130">
        <v>4954.0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158">
        <v>20.0</v>
      </c>
      <c r="F33" s="56">
        <v>145.0</v>
      </c>
      <c r="G33" s="93"/>
      <c r="H33" s="135">
        <v>145.0</v>
      </c>
      <c r="I33" s="92"/>
      <c r="J33" s="130">
        <v>4955.0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37957.0</v>
      </c>
      <c r="T33" s="101"/>
      <c r="U33" s="55"/>
      <c r="V33" s="24"/>
      <c r="W33" s="104">
        <f t="shared" ref="W33:X33" si="3">sum(W10:W32)</f>
        <v>50</v>
      </c>
      <c r="X33" s="104">
        <f t="shared" si="3"/>
        <v>0</v>
      </c>
      <c r="Y33" s="104">
        <f>W33+X33</f>
        <v>50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158">
        <v>21.0</v>
      </c>
      <c r="F34" s="56">
        <v>1463.0</v>
      </c>
      <c r="G34" s="93"/>
      <c r="H34" s="135">
        <v>1463.0</v>
      </c>
      <c r="I34" s="92"/>
      <c r="J34" s="130">
        <v>4956.0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158">
        <v>22.0</v>
      </c>
      <c r="F35" s="56">
        <v>615.0</v>
      </c>
      <c r="G35" s="92"/>
      <c r="H35" s="135">
        <v>615.0</v>
      </c>
      <c r="I35" s="92"/>
      <c r="J35" s="130">
        <v>4957.0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158">
        <v>23.0</v>
      </c>
      <c r="F36" s="56">
        <v>407.0</v>
      </c>
      <c r="G36" s="93">
        <v>407.0</v>
      </c>
      <c r="H36" s="93"/>
      <c r="I36" s="92"/>
      <c r="J36" s="243" t="s">
        <v>307</v>
      </c>
      <c r="K36" s="290"/>
      <c r="L36" s="291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158">
        <v>24.0</v>
      </c>
      <c r="F37" s="56">
        <v>461.0</v>
      </c>
      <c r="G37" s="93">
        <v>461.0</v>
      </c>
      <c r="H37" s="92"/>
      <c r="I37" s="92"/>
      <c r="J37" s="130">
        <v>4959.0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158">
        <v>25.0</v>
      </c>
      <c r="F38" s="56">
        <v>869.0</v>
      </c>
      <c r="G38" s="93"/>
      <c r="H38" s="135">
        <v>869.0</v>
      </c>
      <c r="I38" s="92"/>
      <c r="J38" s="130">
        <v>4960.0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158">
        <v>26.0</v>
      </c>
      <c r="F39" s="56">
        <v>180.0</v>
      </c>
      <c r="G39" s="93"/>
      <c r="H39" s="135">
        <v>180.0</v>
      </c>
      <c r="I39" s="92"/>
      <c r="J39" s="130">
        <v>4961.0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158">
        <v>27.0</v>
      </c>
      <c r="F40" s="56">
        <v>237.0</v>
      </c>
      <c r="G40" s="93">
        <v>200.0</v>
      </c>
      <c r="H40" s="135">
        <v>37.0</v>
      </c>
      <c r="I40" s="92"/>
      <c r="J40" s="130">
        <v>4962.0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158">
        <v>28.0</v>
      </c>
      <c r="F41" s="56">
        <v>46.0</v>
      </c>
      <c r="G41" s="92"/>
      <c r="H41" s="135">
        <v>46.0</v>
      </c>
      <c r="I41" s="92"/>
      <c r="J41" s="130">
        <v>4963.0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158">
        <v>29.0</v>
      </c>
      <c r="F42" s="56">
        <v>509.0</v>
      </c>
      <c r="G42" s="93">
        <v>509.0</v>
      </c>
      <c r="H42" s="93"/>
      <c r="I42" s="92"/>
      <c r="J42" s="130">
        <v>4964.0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158">
        <v>30.0</v>
      </c>
      <c r="F43" s="56">
        <v>55.0</v>
      </c>
      <c r="G43" s="93">
        <v>20.0</v>
      </c>
      <c r="H43" s="136">
        <v>35.0</v>
      </c>
      <c r="I43" s="92"/>
      <c r="J43" s="155">
        <v>4965.0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158">
        <v>31.0</v>
      </c>
      <c r="F44" s="56">
        <v>120.0</v>
      </c>
      <c r="G44" s="92"/>
      <c r="H44" s="135">
        <v>120.0</v>
      </c>
      <c r="I44" s="92"/>
      <c r="J44" s="130">
        <v>4966.0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158">
        <v>32.0</v>
      </c>
      <c r="F45" s="56">
        <v>608.0</v>
      </c>
      <c r="G45" s="93"/>
      <c r="H45" s="135">
        <v>608.0</v>
      </c>
      <c r="I45" s="92"/>
      <c r="J45" s="130">
        <v>4967.0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158">
        <v>33.0</v>
      </c>
      <c r="F46" s="56">
        <v>53.0</v>
      </c>
      <c r="G46" s="93">
        <v>53.0</v>
      </c>
      <c r="H46" s="92"/>
      <c r="I46" s="92"/>
      <c r="J46" s="130">
        <v>4968.0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158">
        <v>34.0</v>
      </c>
      <c r="F47" s="56">
        <v>153.0</v>
      </c>
      <c r="G47" s="92"/>
      <c r="H47" s="135">
        <v>153.0</v>
      </c>
      <c r="I47" s="92"/>
      <c r="J47" s="130">
        <v>4969.0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158">
        <v>35.0</v>
      </c>
      <c r="F48" s="56">
        <v>79.0</v>
      </c>
      <c r="G48" s="93">
        <v>79.0</v>
      </c>
      <c r="H48" s="92"/>
      <c r="I48" s="92"/>
      <c r="J48" s="130">
        <v>4970.0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158">
        <v>36.0</v>
      </c>
      <c r="F49" s="56">
        <v>470.0</v>
      </c>
      <c r="G49" s="93">
        <v>470.0</v>
      </c>
      <c r="H49" s="92"/>
      <c r="I49" s="92"/>
      <c r="J49" s="130">
        <v>4971.0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158">
        <v>37.0</v>
      </c>
      <c r="F50" s="56">
        <v>287.0</v>
      </c>
      <c r="G50" s="92"/>
      <c r="H50" s="135">
        <v>287.0</v>
      </c>
      <c r="I50" s="92"/>
      <c r="J50" s="130">
        <v>4972.0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158">
        <v>38.0</v>
      </c>
      <c r="F51" s="56">
        <v>16.0</v>
      </c>
      <c r="G51" s="93">
        <v>16.0</v>
      </c>
      <c r="H51" s="92"/>
      <c r="I51" s="92"/>
      <c r="J51" s="130">
        <v>4973.0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158">
        <v>39.0</v>
      </c>
      <c r="F52" s="56">
        <v>275.0</v>
      </c>
      <c r="G52" s="92"/>
      <c r="H52" s="135">
        <v>275.0</v>
      </c>
      <c r="I52" s="92"/>
      <c r="J52" s="130">
        <v>4974.0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158">
        <v>40.0</v>
      </c>
      <c r="F53" s="56">
        <v>427.0</v>
      </c>
      <c r="G53" s="92"/>
      <c r="H53" s="135">
        <v>427.0</v>
      </c>
      <c r="I53" s="92"/>
      <c r="J53" s="130">
        <v>4975.0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158">
        <v>41.0</v>
      </c>
      <c r="F54" s="56">
        <v>5600.0</v>
      </c>
      <c r="G54" s="93">
        <v>2600.0</v>
      </c>
      <c r="H54" s="136">
        <v>3000.0</v>
      </c>
      <c r="I54" s="92"/>
      <c r="J54" s="155">
        <v>4976.0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158">
        <v>42.0</v>
      </c>
      <c r="F55" s="56">
        <v>527.0</v>
      </c>
      <c r="G55" s="92"/>
      <c r="H55" s="135">
        <v>527.0</v>
      </c>
      <c r="I55" s="92"/>
      <c r="J55" s="130">
        <v>4977.0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158">
        <v>43.0</v>
      </c>
      <c r="F56" s="56">
        <v>165.0</v>
      </c>
      <c r="G56" s="92"/>
      <c r="H56" s="135">
        <v>165.0</v>
      </c>
      <c r="I56" s="92"/>
      <c r="J56" s="130">
        <v>4978.0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158">
        <v>44.0</v>
      </c>
      <c r="F57" s="56">
        <v>68.0</v>
      </c>
      <c r="G57" s="92"/>
      <c r="H57" s="135">
        <v>68.0</v>
      </c>
      <c r="I57" s="92"/>
      <c r="J57" s="130">
        <v>4979.0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158">
        <v>45.0</v>
      </c>
      <c r="F58" s="56">
        <v>90.0</v>
      </c>
      <c r="G58" s="92"/>
      <c r="H58" s="135">
        <v>90.0</v>
      </c>
      <c r="I58" s="92"/>
      <c r="J58" s="130">
        <v>4980.0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158">
        <v>46.0</v>
      </c>
      <c r="F59" s="56">
        <v>140.0</v>
      </c>
      <c r="G59" s="92"/>
      <c r="H59" s="135">
        <v>140.0</v>
      </c>
      <c r="I59" s="92"/>
      <c r="J59" s="130">
        <v>4981.0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158">
        <v>47.0</v>
      </c>
      <c r="F60" s="56">
        <v>950.0</v>
      </c>
      <c r="G60" s="92"/>
      <c r="H60" s="135">
        <v>950.0</v>
      </c>
      <c r="I60" s="92"/>
      <c r="J60" s="130">
        <v>4982.0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158">
        <v>48.0</v>
      </c>
      <c r="F61" s="56">
        <v>80.0</v>
      </c>
      <c r="G61" s="92"/>
      <c r="H61" s="135">
        <v>80.0</v>
      </c>
      <c r="I61" s="92"/>
      <c r="J61" s="130">
        <v>4983.0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158">
        <v>49.0</v>
      </c>
      <c r="F62" s="56">
        <v>78.0</v>
      </c>
      <c r="G62" s="93"/>
      <c r="H62" s="135">
        <v>78.0</v>
      </c>
      <c r="I62" s="92"/>
      <c r="J62" s="130">
        <v>4984.0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158">
        <v>50.0</v>
      </c>
      <c r="F63" s="56">
        <v>95.0</v>
      </c>
      <c r="G63" s="93">
        <v>95.0</v>
      </c>
      <c r="H63" s="92"/>
      <c r="I63" s="92"/>
      <c r="J63" s="130">
        <v>4985.0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158">
        <v>51.0</v>
      </c>
      <c r="F64" s="56">
        <v>418.0</v>
      </c>
      <c r="G64" s="92"/>
      <c r="H64" s="135">
        <v>418.0</v>
      </c>
      <c r="I64" s="92"/>
      <c r="J64" s="130">
        <v>4986.0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158">
        <v>52.0</v>
      </c>
      <c r="F65" s="56">
        <v>128.0</v>
      </c>
      <c r="G65" s="92"/>
      <c r="H65" s="135">
        <v>128.0</v>
      </c>
      <c r="I65" s="92"/>
      <c r="J65" s="130">
        <v>4987.0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158">
        <v>53.0</v>
      </c>
      <c r="F66" s="56">
        <v>118.0</v>
      </c>
      <c r="G66" s="93">
        <v>118.0</v>
      </c>
      <c r="H66" s="92"/>
      <c r="I66" s="92"/>
      <c r="J66" s="130">
        <v>4988.0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158">
        <v>54.0</v>
      </c>
      <c r="F67" s="56">
        <v>77.0</v>
      </c>
      <c r="G67" s="93">
        <v>77.0</v>
      </c>
      <c r="H67" s="92"/>
      <c r="I67" s="92"/>
      <c r="J67" s="130">
        <v>4989.0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158">
        <v>55.0</v>
      </c>
      <c r="F68" s="56">
        <v>46.0</v>
      </c>
      <c r="G68" s="93">
        <v>46.0</v>
      </c>
      <c r="H68" s="92"/>
      <c r="I68" s="92"/>
      <c r="J68" s="130">
        <v>4990.0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158">
        <v>56.0</v>
      </c>
      <c r="F69" s="56">
        <v>289.0</v>
      </c>
      <c r="G69" s="92"/>
      <c r="H69" s="135">
        <v>289.0</v>
      </c>
      <c r="I69" s="92"/>
      <c r="J69" s="130">
        <v>4991.0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158">
        <v>57.0</v>
      </c>
      <c r="F70" s="56">
        <v>256.0</v>
      </c>
      <c r="G70" s="92"/>
      <c r="H70" s="135">
        <v>256.0</v>
      </c>
      <c r="I70" s="92"/>
      <c r="J70" s="130">
        <v>4992.0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158">
        <v>58.0</v>
      </c>
      <c r="F71" s="56">
        <v>174.0</v>
      </c>
      <c r="G71" s="92"/>
      <c r="H71" s="135">
        <v>174.0</v>
      </c>
      <c r="I71" s="92"/>
      <c r="J71" s="130">
        <v>4993.0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158">
        <v>59.0</v>
      </c>
      <c r="F72" s="56">
        <v>187.0</v>
      </c>
      <c r="G72" s="93">
        <v>187.0</v>
      </c>
      <c r="H72" s="92"/>
      <c r="I72" s="92"/>
      <c r="J72" s="130">
        <v>4994.0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158">
        <v>60.0</v>
      </c>
      <c r="F73" s="56">
        <v>1093.0</v>
      </c>
      <c r="G73" s="93">
        <v>1093.0</v>
      </c>
      <c r="H73" s="92"/>
      <c r="I73" s="92"/>
      <c r="J73" s="130">
        <v>4995.0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158">
        <v>61.0</v>
      </c>
      <c r="F74" s="56">
        <v>80.0</v>
      </c>
      <c r="G74" s="92"/>
      <c r="H74" s="135">
        <v>80.0</v>
      </c>
      <c r="I74" s="92"/>
      <c r="J74" s="130">
        <v>4996.0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158">
        <v>62.0</v>
      </c>
      <c r="F75" s="56">
        <v>313.0</v>
      </c>
      <c r="G75" s="92"/>
      <c r="H75" s="135">
        <v>313.0</v>
      </c>
      <c r="I75" s="92"/>
      <c r="J75" s="130">
        <v>4997.0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158">
        <v>63.0</v>
      </c>
      <c r="F76" s="56">
        <v>128.0</v>
      </c>
      <c r="G76" s="93">
        <v>128.0</v>
      </c>
      <c r="H76" s="92"/>
      <c r="I76" s="92"/>
      <c r="J76" s="130">
        <v>4998.0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158">
        <v>64.0</v>
      </c>
      <c r="F77" s="56">
        <v>55.0</v>
      </c>
      <c r="G77" s="93">
        <v>55.0</v>
      </c>
      <c r="H77" s="92"/>
      <c r="I77" s="92"/>
      <c r="J77" s="130">
        <v>4999.0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158">
        <v>65.0</v>
      </c>
      <c r="F78" s="56">
        <v>151.0</v>
      </c>
      <c r="G78" s="93">
        <v>151.0</v>
      </c>
      <c r="H78" s="92"/>
      <c r="I78" s="92"/>
      <c r="J78" s="130">
        <v>5000.0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158">
        <v>66.0</v>
      </c>
      <c r="F79" s="56">
        <v>399.0</v>
      </c>
      <c r="G79" s="92"/>
      <c r="H79" s="135">
        <v>399.0</v>
      </c>
      <c r="I79" s="92"/>
      <c r="J79" s="130">
        <v>5001.0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158">
        <v>67.0</v>
      </c>
      <c r="F80" s="56">
        <v>83.0</v>
      </c>
      <c r="G80" s="93">
        <v>83.0</v>
      </c>
      <c r="H80" s="92"/>
      <c r="I80" s="92"/>
      <c r="J80" s="130">
        <v>5002.0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158">
        <v>68.0</v>
      </c>
      <c r="F81" s="56">
        <v>3726.0</v>
      </c>
      <c r="G81" s="93"/>
      <c r="H81" s="92"/>
      <c r="I81" s="93">
        <v>3726.0</v>
      </c>
      <c r="J81" s="130" t="s">
        <v>308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158">
        <v>69.0</v>
      </c>
      <c r="F82" s="138">
        <v>210.0</v>
      </c>
      <c r="G82" s="54">
        <v>210.0</v>
      </c>
      <c r="H82" s="61"/>
      <c r="I82" s="61"/>
      <c r="J82" s="130">
        <v>5004.0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158">
        <v>70.0</v>
      </c>
      <c r="F83" s="138">
        <v>256.0</v>
      </c>
      <c r="G83" s="54">
        <v>256.0</v>
      </c>
      <c r="H83" s="61"/>
      <c r="I83" s="61"/>
      <c r="J83" s="130">
        <v>5005.0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158">
        <v>71.0</v>
      </c>
      <c r="F84" s="138">
        <v>201.0</v>
      </c>
      <c r="G84" s="61"/>
      <c r="H84" s="135">
        <v>201.0</v>
      </c>
      <c r="I84" s="61"/>
      <c r="J84" s="130">
        <v>5006.0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158">
        <v>72.0</v>
      </c>
      <c r="F85" s="138">
        <v>260.0</v>
      </c>
      <c r="G85" s="54">
        <v>260.0</v>
      </c>
      <c r="H85" s="61"/>
      <c r="I85" s="61"/>
      <c r="J85" s="130">
        <v>5007.0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158">
        <v>73.0</v>
      </c>
      <c r="F86" s="138">
        <v>115.0</v>
      </c>
      <c r="G86" s="61"/>
      <c r="H86" s="135">
        <v>115.0</v>
      </c>
      <c r="I86" s="61"/>
      <c r="J86" s="130">
        <v>5008.0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158">
        <v>74.0</v>
      </c>
      <c r="F87" s="138">
        <v>200.0</v>
      </c>
      <c r="G87" s="54">
        <v>200.0</v>
      </c>
      <c r="H87" s="61"/>
      <c r="I87" s="61"/>
      <c r="J87" s="130">
        <v>5009.0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158">
        <v>75.0</v>
      </c>
      <c r="F88" s="138">
        <v>399.0</v>
      </c>
      <c r="G88" s="54">
        <v>399.0</v>
      </c>
      <c r="H88" s="54"/>
      <c r="I88" s="61"/>
      <c r="J88" s="130">
        <v>5010.0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158">
        <v>76.0</v>
      </c>
      <c r="F89" s="138">
        <v>954.0</v>
      </c>
      <c r="G89" s="54">
        <v>500.0</v>
      </c>
      <c r="H89" s="135">
        <v>454.0</v>
      </c>
      <c r="I89" s="61"/>
      <c r="J89" s="130">
        <v>5011.0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158">
        <v>77.0</v>
      </c>
      <c r="F90" s="138">
        <v>1744.0</v>
      </c>
      <c r="G90" s="61"/>
      <c r="H90" s="135">
        <v>1744.0</v>
      </c>
      <c r="I90" s="61"/>
      <c r="J90" s="130">
        <v>5012.0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158">
        <v>78.0</v>
      </c>
      <c r="F91" s="138">
        <v>269.0</v>
      </c>
      <c r="G91" s="61"/>
      <c r="H91" s="135">
        <v>269.0</v>
      </c>
      <c r="I91" s="61"/>
      <c r="J91" s="130">
        <v>5013.0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158">
        <v>79.0</v>
      </c>
      <c r="F92" s="138">
        <v>900.0</v>
      </c>
      <c r="G92" s="54">
        <v>900.0</v>
      </c>
      <c r="H92" s="61"/>
      <c r="I92" s="61"/>
      <c r="J92" s="130">
        <v>5014.0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158">
        <v>80.0</v>
      </c>
      <c r="F93" s="138">
        <v>408.0</v>
      </c>
      <c r="G93" s="61"/>
      <c r="H93" s="135">
        <v>408.0</v>
      </c>
      <c r="I93" s="61"/>
      <c r="J93" s="130">
        <v>5015.0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158">
        <v>81.0</v>
      </c>
      <c r="F94" s="138">
        <v>110.0</v>
      </c>
      <c r="G94" s="61"/>
      <c r="H94" s="135">
        <v>110.0</v>
      </c>
      <c r="I94" s="61"/>
      <c r="J94" s="130">
        <v>5016.0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158">
        <v>82.0</v>
      </c>
      <c r="F95" s="138">
        <v>110.0</v>
      </c>
      <c r="G95" s="54">
        <v>110.0</v>
      </c>
      <c r="H95" s="54"/>
      <c r="I95" s="61"/>
      <c r="J95" s="130">
        <v>5017.0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158">
        <v>83.0</v>
      </c>
      <c r="F96" s="138">
        <v>81.0</v>
      </c>
      <c r="G96" s="54">
        <v>81.0</v>
      </c>
      <c r="H96" s="61"/>
      <c r="I96" s="61"/>
      <c r="J96" s="130">
        <v>5018.0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158">
        <v>84.0</v>
      </c>
      <c r="F97" s="138">
        <v>53.0</v>
      </c>
      <c r="G97" s="54">
        <v>53.0</v>
      </c>
      <c r="H97" s="61"/>
      <c r="I97" s="61"/>
      <c r="J97" s="130">
        <v>5019.0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58">
        <v>85.0</v>
      </c>
      <c r="F98" s="138">
        <v>113.0</v>
      </c>
      <c r="G98" s="54">
        <v>113.0</v>
      </c>
      <c r="H98" s="61"/>
      <c r="I98" s="61"/>
      <c r="J98" s="130">
        <v>5020.0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158">
        <v>86.0</v>
      </c>
      <c r="F99" s="138">
        <v>121.0</v>
      </c>
      <c r="G99" s="61"/>
      <c r="H99" s="135">
        <v>121.0</v>
      </c>
      <c r="I99" s="61"/>
      <c r="J99" s="130">
        <v>5021.0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158">
        <v>87.0</v>
      </c>
      <c r="F100" s="138">
        <v>167.0</v>
      </c>
      <c r="G100" s="54">
        <v>167.0</v>
      </c>
      <c r="H100" s="61"/>
      <c r="I100" s="61"/>
      <c r="J100" s="130">
        <v>5022.0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158">
        <v>88.0</v>
      </c>
      <c r="F101" s="138">
        <v>76.0</v>
      </c>
      <c r="G101" s="54">
        <v>76.0</v>
      </c>
      <c r="H101" s="61"/>
      <c r="I101" s="61"/>
      <c r="J101" s="130">
        <v>5023.0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58">
        <v>89.0</v>
      </c>
      <c r="F102" s="138">
        <v>319.0</v>
      </c>
      <c r="G102" s="61"/>
      <c r="H102" s="135">
        <v>319.0</v>
      </c>
      <c r="I102" s="61"/>
      <c r="J102" s="130">
        <v>5024.0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158">
        <v>90.0</v>
      </c>
      <c r="F103" s="138">
        <v>166.0</v>
      </c>
      <c r="G103" s="61"/>
      <c r="H103" s="135">
        <v>166.0</v>
      </c>
      <c r="I103" s="61"/>
      <c r="J103" s="130">
        <v>5025.0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158">
        <v>91.0</v>
      </c>
      <c r="F104" s="138">
        <v>100.0</v>
      </c>
      <c r="G104" s="54">
        <v>100.0</v>
      </c>
      <c r="H104" s="61"/>
      <c r="I104" s="61"/>
      <c r="J104" s="130">
        <v>5026.0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158">
        <v>92.0</v>
      </c>
      <c r="F105" s="138">
        <v>440.0</v>
      </c>
      <c r="G105" s="54">
        <v>440.0</v>
      </c>
      <c r="H105" s="61"/>
      <c r="I105" s="61"/>
      <c r="J105" s="130">
        <v>5027.0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58">
        <v>93.0</v>
      </c>
      <c r="F106" s="138">
        <v>717.0</v>
      </c>
      <c r="G106" s="61"/>
      <c r="H106" s="135">
        <v>717.0</v>
      </c>
      <c r="I106" s="61"/>
      <c r="J106" s="130">
        <v>5028.0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158">
        <v>94.0</v>
      </c>
      <c r="F107" s="138">
        <v>30.0</v>
      </c>
      <c r="G107" s="61"/>
      <c r="H107" s="135">
        <v>30.0</v>
      </c>
      <c r="I107" s="61"/>
      <c r="J107" s="130">
        <v>5029.0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158">
        <v>95.0</v>
      </c>
      <c r="F108" s="138">
        <v>40.0</v>
      </c>
      <c r="G108" s="54">
        <v>40.0</v>
      </c>
      <c r="H108" s="61"/>
      <c r="I108" s="61"/>
      <c r="J108" s="130">
        <v>5030.0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158">
        <v>96.0</v>
      </c>
      <c r="F109" s="138">
        <v>63.0</v>
      </c>
      <c r="G109" s="54">
        <v>63.0</v>
      </c>
      <c r="H109" s="61"/>
      <c r="I109" s="61"/>
      <c r="J109" s="130">
        <v>5031.0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158">
        <v>97.0</v>
      </c>
      <c r="F110" s="138">
        <v>10.0</v>
      </c>
      <c r="G110" s="54"/>
      <c r="H110" s="135">
        <v>10.0</v>
      </c>
      <c r="I110" s="61"/>
      <c r="J110" s="130">
        <v>5032.0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158">
        <v>98.0</v>
      </c>
      <c r="F111" s="138">
        <v>100.0</v>
      </c>
      <c r="G111" s="54">
        <v>100.0</v>
      </c>
      <c r="H111" s="61"/>
      <c r="I111" s="61"/>
      <c r="J111" s="130">
        <v>5033.0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158">
        <v>99.0</v>
      </c>
      <c r="F112" s="138">
        <v>36.0</v>
      </c>
      <c r="G112" s="61"/>
      <c r="H112" s="135">
        <v>36.0</v>
      </c>
      <c r="I112" s="61"/>
      <c r="J112" s="130">
        <v>5034.0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158">
        <v>100.0</v>
      </c>
      <c r="F113" s="138">
        <v>52.0</v>
      </c>
      <c r="G113" s="61"/>
      <c r="H113" s="135">
        <v>52.0</v>
      </c>
      <c r="I113" s="61"/>
      <c r="J113" s="130">
        <v>5035.0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158">
        <v>101.0</v>
      </c>
      <c r="F114" s="138">
        <v>58.0</v>
      </c>
      <c r="G114" s="54">
        <v>58.0</v>
      </c>
      <c r="H114" s="61"/>
      <c r="I114" s="61"/>
      <c r="J114" s="130">
        <v>5036.0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158">
        <v>102.0</v>
      </c>
      <c r="F115" s="138">
        <v>220.0</v>
      </c>
      <c r="G115" s="61"/>
      <c r="H115" s="135">
        <v>220.0</v>
      </c>
      <c r="I115" s="61"/>
      <c r="J115" s="130">
        <v>5037.0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158">
        <v>103.0</v>
      </c>
      <c r="F116" s="138">
        <v>220.0</v>
      </c>
      <c r="G116" s="54">
        <v>220.0</v>
      </c>
      <c r="H116" s="61"/>
      <c r="I116" s="61"/>
      <c r="J116" s="130">
        <v>5038.0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158">
        <v>104.0</v>
      </c>
      <c r="F117" s="138">
        <v>117.0</v>
      </c>
      <c r="G117" s="61"/>
      <c r="H117" s="136">
        <v>117.0</v>
      </c>
      <c r="I117" s="61"/>
      <c r="J117" s="155">
        <v>5039.0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158">
        <v>105.0</v>
      </c>
      <c r="F118" s="138">
        <v>110.0</v>
      </c>
      <c r="G118" s="54">
        <v>110.0</v>
      </c>
      <c r="H118" s="61"/>
      <c r="I118" s="61"/>
      <c r="J118" s="130">
        <v>5040.0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158">
        <v>106.0</v>
      </c>
      <c r="F119" s="138">
        <v>170.0</v>
      </c>
      <c r="G119" s="54">
        <v>170.0</v>
      </c>
      <c r="H119" s="61"/>
      <c r="I119" s="61"/>
      <c r="J119" s="130">
        <v>5041.0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158">
        <v>107.0</v>
      </c>
      <c r="F120" s="138">
        <v>77.0</v>
      </c>
      <c r="G120" s="54">
        <v>77.0</v>
      </c>
      <c r="H120" s="61"/>
      <c r="I120" s="61"/>
      <c r="J120" s="130">
        <v>5042.0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158">
        <v>108.0</v>
      </c>
      <c r="F121" s="138">
        <v>1654.0</v>
      </c>
      <c r="G121" s="54">
        <v>1654.0</v>
      </c>
      <c r="H121" s="61"/>
      <c r="I121" s="61"/>
      <c r="J121" s="130">
        <v>5043.0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158">
        <v>109.0</v>
      </c>
      <c r="F122" s="138">
        <v>180.0</v>
      </c>
      <c r="G122" s="54">
        <v>180.0</v>
      </c>
      <c r="H122" s="61"/>
      <c r="I122" s="61"/>
      <c r="J122" s="130">
        <v>5044.0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158">
        <v>110.0</v>
      </c>
      <c r="F123" s="138">
        <v>261.0</v>
      </c>
      <c r="G123" s="54">
        <v>261.0</v>
      </c>
      <c r="H123" s="61"/>
      <c r="I123" s="61"/>
      <c r="J123" s="130">
        <v>5045.0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158">
        <v>111.0</v>
      </c>
      <c r="F124" s="138">
        <v>580.0</v>
      </c>
      <c r="G124" s="61"/>
      <c r="H124" s="135">
        <v>580.0</v>
      </c>
      <c r="I124" s="61"/>
      <c r="J124" s="130">
        <v>5046.0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158">
        <v>112.0</v>
      </c>
      <c r="F125" s="138">
        <v>19.0</v>
      </c>
      <c r="G125" s="61"/>
      <c r="H125" s="135">
        <v>19.0</v>
      </c>
      <c r="I125" s="61"/>
      <c r="J125" s="130">
        <v>5047.0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58">
        <v>113.0</v>
      </c>
      <c r="F126" s="138">
        <v>163.0</v>
      </c>
      <c r="G126" s="61"/>
      <c r="H126" s="135">
        <v>163.0</v>
      </c>
      <c r="I126" s="61"/>
      <c r="J126" s="130">
        <v>5048.0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158">
        <v>114.0</v>
      </c>
      <c r="F127" s="138">
        <v>705.0</v>
      </c>
      <c r="G127" s="61"/>
      <c r="H127" s="135">
        <v>705.0</v>
      </c>
      <c r="I127" s="61"/>
      <c r="J127" s="130">
        <v>5049.0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158">
        <v>115.0</v>
      </c>
      <c r="F128" s="138">
        <v>5.0</v>
      </c>
      <c r="G128" s="54"/>
      <c r="H128" s="135">
        <v>5.0</v>
      </c>
      <c r="I128" s="61"/>
      <c r="J128" s="130">
        <v>5050.0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158">
        <v>116.0</v>
      </c>
      <c r="F129" s="138">
        <v>30.0</v>
      </c>
      <c r="G129" s="54">
        <v>20.0</v>
      </c>
      <c r="H129" s="135">
        <v>10.0</v>
      </c>
      <c r="I129" s="61"/>
      <c r="J129" s="130">
        <v>5051.0</v>
      </c>
      <c r="K129" s="24"/>
      <c r="L129" s="112"/>
      <c r="M129" s="137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158">
        <v>117.0</v>
      </c>
      <c r="F130" s="138">
        <v>1371.0</v>
      </c>
      <c r="G130" s="61"/>
      <c r="H130" s="135">
        <v>1371.0</v>
      </c>
      <c r="I130" s="61"/>
      <c r="J130" s="130">
        <v>5052.0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158">
        <v>118.0</v>
      </c>
      <c r="F131" s="138">
        <v>577.0</v>
      </c>
      <c r="G131" s="54">
        <v>577.0</v>
      </c>
      <c r="H131" s="61"/>
      <c r="I131" s="61"/>
      <c r="J131" s="130">
        <v>5053.0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158">
        <v>119.0</v>
      </c>
      <c r="F132" s="138">
        <v>298.0</v>
      </c>
      <c r="G132" s="61"/>
      <c r="H132" s="135">
        <v>298.0</v>
      </c>
      <c r="I132" s="61"/>
      <c r="J132" s="130">
        <v>5054.0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158">
        <v>120.0</v>
      </c>
      <c r="F133" s="138">
        <v>840.0</v>
      </c>
      <c r="G133" s="54"/>
      <c r="H133" s="61"/>
      <c r="I133" s="54">
        <v>840.0</v>
      </c>
      <c r="J133" s="130" t="s">
        <v>309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158">
        <v>121.0</v>
      </c>
      <c r="F134" s="138">
        <v>78.0</v>
      </c>
      <c r="G134" s="61"/>
      <c r="H134" s="135">
        <v>78.0</v>
      </c>
      <c r="I134" s="61"/>
      <c r="J134" s="130">
        <v>5056.0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158">
        <v>122.0</v>
      </c>
      <c r="F135" s="138">
        <v>32.0</v>
      </c>
      <c r="G135" s="54">
        <v>32.0</v>
      </c>
      <c r="H135" s="61"/>
      <c r="I135" s="61"/>
      <c r="J135" s="130">
        <v>5057.0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158">
        <v>123.0</v>
      </c>
      <c r="F136" s="138">
        <v>612.0</v>
      </c>
      <c r="G136" s="61"/>
      <c r="H136" s="61"/>
      <c r="I136" s="54">
        <v>612.0</v>
      </c>
      <c r="J136" s="130" t="s">
        <v>310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158">
        <v>124.0</v>
      </c>
      <c r="F137" s="138">
        <v>699.0</v>
      </c>
      <c r="G137" s="61"/>
      <c r="H137" s="61"/>
      <c r="I137" s="54">
        <v>699.0</v>
      </c>
      <c r="J137" s="130" t="s">
        <v>311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158">
        <v>125.0</v>
      </c>
      <c r="F138" s="138">
        <v>60.0</v>
      </c>
      <c r="G138" s="61"/>
      <c r="H138" s="135">
        <v>60.0</v>
      </c>
      <c r="I138" s="61"/>
      <c r="J138" s="130">
        <v>5060.0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158">
        <v>126.0</v>
      </c>
      <c r="F139" s="138">
        <v>40.0</v>
      </c>
      <c r="G139" s="54"/>
      <c r="H139" s="61"/>
      <c r="I139" s="54">
        <v>40.0</v>
      </c>
      <c r="J139" s="130" t="s">
        <v>312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158">
        <v>127.0</v>
      </c>
      <c r="F140" s="138">
        <v>10.0</v>
      </c>
      <c r="G140" s="61"/>
      <c r="H140" s="135">
        <v>10.0</v>
      </c>
      <c r="I140" s="61"/>
      <c r="J140" s="130">
        <v>5062.0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158">
        <v>126.0</v>
      </c>
      <c r="F141" s="138">
        <v>523.0</v>
      </c>
      <c r="G141" s="61"/>
      <c r="H141" s="135">
        <v>523.0</v>
      </c>
      <c r="I141" s="61"/>
      <c r="J141" s="130">
        <v>5063.0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61"/>
      <c r="I142" s="61"/>
      <c r="J142" s="130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61"/>
      <c r="I143" s="61"/>
      <c r="J143" s="130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130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21"/>
      <c r="G145" s="54">
        <v>10.0</v>
      </c>
      <c r="H145" s="61"/>
      <c r="I145" s="61"/>
      <c r="J145" s="130" t="s">
        <v>313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21"/>
      <c r="G146" s="54">
        <v>90.0</v>
      </c>
      <c r="H146" s="61"/>
      <c r="I146" s="61"/>
      <c r="J146" s="130" t="s">
        <v>314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21"/>
      <c r="G147" s="190">
        <v>493.0</v>
      </c>
      <c r="H147" s="245"/>
      <c r="I147" s="245"/>
      <c r="J147" s="243" t="s">
        <v>315</v>
      </c>
      <c r="K147" s="290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1"/>
      <c r="E148" s="122"/>
      <c r="F148" s="123">
        <f t="shared" ref="F148:I148" si="4">SUM(F10:F147)</f>
        <v>48779</v>
      </c>
      <c r="G148" s="123">
        <f t="shared" si="4"/>
        <v>18312</v>
      </c>
      <c r="H148" s="123">
        <f t="shared" si="4"/>
        <v>30432</v>
      </c>
      <c r="I148" s="123">
        <f t="shared" si="4"/>
        <v>5917</v>
      </c>
      <c r="J148" s="130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18"/>
      <c r="C149" s="118"/>
      <c r="D149" s="1"/>
      <c r="E149" s="124"/>
      <c r="F149" s="124"/>
      <c r="G149" s="124"/>
      <c r="H149" s="124"/>
      <c r="I149" s="125"/>
      <c r="J149" s="130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18"/>
      <c r="C150" s="1"/>
      <c r="D150" s="1"/>
      <c r="E150" s="8"/>
      <c r="F150" s="8"/>
      <c r="G150" s="8"/>
      <c r="H150" s="8"/>
      <c r="I150" s="8"/>
      <c r="J150" s="130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8"/>
      <c r="F151" s="8"/>
      <c r="G151" s="8"/>
      <c r="H151" s="8"/>
      <c r="I151" s="8"/>
      <c r="J151" s="130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26"/>
      <c r="H161" s="12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110211.0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30791.0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67305.0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73136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34441</v>
      </c>
      <c r="D10" s="24"/>
      <c r="E10" s="43">
        <v>1.0</v>
      </c>
      <c r="F10" s="44">
        <v>10.0</v>
      </c>
      <c r="G10" s="45"/>
      <c r="H10" s="129">
        <v>10.0</v>
      </c>
      <c r="I10" s="45"/>
      <c r="J10" s="130">
        <v>5064.0</v>
      </c>
      <c r="K10" s="24"/>
      <c r="L10" s="47"/>
      <c r="M10" s="161">
        <v>3135.0</v>
      </c>
      <c r="N10" s="47">
        <v>4770.0</v>
      </c>
      <c r="O10" s="49"/>
      <c r="P10" s="85" t="s">
        <v>316</v>
      </c>
      <c r="Q10" s="51"/>
      <c r="R10" s="52">
        <v>100.0</v>
      </c>
      <c r="S10" s="53"/>
      <c r="T10" s="54"/>
      <c r="U10" s="55"/>
      <c r="V10" s="24"/>
      <c r="W10" s="47">
        <v>355.0</v>
      </c>
      <c r="X10" s="47"/>
      <c r="Y10" s="47">
        <v>47.0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36872</v>
      </c>
      <c r="D11" s="24"/>
      <c r="E11" s="43">
        <v>2.0</v>
      </c>
      <c r="F11" s="56">
        <v>80.0</v>
      </c>
      <c r="G11" s="57"/>
      <c r="H11" s="148">
        <v>80.0</v>
      </c>
      <c r="I11" s="59"/>
      <c r="J11" s="130">
        <v>5065.0</v>
      </c>
      <c r="K11" s="24"/>
      <c r="L11" s="48"/>
      <c r="M11" s="48"/>
      <c r="N11" s="48"/>
      <c r="O11" s="49"/>
      <c r="P11" s="72" t="s">
        <v>141</v>
      </c>
      <c r="Q11" s="51"/>
      <c r="R11" s="52">
        <v>2473.0</v>
      </c>
      <c r="S11" s="53"/>
      <c r="T11" s="61"/>
      <c r="U11" s="62"/>
      <c r="V11" s="24"/>
      <c r="W11" s="47">
        <v>1202.0</v>
      </c>
      <c r="X11" s="47"/>
      <c r="Y11" s="47">
        <v>48.0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2580</v>
      </c>
      <c r="D12" s="24"/>
      <c r="E12" s="43">
        <v>3.0</v>
      </c>
      <c r="F12" s="63">
        <v>25.0</v>
      </c>
      <c r="G12" s="64">
        <v>25.0</v>
      </c>
      <c r="H12" s="64"/>
      <c r="I12" s="65"/>
      <c r="J12" s="130">
        <v>5066.0</v>
      </c>
      <c r="K12" s="24"/>
      <c r="L12" s="48"/>
      <c r="M12" s="48"/>
      <c r="N12" s="48"/>
      <c r="O12" s="49"/>
      <c r="P12" s="72" t="s">
        <v>141</v>
      </c>
      <c r="Q12" s="51"/>
      <c r="R12" s="52">
        <v>257.0</v>
      </c>
      <c r="S12" s="52"/>
      <c r="T12" s="61"/>
      <c r="U12" s="62"/>
      <c r="V12" s="24"/>
      <c r="W12" s="47">
        <v>309.0</v>
      </c>
      <c r="X12" s="48"/>
      <c r="Y12" s="47">
        <v>49.0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271.0</v>
      </c>
      <c r="G13" s="64"/>
      <c r="H13" s="132">
        <v>271.0</v>
      </c>
      <c r="I13" s="65"/>
      <c r="J13" s="130">
        <v>5067.0</v>
      </c>
      <c r="K13" s="24"/>
      <c r="L13" s="48"/>
      <c r="M13" s="48"/>
      <c r="N13" s="48"/>
      <c r="O13" s="49"/>
      <c r="P13" s="72" t="s">
        <v>141</v>
      </c>
      <c r="Q13" s="51"/>
      <c r="R13" s="52">
        <v>998.0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3135</v>
      </c>
      <c r="D14" s="24"/>
      <c r="E14" s="43">
        <v>5.0</v>
      </c>
      <c r="F14" s="56">
        <v>24.0</v>
      </c>
      <c r="G14" s="64"/>
      <c r="H14" s="132">
        <v>24.0</v>
      </c>
      <c r="I14" s="65"/>
      <c r="J14" s="130">
        <v>5068.0</v>
      </c>
      <c r="K14" s="24"/>
      <c r="L14" s="48"/>
      <c r="M14" s="48"/>
      <c r="N14" s="48"/>
      <c r="O14" s="49"/>
      <c r="P14" s="72" t="s">
        <v>317</v>
      </c>
      <c r="Q14" s="51"/>
      <c r="R14" s="52">
        <v>400.0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1866</v>
      </c>
      <c r="D15" s="24"/>
      <c r="E15" s="43">
        <v>6.0</v>
      </c>
      <c r="F15" s="56">
        <v>60.0</v>
      </c>
      <c r="G15" s="64"/>
      <c r="H15" s="132">
        <v>60.0</v>
      </c>
      <c r="I15" s="65"/>
      <c r="J15" s="130">
        <v>5069.0</v>
      </c>
      <c r="K15" s="24"/>
      <c r="L15" s="48"/>
      <c r="M15" s="48"/>
      <c r="N15" s="48"/>
      <c r="O15" s="49"/>
      <c r="P15" s="72" t="s">
        <v>318</v>
      </c>
      <c r="Q15" s="51"/>
      <c r="R15" s="52">
        <v>50.0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4278</v>
      </c>
      <c r="D16" s="24"/>
      <c r="E16" s="43">
        <v>7.0</v>
      </c>
      <c r="F16" s="56">
        <v>930.0</v>
      </c>
      <c r="G16" s="64">
        <v>930.0</v>
      </c>
      <c r="H16" s="64"/>
      <c r="I16" s="65"/>
      <c r="J16" s="130">
        <v>5070.0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4278</v>
      </c>
      <c r="D17" s="24"/>
      <c r="E17" s="43">
        <v>8.0</v>
      </c>
      <c r="F17" s="56">
        <v>115.0</v>
      </c>
      <c r="G17" s="64">
        <v>115.0</v>
      </c>
      <c r="H17" s="64"/>
      <c r="I17" s="65"/>
      <c r="J17" s="130">
        <v>5071.0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116.0</v>
      </c>
      <c r="G18" s="64">
        <v>116.0</v>
      </c>
      <c r="H18" s="64"/>
      <c r="I18" s="65"/>
      <c r="J18" s="130">
        <v>5072.0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1978.0</v>
      </c>
      <c r="G19" s="64">
        <v>1978.0</v>
      </c>
      <c r="H19" s="65"/>
      <c r="I19" s="65"/>
      <c r="J19" s="130">
        <v>5073.0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66750</v>
      </c>
      <c r="D20" s="24"/>
      <c r="E20" s="43">
        <v>11.0</v>
      </c>
      <c r="F20" s="56">
        <v>197.0</v>
      </c>
      <c r="G20" s="64">
        <v>197.0</v>
      </c>
      <c r="H20" s="64"/>
      <c r="I20" s="65"/>
      <c r="J20" s="130">
        <v>5074.0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40007</v>
      </c>
      <c r="D21" s="24"/>
      <c r="E21" s="43">
        <v>12.0</v>
      </c>
      <c r="F21" s="56">
        <v>3748.0</v>
      </c>
      <c r="G21" s="64">
        <v>3748.0</v>
      </c>
      <c r="H21" s="64"/>
      <c r="I21" s="65"/>
      <c r="J21" s="130">
        <v>5075.0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140374</v>
      </c>
      <c r="D22" s="24"/>
      <c r="E22" s="43">
        <v>13.0</v>
      </c>
      <c r="F22" s="56">
        <v>431.0</v>
      </c>
      <c r="G22" s="64">
        <v>431.0</v>
      </c>
      <c r="H22" s="64"/>
      <c r="I22" s="65"/>
      <c r="J22" s="130">
        <v>5076.0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147590.0</v>
      </c>
      <c r="D23" s="24"/>
      <c r="E23" s="43">
        <v>14.0</v>
      </c>
      <c r="F23" s="216">
        <v>4122.0</v>
      </c>
      <c r="G23" s="169"/>
      <c r="H23" s="182">
        <v>4122.0</v>
      </c>
      <c r="I23" s="182"/>
      <c r="J23" s="155" t="s">
        <v>319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-7216</v>
      </c>
      <c r="D24" s="24"/>
      <c r="E24" s="43">
        <v>15.0</v>
      </c>
      <c r="F24" s="216">
        <v>594.0</v>
      </c>
      <c r="G24" s="182"/>
      <c r="H24" s="182">
        <v>594.0</v>
      </c>
      <c r="I24" s="169"/>
      <c r="J24" s="155" t="s">
        <v>319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1521.0</v>
      </c>
      <c r="G25" s="64"/>
      <c r="H25" s="132">
        <v>1521.0</v>
      </c>
      <c r="I25" s="65"/>
      <c r="J25" s="130">
        <v>5079.0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75002</v>
      </c>
      <c r="D26" s="24"/>
      <c r="E26" s="43">
        <v>17.0</v>
      </c>
      <c r="F26" s="56">
        <v>163.0</v>
      </c>
      <c r="G26" s="64">
        <v>163.0</v>
      </c>
      <c r="H26" s="65"/>
      <c r="I26" s="65"/>
      <c r="J26" s="130">
        <v>5080.0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145.0</v>
      </c>
      <c r="D27" s="24"/>
      <c r="E27" s="43">
        <v>18.0</v>
      </c>
      <c r="F27" s="56">
        <v>388.0</v>
      </c>
      <c r="G27" s="64">
        <v>388.0</v>
      </c>
      <c r="H27" s="65"/>
      <c r="I27" s="65"/>
      <c r="J27" s="130">
        <v>5081.0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517.2551724</v>
      </c>
      <c r="D28" s="24"/>
      <c r="E28" s="43">
        <v>19.0</v>
      </c>
      <c r="F28" s="56">
        <v>1207.0</v>
      </c>
      <c r="G28" s="64">
        <v>1207.0</v>
      </c>
      <c r="H28" s="65"/>
      <c r="I28" s="65"/>
      <c r="J28" s="130">
        <v>5082.0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70.0</v>
      </c>
      <c r="G29" s="64">
        <v>70.0</v>
      </c>
      <c r="H29" s="65"/>
      <c r="I29" s="65"/>
      <c r="J29" s="130">
        <v>5083.0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187.0</v>
      </c>
      <c r="G30" s="93">
        <v>187.0</v>
      </c>
      <c r="H30" s="92"/>
      <c r="I30" s="93"/>
      <c r="J30" s="130">
        <v>5084.0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30791</v>
      </c>
      <c r="D31" s="24"/>
      <c r="E31" s="43">
        <v>22.0</v>
      </c>
      <c r="F31" s="56">
        <v>734.0</v>
      </c>
      <c r="G31" s="93"/>
      <c r="H31" s="135">
        <v>734.0</v>
      </c>
      <c r="I31" s="92"/>
      <c r="J31" s="130">
        <v>5085.0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4278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220">
        <v>587.0</v>
      </c>
      <c r="G32" s="152"/>
      <c r="H32" s="135">
        <v>587.0</v>
      </c>
      <c r="I32" s="92"/>
      <c r="J32" s="130">
        <v>5086.0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349.0</v>
      </c>
      <c r="G33" s="93">
        <v>349.0</v>
      </c>
      <c r="H33" s="92"/>
      <c r="I33" s="92"/>
      <c r="J33" s="130">
        <v>5087.0</v>
      </c>
      <c r="K33" s="24"/>
      <c r="L33" s="104">
        <f t="shared" ref="L33:M33" si="2">sum(L10:L32)</f>
        <v>0</v>
      </c>
      <c r="M33" s="104">
        <f t="shared" si="2"/>
        <v>3135</v>
      </c>
      <c r="N33" s="104"/>
      <c r="O33" s="105"/>
      <c r="P33" s="85" t="s">
        <v>38</v>
      </c>
      <c r="Q33" s="51"/>
      <c r="R33" s="100"/>
      <c r="S33" s="52">
        <v>30791.0</v>
      </c>
      <c r="T33" s="101"/>
      <c r="U33" s="55"/>
      <c r="V33" s="24"/>
      <c r="W33" s="104">
        <f t="shared" ref="W33:X33" si="3">sum(W10:W32)</f>
        <v>1866</v>
      </c>
      <c r="X33" s="104">
        <f t="shared" si="3"/>
        <v>0</v>
      </c>
      <c r="Y33" s="104">
        <f>W33+X33</f>
        <v>1866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924.0</v>
      </c>
      <c r="G34" s="93"/>
      <c r="H34" s="135">
        <v>924.0</v>
      </c>
      <c r="I34" s="92"/>
      <c r="J34" s="130">
        <v>5088.0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779.0</v>
      </c>
      <c r="G35" s="92"/>
      <c r="H35" s="135">
        <v>779.0</v>
      </c>
      <c r="I35" s="92"/>
      <c r="J35" s="130">
        <v>5089.0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590.0</v>
      </c>
      <c r="G36" s="92"/>
      <c r="H36" s="135">
        <v>590.0</v>
      </c>
      <c r="I36" s="92"/>
      <c r="J36" s="130">
        <v>5090.0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523.0</v>
      </c>
      <c r="G37" s="93"/>
      <c r="H37" s="135">
        <v>523.0</v>
      </c>
      <c r="I37" s="92"/>
      <c r="J37" s="130">
        <v>5091.0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54.0</v>
      </c>
      <c r="G38" s="93">
        <v>54.0</v>
      </c>
      <c r="H38" s="92"/>
      <c r="I38" s="92"/>
      <c r="J38" s="130">
        <v>5092.0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36.0</v>
      </c>
      <c r="G39" s="93">
        <v>36.0</v>
      </c>
      <c r="H39" s="93"/>
      <c r="I39" s="92"/>
      <c r="J39" s="130">
        <v>5093.0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1340.0</v>
      </c>
      <c r="G40" s="92"/>
      <c r="H40" s="135">
        <v>1340.0</v>
      </c>
      <c r="I40" s="92"/>
      <c r="J40" s="130">
        <v>5094.0</v>
      </c>
      <c r="K40" s="24"/>
      <c r="L40" s="112"/>
      <c r="M40" s="117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730.0</v>
      </c>
      <c r="G41" s="93">
        <v>730.0</v>
      </c>
      <c r="H41" s="93"/>
      <c r="I41" s="92"/>
      <c r="J41" s="130">
        <v>5095.0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648.0</v>
      </c>
      <c r="G42" s="93"/>
      <c r="H42" s="135">
        <v>648.0</v>
      </c>
      <c r="I42" s="92"/>
      <c r="J42" s="130">
        <v>5096.0</v>
      </c>
      <c r="K42" s="24"/>
      <c r="L42" s="112"/>
      <c r="M42" s="292" t="s">
        <v>320</v>
      </c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716.0</v>
      </c>
      <c r="G43" s="93">
        <v>700.0</v>
      </c>
      <c r="H43" s="135">
        <v>16.0</v>
      </c>
      <c r="I43" s="93"/>
      <c r="J43" s="130">
        <v>5097.0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174.0</v>
      </c>
      <c r="G44" s="92"/>
      <c r="H44" s="135">
        <v>174.0</v>
      </c>
      <c r="I44" s="92"/>
      <c r="J44" s="130">
        <v>5098.0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59.0</v>
      </c>
      <c r="G45" s="93"/>
      <c r="H45" s="135">
        <v>59.0</v>
      </c>
      <c r="I45" s="92"/>
      <c r="J45" s="130">
        <v>5099.0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2.0</v>
      </c>
      <c r="G46" s="93"/>
      <c r="H46" s="135">
        <v>2.0</v>
      </c>
      <c r="I46" s="92"/>
      <c r="J46" s="130">
        <v>5100.0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45.0</v>
      </c>
      <c r="G47" s="92"/>
      <c r="H47" s="135">
        <v>45.0</v>
      </c>
      <c r="I47" s="92"/>
      <c r="J47" s="130">
        <v>5101.0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216">
        <v>550.0</v>
      </c>
      <c r="G48" s="173"/>
      <c r="H48" s="136">
        <v>550.0</v>
      </c>
      <c r="I48" s="173"/>
      <c r="J48" s="155" t="s">
        <v>321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466.0</v>
      </c>
      <c r="G49" s="93">
        <v>95.0</v>
      </c>
      <c r="H49" s="293">
        <v>371.0</v>
      </c>
      <c r="I49" s="93"/>
      <c r="J49" s="294">
        <v>5103.0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492.0</v>
      </c>
      <c r="G50" s="93">
        <v>492.0</v>
      </c>
      <c r="H50" s="93"/>
      <c r="I50" s="92"/>
      <c r="J50" s="130">
        <v>5104.0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349.0</v>
      </c>
      <c r="G51" s="93">
        <v>349.0</v>
      </c>
      <c r="H51" s="92"/>
      <c r="I51" s="92"/>
      <c r="J51" s="130">
        <v>5105.0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269.0</v>
      </c>
      <c r="G52" s="93">
        <v>269.0</v>
      </c>
      <c r="H52" s="92"/>
      <c r="I52" s="92"/>
      <c r="J52" s="130">
        <v>5106.0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1034.0</v>
      </c>
      <c r="G53" s="92"/>
      <c r="H53" s="293">
        <v>1034.0</v>
      </c>
      <c r="I53" s="93"/>
      <c r="J53" s="294">
        <v>5107.0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208.0</v>
      </c>
      <c r="G54" s="92"/>
      <c r="H54" s="293">
        <v>208.0</v>
      </c>
      <c r="I54" s="93"/>
      <c r="J54" s="294">
        <v>5108.0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587.0</v>
      </c>
      <c r="G55" s="93"/>
      <c r="H55" s="157">
        <v>587.0</v>
      </c>
      <c r="I55" s="92"/>
      <c r="J55" s="130" t="s">
        <v>322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692.0</v>
      </c>
      <c r="G56" s="92"/>
      <c r="H56" s="135">
        <v>692.0</v>
      </c>
      <c r="I56" s="92"/>
      <c r="J56" s="130">
        <v>5110.0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401.0</v>
      </c>
      <c r="G57" s="93">
        <v>401.0</v>
      </c>
      <c r="H57" s="92"/>
      <c r="I57" s="92"/>
      <c r="J57" s="130">
        <v>5111.0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322.0</v>
      </c>
      <c r="G58" s="92"/>
      <c r="H58" s="135">
        <v>322.0</v>
      </c>
      <c r="I58" s="92"/>
      <c r="J58" s="130">
        <v>5112.0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238.0</v>
      </c>
      <c r="G59" s="93">
        <v>238.0</v>
      </c>
      <c r="H59" s="92"/>
      <c r="I59" s="92"/>
      <c r="J59" s="130">
        <v>5113.0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998.0</v>
      </c>
      <c r="G60" s="92"/>
      <c r="H60" s="135">
        <v>998.0</v>
      </c>
      <c r="I60" s="92"/>
      <c r="J60" s="130">
        <v>5114.0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272.0</v>
      </c>
      <c r="G61" s="93">
        <v>272.0</v>
      </c>
      <c r="H61" s="92"/>
      <c r="I61" s="92"/>
      <c r="J61" s="130">
        <v>5115.0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1103.0</v>
      </c>
      <c r="G62" s="93">
        <v>1103.0</v>
      </c>
      <c r="H62" s="92"/>
      <c r="I62" s="92"/>
      <c r="J62" s="130">
        <v>5116.0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192.0</v>
      </c>
      <c r="G63" s="93">
        <v>192.0</v>
      </c>
      <c r="H63" s="92"/>
      <c r="I63" s="92"/>
      <c r="J63" s="130">
        <v>5117.0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363.0</v>
      </c>
      <c r="G64" s="93">
        <v>100.0</v>
      </c>
      <c r="H64" s="135">
        <v>263.0</v>
      </c>
      <c r="I64" s="92"/>
      <c r="J64" s="130">
        <v>5118.0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2513.0</v>
      </c>
      <c r="G65" s="92"/>
      <c r="H65" s="135">
        <v>2513.0</v>
      </c>
      <c r="I65" s="92"/>
      <c r="J65" s="130">
        <v>5119.0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642.0</v>
      </c>
      <c r="G66" s="92"/>
      <c r="H66" s="135">
        <v>642.0</v>
      </c>
      <c r="I66" s="92"/>
      <c r="J66" s="130">
        <v>5120.0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300.0</v>
      </c>
      <c r="G67" s="93">
        <v>300.0</v>
      </c>
      <c r="H67" s="92"/>
      <c r="I67" s="92"/>
      <c r="J67" s="130">
        <v>5121.0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102.0</v>
      </c>
      <c r="G68" s="92"/>
      <c r="H68" s="135">
        <v>102.0</v>
      </c>
      <c r="I68" s="92"/>
      <c r="J68" s="130">
        <v>5122.0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206.0</v>
      </c>
      <c r="G69" s="93">
        <v>206.0</v>
      </c>
      <c r="H69" s="92"/>
      <c r="I69" s="92"/>
      <c r="J69" s="130">
        <v>5123.0</v>
      </c>
      <c r="K69" s="24"/>
      <c r="L69" s="112"/>
      <c r="M69" s="112"/>
      <c r="N69" s="117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304.0</v>
      </c>
      <c r="G70" s="92"/>
      <c r="H70" s="135">
        <v>304.0</v>
      </c>
      <c r="I70" s="93"/>
      <c r="J70" s="130">
        <v>5124.0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849.0</v>
      </c>
      <c r="G71" s="93">
        <v>849.0</v>
      </c>
      <c r="H71" s="92"/>
      <c r="I71" s="92"/>
      <c r="J71" s="130">
        <v>5125.0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78.0</v>
      </c>
      <c r="G72" s="93">
        <v>78.0</v>
      </c>
      <c r="H72" s="92"/>
      <c r="I72" s="92"/>
      <c r="J72" s="130">
        <v>5126.0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45.0</v>
      </c>
      <c r="G73" s="92"/>
      <c r="H73" s="135">
        <v>45.0</v>
      </c>
      <c r="I73" s="92"/>
      <c r="J73" s="130">
        <v>5127.0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169.0</v>
      </c>
      <c r="G74" s="93">
        <v>169.0</v>
      </c>
      <c r="H74" s="92"/>
      <c r="I74" s="92"/>
      <c r="J74" s="130">
        <v>5128.0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438.0</v>
      </c>
      <c r="G75" s="93">
        <v>438.0</v>
      </c>
      <c r="H75" s="92"/>
      <c r="I75" s="92"/>
      <c r="J75" s="130">
        <v>5129.0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109.0</v>
      </c>
      <c r="G76" s="92"/>
      <c r="H76" s="135">
        <v>109.0</v>
      </c>
      <c r="I76" s="92"/>
      <c r="J76" s="130">
        <v>5130.0</v>
      </c>
      <c r="K76" s="24"/>
      <c r="L76" s="112"/>
      <c r="M76" s="112"/>
      <c r="N76" s="112"/>
      <c r="O76" s="112"/>
      <c r="P76" s="117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50.0</v>
      </c>
      <c r="G77" s="92"/>
      <c r="H77" s="135">
        <v>50.0</v>
      </c>
      <c r="I77" s="92"/>
      <c r="J77" s="130">
        <v>5131.0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2568.0</v>
      </c>
      <c r="G78" s="92"/>
      <c r="H78" s="92"/>
      <c r="I78" s="93">
        <v>2568.0</v>
      </c>
      <c r="J78" s="130" t="s">
        <v>323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992.0</v>
      </c>
      <c r="G79" s="92"/>
      <c r="H79" s="135">
        <v>992.0</v>
      </c>
      <c r="I79" s="92"/>
      <c r="J79" s="130">
        <v>5133.0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890.0</v>
      </c>
      <c r="G80" s="92"/>
      <c r="H80" s="135">
        <v>890.0</v>
      </c>
      <c r="I80" s="92"/>
      <c r="J80" s="130">
        <v>5134.0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873.0</v>
      </c>
      <c r="G81" s="93">
        <v>873.0</v>
      </c>
      <c r="H81" s="92"/>
      <c r="I81" s="92"/>
      <c r="J81" s="130">
        <v>5135.0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97.0</v>
      </c>
      <c r="G82" s="54">
        <v>97.0</v>
      </c>
      <c r="H82" s="61"/>
      <c r="I82" s="61"/>
      <c r="J82" s="130">
        <v>5136.0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612.0</v>
      </c>
      <c r="G83" s="54">
        <v>612.0</v>
      </c>
      <c r="H83" s="61"/>
      <c r="I83" s="61"/>
      <c r="J83" s="130">
        <v>5137.0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216">
        <v>140.0</v>
      </c>
      <c r="G84" s="173"/>
      <c r="H84" s="136">
        <v>140.0</v>
      </c>
      <c r="I84" s="173"/>
      <c r="J84" s="155" t="s">
        <v>324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157.0</v>
      </c>
      <c r="G85" s="54">
        <v>157.0</v>
      </c>
      <c r="H85" s="61"/>
      <c r="I85" s="61"/>
      <c r="J85" s="130">
        <v>5139.0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183.0</v>
      </c>
      <c r="G86" s="61"/>
      <c r="H86" s="135">
        <v>183.0</v>
      </c>
      <c r="I86" s="61"/>
      <c r="J86" s="130">
        <v>5140.0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363.0</v>
      </c>
      <c r="G87" s="54">
        <v>363.0</v>
      </c>
      <c r="H87" s="61"/>
      <c r="I87" s="61"/>
      <c r="J87" s="130">
        <v>5141.0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717.0</v>
      </c>
      <c r="G88" s="61"/>
      <c r="H88" s="135">
        <v>717.0</v>
      </c>
      <c r="I88" s="61"/>
      <c r="J88" s="130">
        <v>5142.0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113.0</v>
      </c>
      <c r="G89" s="61"/>
      <c r="H89" s="135">
        <v>113.0</v>
      </c>
      <c r="I89" s="61"/>
      <c r="J89" s="130">
        <v>5143.0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156.0</v>
      </c>
      <c r="G90" s="61"/>
      <c r="H90" s="135">
        <v>156.0</v>
      </c>
      <c r="I90" s="61"/>
      <c r="J90" s="130">
        <v>5144.0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750.0</v>
      </c>
      <c r="G91" s="54">
        <v>750.0</v>
      </c>
      <c r="H91" s="61"/>
      <c r="I91" s="61"/>
      <c r="J91" s="130">
        <v>5145.0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960.0</v>
      </c>
      <c r="G92" s="54">
        <v>960.0</v>
      </c>
      <c r="H92" s="61"/>
      <c r="I92" s="61"/>
      <c r="J92" s="130">
        <v>5146.0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180.0</v>
      </c>
      <c r="G93" s="54">
        <v>180.0</v>
      </c>
      <c r="H93" s="61"/>
      <c r="I93" s="61"/>
      <c r="J93" s="130">
        <v>5147.0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331.0</v>
      </c>
      <c r="G94" s="54">
        <v>331.0</v>
      </c>
      <c r="H94" s="61"/>
      <c r="I94" s="61"/>
      <c r="J94" s="130">
        <v>5148.0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1580.0</v>
      </c>
      <c r="G95" s="54">
        <v>1580.0</v>
      </c>
      <c r="H95" s="61"/>
      <c r="I95" s="61"/>
      <c r="J95" s="130">
        <v>5149.0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486.0</v>
      </c>
      <c r="G96" s="61"/>
      <c r="H96" s="135">
        <v>486.0</v>
      </c>
      <c r="I96" s="61"/>
      <c r="J96" s="130">
        <v>5150.0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138">
        <v>604.0</v>
      </c>
      <c r="G97" s="54">
        <v>500.0</v>
      </c>
      <c r="H97" s="135">
        <v>104.0</v>
      </c>
      <c r="I97" s="54"/>
      <c r="J97" s="130">
        <v>5151.0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138">
        <v>1900.0</v>
      </c>
      <c r="G98" s="54">
        <v>1900.0</v>
      </c>
      <c r="H98" s="61"/>
      <c r="I98" s="61"/>
      <c r="J98" s="130">
        <v>5152.0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138">
        <v>315.0</v>
      </c>
      <c r="G99" s="54">
        <v>315.0</v>
      </c>
      <c r="H99" s="61"/>
      <c r="I99" s="61"/>
      <c r="J99" s="130">
        <v>5153.0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138">
        <v>545.0</v>
      </c>
      <c r="G100" s="61"/>
      <c r="H100" s="135">
        <v>545.0</v>
      </c>
      <c r="I100" s="61"/>
      <c r="J100" s="130">
        <v>5154.0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138">
        <v>5.0</v>
      </c>
      <c r="G101" s="61"/>
      <c r="H101" s="135">
        <v>5.0</v>
      </c>
      <c r="I101" s="61"/>
      <c r="J101" s="130">
        <v>5155.0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138">
        <v>322.0</v>
      </c>
      <c r="G102" s="54">
        <v>322.0</v>
      </c>
      <c r="H102" s="61"/>
      <c r="I102" s="61"/>
      <c r="J102" s="130">
        <v>5156.0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138">
        <v>849.0</v>
      </c>
      <c r="G103" s="54">
        <v>849.0</v>
      </c>
      <c r="H103" s="54"/>
      <c r="I103" s="54"/>
      <c r="J103" s="130" t="s">
        <v>325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138">
        <v>344.0</v>
      </c>
      <c r="G104" s="54">
        <v>344.0</v>
      </c>
      <c r="H104" s="61"/>
      <c r="I104" s="61"/>
      <c r="J104" s="130">
        <v>5158.0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138">
        <v>185.0</v>
      </c>
      <c r="G105" s="54">
        <v>185.0</v>
      </c>
      <c r="H105" s="61"/>
      <c r="I105" s="61"/>
      <c r="J105" s="130">
        <v>5159.0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138">
        <v>1209.0</v>
      </c>
      <c r="G106" s="54">
        <v>1209.0</v>
      </c>
      <c r="H106" s="61"/>
      <c r="I106" s="61"/>
      <c r="J106" s="130">
        <v>5160.0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138">
        <v>450.0</v>
      </c>
      <c r="G107" s="61"/>
      <c r="H107" s="135">
        <v>450.0</v>
      </c>
      <c r="I107" s="61"/>
      <c r="J107" s="130">
        <v>5161.0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138">
        <v>604.0</v>
      </c>
      <c r="G108" s="54"/>
      <c r="H108" s="135">
        <v>604.0</v>
      </c>
      <c r="I108" s="61"/>
      <c r="J108" s="130">
        <v>5162.0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138">
        <v>1180.0</v>
      </c>
      <c r="G109" s="54">
        <v>30.0</v>
      </c>
      <c r="H109" s="135">
        <v>1150.0</v>
      </c>
      <c r="I109" s="61"/>
      <c r="J109" s="130">
        <v>5163.0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138">
        <v>530.0</v>
      </c>
      <c r="G110" s="61"/>
      <c r="H110" s="135">
        <v>530.0</v>
      </c>
      <c r="I110" s="61"/>
      <c r="J110" s="130">
        <v>5164.0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138">
        <v>87.0</v>
      </c>
      <c r="G111" s="54">
        <v>87.0</v>
      </c>
      <c r="H111" s="61"/>
      <c r="I111" s="61"/>
      <c r="J111" s="130">
        <v>5165.0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138">
        <v>800.0</v>
      </c>
      <c r="G112" s="61"/>
      <c r="H112" s="135">
        <v>800.0</v>
      </c>
      <c r="I112" s="61"/>
      <c r="J112" s="130">
        <v>5166.0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138">
        <v>780.0</v>
      </c>
      <c r="G113" s="54">
        <v>780.0</v>
      </c>
      <c r="H113" s="61"/>
      <c r="I113" s="61"/>
      <c r="J113" s="130">
        <v>5167.0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138">
        <v>36.0</v>
      </c>
      <c r="G114" s="61"/>
      <c r="H114" s="135">
        <v>36.0</v>
      </c>
      <c r="I114" s="61"/>
      <c r="J114" s="130">
        <v>5168.0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138">
        <v>389.0</v>
      </c>
      <c r="G115" s="54">
        <v>389.0</v>
      </c>
      <c r="H115" s="61"/>
      <c r="I115" s="61"/>
      <c r="J115" s="130">
        <v>5169.0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138">
        <v>27.0</v>
      </c>
      <c r="G116" s="54">
        <v>27.0</v>
      </c>
      <c r="H116" s="61"/>
      <c r="I116" s="61"/>
      <c r="J116" s="130">
        <v>5170.0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138">
        <v>874.0</v>
      </c>
      <c r="G117" s="54">
        <v>874.0</v>
      </c>
      <c r="H117" s="61"/>
      <c r="I117" s="61"/>
      <c r="J117" s="130">
        <v>5171.0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138">
        <v>149.0</v>
      </c>
      <c r="G118" s="54">
        <v>149.0</v>
      </c>
      <c r="H118" s="61"/>
      <c r="I118" s="61"/>
      <c r="J118" s="130">
        <v>5172.0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138">
        <v>318.0</v>
      </c>
      <c r="G119" s="54">
        <v>318.0</v>
      </c>
      <c r="H119" s="61"/>
      <c r="I119" s="61"/>
      <c r="J119" s="130">
        <v>5173.0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138">
        <v>450.0</v>
      </c>
      <c r="G120" s="61"/>
      <c r="H120" s="135">
        <v>450.0</v>
      </c>
      <c r="I120" s="61"/>
      <c r="J120" s="130">
        <v>5174.0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138">
        <v>904.0</v>
      </c>
      <c r="G121" s="54">
        <v>904.0</v>
      </c>
      <c r="H121" s="61"/>
      <c r="I121" s="61"/>
      <c r="J121" s="130">
        <v>5175.0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138">
        <v>477.0</v>
      </c>
      <c r="G122" s="61"/>
      <c r="H122" s="135">
        <v>477.0</v>
      </c>
      <c r="I122" s="61"/>
      <c r="J122" s="130">
        <v>5176.0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138">
        <v>66.0</v>
      </c>
      <c r="G123" s="54">
        <v>66.0</v>
      </c>
      <c r="H123" s="61"/>
      <c r="I123" s="61"/>
      <c r="J123" s="130">
        <v>5177.0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138">
        <v>518.0</v>
      </c>
      <c r="G124" s="54">
        <v>518.0</v>
      </c>
      <c r="H124" s="61"/>
      <c r="I124" s="61"/>
      <c r="J124" s="130">
        <v>5178.0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138">
        <v>559.0</v>
      </c>
      <c r="G125" s="61"/>
      <c r="H125" s="135">
        <v>559.0</v>
      </c>
      <c r="I125" s="61"/>
      <c r="J125" s="130">
        <v>5179.0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138">
        <v>132.0</v>
      </c>
      <c r="G126" s="54">
        <v>132.0</v>
      </c>
      <c r="H126" s="61"/>
      <c r="I126" s="61"/>
      <c r="J126" s="130">
        <v>5180.0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216">
        <v>146.0</v>
      </c>
      <c r="G127" s="136"/>
      <c r="H127" s="136">
        <v>146.0</v>
      </c>
      <c r="I127" s="173"/>
      <c r="J127" s="155" t="s">
        <v>326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216">
        <v>161.0</v>
      </c>
      <c r="G128" s="136"/>
      <c r="H128" s="136">
        <v>161.0</v>
      </c>
      <c r="I128" s="173"/>
      <c r="J128" s="155" t="s">
        <v>326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38">
        <v>100.0</v>
      </c>
      <c r="G129" s="54">
        <v>100.0</v>
      </c>
      <c r="H129" s="61"/>
      <c r="I129" s="61"/>
      <c r="J129" s="130">
        <v>5183.0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38">
        <v>36.0</v>
      </c>
      <c r="G130" s="61"/>
      <c r="H130" s="135">
        <v>36.0</v>
      </c>
      <c r="I130" s="61"/>
      <c r="J130" s="130">
        <v>5184.0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38">
        <v>410.0</v>
      </c>
      <c r="G131" s="54">
        <v>410.0</v>
      </c>
      <c r="H131" s="61"/>
      <c r="I131" s="61"/>
      <c r="J131" s="130">
        <v>5185.0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138">
        <v>324.0</v>
      </c>
      <c r="G132" s="54">
        <v>324.0</v>
      </c>
      <c r="H132" s="61"/>
      <c r="I132" s="61"/>
      <c r="J132" s="130">
        <v>5186.0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38">
        <v>187.0</v>
      </c>
      <c r="G133" s="61"/>
      <c r="H133" s="135">
        <v>187.0</v>
      </c>
      <c r="I133" s="61"/>
      <c r="J133" s="130">
        <v>5187.0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38">
        <v>226.0</v>
      </c>
      <c r="G134" s="61"/>
      <c r="H134" s="135">
        <v>226.0</v>
      </c>
      <c r="I134" s="61"/>
      <c r="J134" s="130">
        <v>5188.0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138">
        <v>450.0</v>
      </c>
      <c r="G135" s="54">
        <v>450.0</v>
      </c>
      <c r="H135" s="61"/>
      <c r="I135" s="61"/>
      <c r="J135" s="130">
        <v>5189.0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138">
        <v>109.0</v>
      </c>
      <c r="G136" s="54">
        <v>109.0</v>
      </c>
      <c r="H136" s="61"/>
      <c r="I136" s="61"/>
      <c r="J136" s="130">
        <v>5190.0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43">
        <v>128.0</v>
      </c>
      <c r="F137" s="138">
        <v>320.0</v>
      </c>
      <c r="G137" s="61"/>
      <c r="H137" s="135">
        <v>320.0</v>
      </c>
      <c r="I137" s="61"/>
      <c r="J137" s="130">
        <v>5191.0</v>
      </c>
    </row>
    <row r="138" ht="14.25" customHeight="1">
      <c r="E138" s="43">
        <v>129.0</v>
      </c>
      <c r="F138" s="138">
        <v>70.0</v>
      </c>
      <c r="G138" s="54">
        <v>70.0</v>
      </c>
      <c r="H138" s="61"/>
      <c r="I138" s="61"/>
      <c r="J138" s="130">
        <v>5192.0</v>
      </c>
    </row>
    <row r="139" ht="14.25" customHeight="1">
      <c r="E139" s="43">
        <v>130.0</v>
      </c>
      <c r="F139" s="138">
        <v>523.0</v>
      </c>
      <c r="G139" s="61"/>
      <c r="H139" s="135">
        <v>523.0</v>
      </c>
      <c r="I139" s="61"/>
      <c r="J139" s="130">
        <v>5193.0</v>
      </c>
    </row>
    <row r="140" ht="14.25" customHeight="1">
      <c r="E140" s="43">
        <v>131.0</v>
      </c>
      <c r="F140" s="138">
        <v>436.0</v>
      </c>
      <c r="G140" s="61"/>
      <c r="H140" s="135">
        <v>436.0</v>
      </c>
      <c r="I140" s="61"/>
      <c r="J140" s="130">
        <v>5194.0</v>
      </c>
    </row>
    <row r="141" ht="14.25" customHeight="1">
      <c r="E141" s="43">
        <v>132.0</v>
      </c>
      <c r="F141" s="138">
        <v>1156.0</v>
      </c>
      <c r="G141" s="54">
        <v>1156.0</v>
      </c>
      <c r="H141" s="61"/>
      <c r="I141" s="61"/>
      <c r="J141" s="130">
        <v>5195.0</v>
      </c>
    </row>
    <row r="142" ht="14.25" customHeight="1">
      <c r="E142" s="43">
        <v>133.0</v>
      </c>
      <c r="F142" s="216">
        <v>1609.0</v>
      </c>
      <c r="G142" s="173"/>
      <c r="H142" s="136">
        <v>1609.0</v>
      </c>
      <c r="I142" s="173"/>
      <c r="J142" s="155" t="s">
        <v>327</v>
      </c>
    </row>
    <row r="143" ht="14.25" customHeight="1">
      <c r="E143" s="43">
        <v>134.0</v>
      </c>
      <c r="F143" s="138">
        <v>320.0</v>
      </c>
      <c r="G143" s="61"/>
      <c r="H143" s="135">
        <v>320.0</v>
      </c>
      <c r="I143" s="61"/>
      <c r="J143" s="130">
        <v>5197.0</v>
      </c>
    </row>
    <row r="144" ht="14.25" customHeight="1">
      <c r="E144" s="43">
        <v>135.0</v>
      </c>
      <c r="F144" s="138">
        <v>653.0</v>
      </c>
      <c r="G144" s="54">
        <v>653.0</v>
      </c>
      <c r="H144" s="61"/>
      <c r="I144" s="61"/>
      <c r="J144" s="130">
        <v>5198.0</v>
      </c>
    </row>
    <row r="145" ht="14.25" customHeight="1">
      <c r="E145" s="43">
        <v>136.0</v>
      </c>
      <c r="F145" s="138">
        <v>387.0</v>
      </c>
      <c r="G145" s="61"/>
      <c r="H145" s="135">
        <v>387.0</v>
      </c>
      <c r="I145" s="61"/>
      <c r="J145" s="130">
        <v>5199.0</v>
      </c>
    </row>
    <row r="146" ht="14.25" customHeight="1">
      <c r="E146" s="43">
        <v>137.0</v>
      </c>
      <c r="F146" s="138">
        <v>360.0</v>
      </c>
      <c r="G146" s="61"/>
      <c r="H146" s="135">
        <v>360.0</v>
      </c>
      <c r="I146" s="61"/>
      <c r="J146" s="130">
        <v>5200.0</v>
      </c>
    </row>
    <row r="147" ht="14.25" customHeight="1">
      <c r="E147" s="43">
        <v>138.0</v>
      </c>
      <c r="F147" s="138">
        <v>112.0</v>
      </c>
      <c r="G147" s="54"/>
      <c r="H147" s="135">
        <v>112.0</v>
      </c>
      <c r="I147" s="61"/>
      <c r="J147" s="130">
        <v>5201.0</v>
      </c>
    </row>
    <row r="148" ht="14.25" customHeight="1">
      <c r="E148" s="43">
        <v>139.0</v>
      </c>
      <c r="F148" s="138">
        <v>10.0</v>
      </c>
      <c r="G148" s="61"/>
      <c r="H148" s="135">
        <v>10.0</v>
      </c>
      <c r="I148" s="61"/>
      <c r="J148" s="130">
        <v>5202.0</v>
      </c>
    </row>
    <row r="149" ht="14.25" customHeight="1">
      <c r="E149" s="43">
        <v>140.0</v>
      </c>
      <c r="F149" s="138">
        <v>170.0</v>
      </c>
      <c r="G149" s="54">
        <v>170.0</v>
      </c>
      <c r="H149" s="61"/>
      <c r="I149" s="61"/>
      <c r="J149" s="130">
        <v>5203.0</v>
      </c>
    </row>
    <row r="150" ht="14.25" customHeight="1">
      <c r="E150" s="43">
        <v>141.0</v>
      </c>
      <c r="F150" s="138">
        <v>2.0</v>
      </c>
      <c r="G150" s="61"/>
      <c r="H150" s="135">
        <v>2.0</v>
      </c>
      <c r="I150" s="61"/>
      <c r="J150" s="130">
        <v>5204.0</v>
      </c>
    </row>
    <row r="151" ht="14.25" customHeight="1">
      <c r="E151" s="158">
        <v>142.0</v>
      </c>
      <c r="F151" s="138">
        <v>19.0</v>
      </c>
      <c r="G151" s="54">
        <v>19.0</v>
      </c>
      <c r="H151" s="61"/>
      <c r="I151" s="61"/>
      <c r="J151" s="130">
        <v>5205.0</v>
      </c>
    </row>
    <row r="152" ht="14.25" customHeight="1">
      <c r="E152" s="158">
        <v>143.0</v>
      </c>
      <c r="F152" s="138">
        <v>66.0</v>
      </c>
      <c r="G152" s="54">
        <v>66.0</v>
      </c>
      <c r="H152" s="61"/>
      <c r="I152" s="61"/>
      <c r="J152" s="130">
        <v>5206.0</v>
      </c>
    </row>
    <row r="153" ht="14.25" customHeight="1">
      <c r="E153" s="158">
        <v>144.0</v>
      </c>
      <c r="F153" s="138">
        <v>12.0</v>
      </c>
      <c r="G153" s="61"/>
      <c r="H153" s="61"/>
      <c r="I153" s="54">
        <v>12.0</v>
      </c>
      <c r="J153" s="130" t="s">
        <v>328</v>
      </c>
    </row>
    <row r="154" ht="14.25" customHeight="1">
      <c r="E154" s="158">
        <v>145.0</v>
      </c>
      <c r="F154" s="138">
        <v>4.0</v>
      </c>
      <c r="G154" s="54">
        <v>4.0</v>
      </c>
      <c r="H154" s="61"/>
      <c r="I154" s="61"/>
      <c r="J154" s="46"/>
    </row>
    <row r="155" ht="14.25" customHeight="1">
      <c r="E155" s="43"/>
      <c r="F155" s="138"/>
      <c r="G155" s="61"/>
      <c r="H155" s="61"/>
      <c r="I155" s="61"/>
      <c r="J155" s="46"/>
    </row>
    <row r="156" ht="14.25" customHeight="1">
      <c r="E156" s="43"/>
      <c r="F156" s="121"/>
      <c r="G156" s="61"/>
      <c r="H156" s="157">
        <v>180.0</v>
      </c>
      <c r="I156" s="259"/>
      <c r="J156" s="145" t="s">
        <v>329</v>
      </c>
      <c r="K156" s="295"/>
      <c r="L156" s="295"/>
      <c r="M156" s="295"/>
    </row>
    <row r="157" ht="14.25" customHeight="1">
      <c r="E157" s="43"/>
      <c r="F157" s="121"/>
      <c r="G157" s="61"/>
      <c r="H157" s="135">
        <v>236.0</v>
      </c>
      <c r="I157" s="61"/>
      <c r="J157" s="130" t="s">
        <v>330</v>
      </c>
    </row>
    <row r="158" ht="14.25" customHeight="1">
      <c r="E158" s="43"/>
      <c r="F158" s="121"/>
      <c r="G158" s="61"/>
      <c r="H158" s="135">
        <v>341.0</v>
      </c>
      <c r="I158" s="61"/>
      <c r="J158" s="130" t="s">
        <v>331</v>
      </c>
    </row>
    <row r="159" ht="14.25" customHeight="1">
      <c r="E159" s="122"/>
      <c r="F159" s="123">
        <f t="shared" ref="F159:I159" si="4">SUM(F10:F158)</f>
        <v>75002</v>
      </c>
      <c r="G159" s="123">
        <f t="shared" si="4"/>
        <v>36307</v>
      </c>
      <c r="H159" s="123">
        <f t="shared" si="4"/>
        <v>36872</v>
      </c>
      <c r="I159" s="123">
        <f t="shared" si="4"/>
        <v>2580</v>
      </c>
      <c r="J159" s="1"/>
    </row>
    <row r="160" ht="14.25" customHeight="1">
      <c r="E160" s="124"/>
      <c r="F160" s="124"/>
      <c r="G160" s="124"/>
      <c r="H160" s="124"/>
      <c r="I160" s="125"/>
      <c r="J160" s="1"/>
    </row>
    <row r="161" ht="14.25" customHeight="1">
      <c r="E161" s="8"/>
      <c r="F161" s="8"/>
      <c r="G161" s="8"/>
      <c r="H161" s="8"/>
      <c r="I161" s="8"/>
      <c r="J161" s="1"/>
    </row>
    <row r="162" ht="14.25" customHeight="1">
      <c r="E162" s="8"/>
      <c r="F162" s="8"/>
      <c r="G162" s="8"/>
      <c r="H162" s="8"/>
      <c r="I162" s="8"/>
      <c r="J162" s="1"/>
    </row>
    <row r="163" ht="14.25" customHeight="1">
      <c r="E163" s="8"/>
      <c r="F163" s="8"/>
      <c r="G163" s="8"/>
      <c r="H163" s="8"/>
      <c r="I163" s="8"/>
      <c r="J163" s="1"/>
    </row>
    <row r="164" ht="14.25" customHeight="1">
      <c r="E164" s="8"/>
      <c r="F164" s="8"/>
      <c r="G164" s="8"/>
      <c r="H164" s="8"/>
      <c r="I164" s="8"/>
      <c r="J164" s="1"/>
    </row>
    <row r="165" ht="14.25" customHeight="1">
      <c r="E165" s="8"/>
      <c r="F165" s="8"/>
      <c r="G165" s="8"/>
      <c r="H165" s="8"/>
      <c r="I165" s="8"/>
      <c r="J165" s="1"/>
    </row>
    <row r="166" ht="14.25" customHeight="1">
      <c r="E166" s="1"/>
      <c r="F166" s="1"/>
      <c r="G166" s="1"/>
      <c r="H166" s="1"/>
      <c r="I166" s="1"/>
      <c r="J166" s="1"/>
    </row>
    <row r="167" ht="14.25" customHeight="1">
      <c r="E167" s="1"/>
      <c r="F167" s="1"/>
      <c r="G167" s="1"/>
      <c r="H167" s="1"/>
      <c r="I167" s="1"/>
      <c r="J167" s="1"/>
    </row>
    <row r="168" ht="14.25" customHeight="1">
      <c r="E168" s="1"/>
      <c r="F168" s="1"/>
      <c r="G168" s="1"/>
      <c r="H168" s="1"/>
      <c r="I168" s="1"/>
      <c r="J168" s="1"/>
    </row>
    <row r="169" ht="14.25" customHeight="1">
      <c r="E169" s="1"/>
      <c r="F169" s="1"/>
      <c r="G169" s="1"/>
      <c r="H169" s="1"/>
      <c r="I169" s="1"/>
      <c r="J169" s="1"/>
    </row>
    <row r="170" ht="14.25" customHeight="1">
      <c r="E170" s="1"/>
      <c r="F170" s="1"/>
      <c r="G170" s="1"/>
      <c r="H170" s="1"/>
      <c r="I170" s="1"/>
      <c r="J170" s="1"/>
    </row>
    <row r="171" ht="14.25" customHeight="1">
      <c r="E171" s="1"/>
      <c r="F171" s="1"/>
      <c r="G171" s="1"/>
      <c r="H171" s="1"/>
      <c r="I171" s="1"/>
      <c r="J171" s="1"/>
    </row>
    <row r="172" ht="14.25" customHeight="1">
      <c r="E172" s="1"/>
      <c r="F172" s="1"/>
      <c r="G172" s="126"/>
      <c r="H172" s="127"/>
      <c r="I172" s="1"/>
      <c r="J172" s="1"/>
    </row>
    <row r="173" ht="14.25" customHeight="1">
      <c r="E173" s="1"/>
      <c r="F173" s="1"/>
      <c r="G173" s="1"/>
      <c r="H173" s="1"/>
      <c r="I173" s="1"/>
      <c r="J173" s="1"/>
    </row>
    <row r="174" ht="14.25" customHeight="1">
      <c r="E174" s="1"/>
      <c r="F174" s="1"/>
      <c r="G174" s="1"/>
      <c r="H174" s="1"/>
      <c r="I174" s="1"/>
      <c r="J174" s="1"/>
    </row>
    <row r="175" ht="14.25" customHeight="1">
      <c r="E175" s="1"/>
      <c r="F175" s="1"/>
      <c r="G175" s="1"/>
      <c r="H175" s="1"/>
      <c r="I175" s="1"/>
      <c r="J175" s="1"/>
    </row>
    <row r="176" ht="14.25" customHeight="1">
      <c r="E176" s="1"/>
      <c r="F176" s="1"/>
      <c r="G176" s="1"/>
      <c r="H176" s="1"/>
      <c r="I176" s="1"/>
      <c r="J176" s="1"/>
    </row>
    <row r="177" ht="14.25" customHeight="1">
      <c r="E177" s="1"/>
      <c r="F177" s="1"/>
      <c r="G177" s="1"/>
      <c r="H177" s="1"/>
      <c r="I177" s="1"/>
      <c r="J177" s="1"/>
    </row>
    <row r="178" ht="14.25" customHeight="1">
      <c r="E178" s="1"/>
      <c r="F178" s="1"/>
      <c r="G178" s="1"/>
      <c r="H178" s="1"/>
      <c r="I178" s="1"/>
      <c r="J178" s="1"/>
    </row>
    <row r="179" ht="14.25" customHeight="1">
      <c r="E179" s="1"/>
      <c r="F179" s="1"/>
      <c r="G179" s="1"/>
      <c r="H179" s="1"/>
      <c r="I179" s="1"/>
      <c r="J179" s="1"/>
    </row>
    <row r="180" ht="14.25" customHeight="1">
      <c r="E180" s="1"/>
      <c r="F180" s="1"/>
      <c r="G180" s="1"/>
      <c r="H180" s="1"/>
      <c r="I180" s="1"/>
      <c r="J180" s="1"/>
    </row>
    <row r="181" ht="14.25" customHeight="1">
      <c r="E181" s="1"/>
      <c r="F181" s="1"/>
      <c r="G181" s="1"/>
      <c r="H181" s="1"/>
      <c r="I181" s="1"/>
      <c r="J181" s="1"/>
    </row>
    <row r="182" ht="14.25" customHeight="1">
      <c r="E182" s="1"/>
      <c r="F182" s="1"/>
      <c r="G182" s="1"/>
      <c r="H182" s="1"/>
      <c r="I182" s="1"/>
      <c r="J182" s="1"/>
    </row>
    <row r="183" ht="14.25" customHeight="1">
      <c r="E183" s="1"/>
      <c r="F183" s="1"/>
      <c r="G183" s="1"/>
      <c r="H183" s="1"/>
      <c r="I183" s="1"/>
      <c r="J183" s="1"/>
    </row>
    <row r="184" ht="14.25" customHeight="1">
      <c r="E184" s="1"/>
      <c r="F184" s="1"/>
      <c r="G184" s="1"/>
      <c r="H184" s="1"/>
      <c r="I184" s="1"/>
      <c r="J184" s="1"/>
    </row>
    <row r="185" ht="14.25" customHeight="1">
      <c r="E185" s="1"/>
      <c r="F185" s="1"/>
      <c r="G185" s="1"/>
      <c r="H185" s="1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E188" s="1"/>
      <c r="F188" s="1"/>
      <c r="G188" s="1"/>
      <c r="H188" s="1"/>
      <c r="I188" s="1"/>
      <c r="J188" s="1"/>
    </row>
    <row r="189" ht="14.25" customHeight="1">
      <c r="E189" s="1"/>
      <c r="F189" s="1"/>
      <c r="G189" s="1"/>
      <c r="H189" s="1"/>
      <c r="I189" s="1"/>
      <c r="J189" s="1"/>
    </row>
    <row r="190" ht="14.25" customHeight="1">
      <c r="E190" s="1"/>
      <c r="F190" s="1"/>
      <c r="G190" s="1"/>
      <c r="H190" s="1"/>
      <c r="I190" s="1"/>
      <c r="J190" s="1"/>
    </row>
    <row r="191" ht="14.25" customHeight="1">
      <c r="E191" s="1"/>
      <c r="F191" s="1"/>
      <c r="G191" s="1"/>
      <c r="H191" s="1"/>
      <c r="I191" s="1"/>
      <c r="J191" s="1"/>
    </row>
    <row r="192" ht="14.25" customHeight="1">
      <c r="E192" s="1"/>
      <c r="F192" s="1"/>
      <c r="G192" s="1"/>
      <c r="H192" s="1"/>
      <c r="I192" s="1"/>
      <c r="J192" s="1"/>
    </row>
    <row r="193" ht="14.25" customHeight="1">
      <c r="E193" s="1"/>
      <c r="F193" s="1"/>
      <c r="G193" s="1"/>
      <c r="H193" s="1"/>
      <c r="I193" s="1"/>
      <c r="J193" s="1"/>
    </row>
    <row r="194" ht="14.25" customHeight="1">
      <c r="E194" s="1"/>
      <c r="F194" s="1"/>
      <c r="G194" s="1"/>
      <c r="H194" s="1"/>
      <c r="I194" s="1"/>
      <c r="J194" s="1"/>
    </row>
    <row r="195" ht="14.25" customHeight="1">
      <c r="E195" s="1"/>
      <c r="F195" s="1"/>
      <c r="G195" s="1"/>
      <c r="H195" s="1"/>
      <c r="I195" s="1"/>
      <c r="J195" s="1"/>
    </row>
    <row r="196" ht="14.25" customHeight="1">
      <c r="E196" s="1"/>
      <c r="F196" s="1"/>
      <c r="G196" s="1"/>
      <c r="H196" s="1"/>
      <c r="I196" s="1"/>
      <c r="J196" s="1"/>
    </row>
    <row r="197" ht="14.25" customHeight="1">
      <c r="E197" s="1"/>
      <c r="F197" s="1"/>
      <c r="G197" s="1"/>
      <c r="H197" s="1"/>
      <c r="I197" s="1"/>
      <c r="J197" s="1"/>
    </row>
    <row r="198" ht="14.25" customHeight="1">
      <c r="E198" s="1"/>
      <c r="F198" s="1"/>
      <c r="G198" s="1"/>
      <c r="H198" s="1"/>
      <c r="I198" s="1"/>
      <c r="J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140374.0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40007.0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66750.0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F159-C15</f>
        <v>57087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G159-W33</f>
        <v>25182</v>
      </c>
      <c r="D10" s="24"/>
      <c r="E10" s="43">
        <v>1.0</v>
      </c>
      <c r="F10" s="44">
        <v>4.0</v>
      </c>
      <c r="G10" s="45"/>
      <c r="H10" s="129">
        <v>4.0</v>
      </c>
      <c r="I10" s="45"/>
      <c r="J10" s="130">
        <v>5209.0</v>
      </c>
      <c r="K10" s="24"/>
      <c r="L10" s="47"/>
      <c r="M10" s="47">
        <v>12.0</v>
      </c>
      <c r="N10" s="47">
        <v>5207.0</v>
      </c>
      <c r="O10" s="49"/>
      <c r="P10" s="85"/>
      <c r="Q10" s="51"/>
      <c r="R10" s="163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H159-X33</f>
        <v>31374</v>
      </c>
      <c r="D11" s="24"/>
      <c r="E11" s="43">
        <v>2.0</v>
      </c>
      <c r="F11" s="56">
        <v>51.0</v>
      </c>
      <c r="G11" s="57"/>
      <c r="H11" s="148">
        <v>51.0</v>
      </c>
      <c r="I11" s="59"/>
      <c r="J11" s="130">
        <v>5210.0</v>
      </c>
      <c r="K11" s="24"/>
      <c r="L11" s="47">
        <v>3748.0</v>
      </c>
      <c r="M11" s="47"/>
      <c r="N11" s="47">
        <v>4711.0</v>
      </c>
      <c r="O11" s="49"/>
      <c r="P11" s="72"/>
      <c r="Q11" s="51"/>
      <c r="R11" s="296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I159</f>
        <v>976</v>
      </c>
      <c r="D12" s="24"/>
      <c r="E12" s="43">
        <v>3.0</v>
      </c>
      <c r="F12" s="63">
        <v>119.0</v>
      </c>
      <c r="G12" s="64"/>
      <c r="H12" s="132">
        <v>119.0</v>
      </c>
      <c r="I12" s="65"/>
      <c r="J12" s="130">
        <v>5211.0</v>
      </c>
      <c r="K12" s="24"/>
      <c r="L12" s="48"/>
      <c r="M12" s="48"/>
      <c r="N12" s="48"/>
      <c r="O12" s="49"/>
      <c r="P12" s="72" t="s">
        <v>332</v>
      </c>
      <c r="Q12" s="51"/>
      <c r="R12" s="52">
        <v>250.0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3748</v>
      </c>
      <c r="D13" s="24"/>
      <c r="E13" s="43">
        <v>4.0</v>
      </c>
      <c r="F13" s="56">
        <v>99.0</v>
      </c>
      <c r="G13" s="64">
        <v>99.0</v>
      </c>
      <c r="H13" s="65"/>
      <c r="I13" s="65"/>
      <c r="J13" s="130">
        <v>5212.0</v>
      </c>
      <c r="K13" s="24"/>
      <c r="L13" s="48"/>
      <c r="M13" s="48"/>
      <c r="N13" s="48"/>
      <c r="O13" s="49"/>
      <c r="P13" s="72" t="s">
        <v>83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12</v>
      </c>
      <c r="D14" s="24"/>
      <c r="E14" s="43">
        <v>5.0</v>
      </c>
      <c r="F14" s="56">
        <v>150.0</v>
      </c>
      <c r="G14" s="64">
        <v>150.0</v>
      </c>
      <c r="H14" s="65"/>
      <c r="I14" s="65"/>
      <c r="J14" s="130">
        <v>5213.0</v>
      </c>
      <c r="K14" s="24"/>
      <c r="L14" s="48"/>
      <c r="M14" s="48"/>
      <c r="N14" s="48"/>
      <c r="O14" s="49"/>
      <c r="P14" s="72" t="s">
        <v>333</v>
      </c>
      <c r="Q14" s="51"/>
      <c r="R14" s="52">
        <v>745.0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41.0</v>
      </c>
      <c r="G15" s="64">
        <v>41.0</v>
      </c>
      <c r="H15" s="64"/>
      <c r="I15" s="65"/>
      <c r="J15" s="130">
        <v>5214.0</v>
      </c>
      <c r="K15" s="24"/>
      <c r="L15" s="48"/>
      <c r="M15" s="48"/>
      <c r="N15" s="48"/>
      <c r="O15" s="49"/>
      <c r="P15" s="60"/>
      <c r="Q15" s="51"/>
      <c r="R15" s="52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1095</v>
      </c>
      <c r="D16" s="24"/>
      <c r="E16" s="43">
        <v>7.0</v>
      </c>
      <c r="F16" s="216">
        <v>450.0</v>
      </c>
      <c r="G16" s="182"/>
      <c r="H16" s="182">
        <v>450.0</v>
      </c>
      <c r="I16" s="169"/>
      <c r="J16" s="155" t="s">
        <v>334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1095</v>
      </c>
      <c r="D17" s="24"/>
      <c r="E17" s="43">
        <v>8.0</v>
      </c>
      <c r="F17" s="56">
        <v>221.0</v>
      </c>
      <c r="G17" s="64">
        <v>221.0</v>
      </c>
      <c r="H17" s="64"/>
      <c r="I17" s="65"/>
      <c r="J17" s="130">
        <v>5216.0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70.0</v>
      </c>
      <c r="G18" s="64">
        <v>70.0</v>
      </c>
      <c r="H18" s="64"/>
      <c r="I18" s="65"/>
      <c r="J18" s="130">
        <v>5217.0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8.0</v>
      </c>
      <c r="G19" s="64">
        <v>8.0</v>
      </c>
      <c r="H19" s="65"/>
      <c r="I19" s="65"/>
      <c r="J19" s="130">
        <v>5218.0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63966</v>
      </c>
      <c r="D20" s="24"/>
      <c r="E20" s="43">
        <v>11.0</v>
      </c>
      <c r="F20" s="56">
        <v>52.0</v>
      </c>
      <c r="G20" s="64">
        <v>52.0</v>
      </c>
      <c r="H20" s="64"/>
      <c r="I20" s="65"/>
      <c r="J20" s="130">
        <v>5219.0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31386</v>
      </c>
      <c r="D21" s="24"/>
      <c r="E21" s="43">
        <v>12.0</v>
      </c>
      <c r="F21" s="56">
        <v>121.0</v>
      </c>
      <c r="G21" s="64">
        <v>121.0</v>
      </c>
      <c r="H21" s="64"/>
      <c r="I21" s="65"/>
      <c r="J21" s="130">
        <v>5220.0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18209</v>
      </c>
      <c r="D22" s="24"/>
      <c r="E22" s="43">
        <v>13.0</v>
      </c>
      <c r="F22" s="56">
        <v>349.0</v>
      </c>
      <c r="G22" s="64"/>
      <c r="H22" s="132">
        <v>349.0</v>
      </c>
      <c r="I22" s="65"/>
      <c r="J22" s="130">
        <v>5221.0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25270.0</v>
      </c>
      <c r="D23" s="24"/>
      <c r="E23" s="43">
        <v>14.0</v>
      </c>
      <c r="F23" s="56">
        <v>25.0</v>
      </c>
      <c r="G23" s="64">
        <v>25.0</v>
      </c>
      <c r="H23" s="65"/>
      <c r="I23" s="65"/>
      <c r="J23" s="130">
        <v>5222.0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-7061</v>
      </c>
      <c r="D24" s="24"/>
      <c r="E24" s="43">
        <v>15.0</v>
      </c>
      <c r="F24" s="56">
        <v>64.0</v>
      </c>
      <c r="G24" s="64">
        <v>64.0</v>
      </c>
      <c r="H24" s="65"/>
      <c r="I24" s="65"/>
      <c r="J24" s="130">
        <v>5223.0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40.0</v>
      </c>
      <c r="G25" s="64">
        <v>40.0</v>
      </c>
      <c r="H25" s="65"/>
      <c r="I25" s="65"/>
      <c r="J25" s="130">
        <v>5224.0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F159</f>
        <v>57087</v>
      </c>
      <c r="D26" s="24"/>
      <c r="E26" s="43">
        <v>17.0</v>
      </c>
      <c r="F26" s="241">
        <v>1166.0</v>
      </c>
      <c r="G26" s="64">
        <v>50.0</v>
      </c>
      <c r="H26" s="189">
        <v>1116.0</v>
      </c>
      <c r="I26" s="65"/>
      <c r="J26" s="243">
        <v>5225.0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140.0</v>
      </c>
      <c r="D27" s="24"/>
      <c r="E27" s="43">
        <v>18.0</v>
      </c>
      <c r="F27" s="56">
        <v>1360.0</v>
      </c>
      <c r="G27" s="64"/>
      <c r="H27" s="132">
        <v>1360.0</v>
      </c>
      <c r="I27" s="65"/>
      <c r="J27" s="130">
        <v>5226.0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407.7642857</v>
      </c>
      <c r="D28" s="24"/>
      <c r="E28" s="43">
        <v>19.0</v>
      </c>
      <c r="F28" s="56">
        <v>399.0</v>
      </c>
      <c r="G28" s="64"/>
      <c r="H28" s="132">
        <v>399.0</v>
      </c>
      <c r="I28" s="65"/>
      <c r="J28" s="130">
        <v>5227.0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241">
        <v>166.0</v>
      </c>
      <c r="G29" s="64"/>
      <c r="H29" s="189">
        <v>166.0</v>
      </c>
      <c r="I29" s="65"/>
      <c r="J29" s="243">
        <v>5228.0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150000</v>
      </c>
      <c r="D30" s="24"/>
      <c r="E30" s="43">
        <v>21.0</v>
      </c>
      <c r="F30" s="216">
        <v>1293.0</v>
      </c>
      <c r="G30" s="173"/>
      <c r="H30" s="136">
        <v>1293.0</v>
      </c>
      <c r="I30" s="136"/>
      <c r="J30" s="155" t="s">
        <v>335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40007</v>
      </c>
      <c r="D31" s="24"/>
      <c r="E31" s="43">
        <v>22.0</v>
      </c>
      <c r="F31" s="56">
        <v>58.0</v>
      </c>
      <c r="G31" s="93">
        <v>58.0</v>
      </c>
      <c r="H31" s="92"/>
      <c r="I31" s="92"/>
      <c r="J31" s="130">
        <v>5230.0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1095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15.0</v>
      </c>
      <c r="G32" s="93">
        <v>15.0</v>
      </c>
      <c r="H32" s="92"/>
      <c r="I32" s="92"/>
      <c r="J32" s="130">
        <v>5231.0</v>
      </c>
      <c r="K32" s="24"/>
      <c r="L32" s="48"/>
      <c r="M32" s="48"/>
      <c r="N32" s="48"/>
      <c r="O32" s="98"/>
      <c r="P32" s="90" t="s">
        <v>37</v>
      </c>
      <c r="Q32" s="51"/>
      <c r="R32" s="99">
        <v>150000.0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122.0</v>
      </c>
      <c r="G33" s="93">
        <v>122.0</v>
      </c>
      <c r="H33" s="92"/>
      <c r="I33" s="92"/>
      <c r="J33" s="130">
        <v>5232.0</v>
      </c>
      <c r="K33" s="24"/>
      <c r="L33" s="104">
        <f t="shared" ref="L33:M33" si="2">sum(L10:L32)</f>
        <v>3748</v>
      </c>
      <c r="M33" s="104">
        <f t="shared" si="2"/>
        <v>12</v>
      </c>
      <c r="N33" s="104"/>
      <c r="O33" s="105"/>
      <c r="P33" s="85" t="s">
        <v>38</v>
      </c>
      <c r="Q33" s="51"/>
      <c r="R33" s="100"/>
      <c r="S33" s="52">
        <v>40007.0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445.0</v>
      </c>
      <c r="G34" s="93">
        <v>445.0</v>
      </c>
      <c r="H34" s="93"/>
      <c r="I34" s="93"/>
      <c r="J34" s="130">
        <v>5233.0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436.0</v>
      </c>
      <c r="G35" s="92"/>
      <c r="H35" s="135">
        <v>436.0</v>
      </c>
      <c r="I35" s="92"/>
      <c r="J35" s="130">
        <v>5234.0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1337.0</v>
      </c>
      <c r="G36" s="93">
        <v>1337.0</v>
      </c>
      <c r="H36" s="93"/>
      <c r="I36" s="92"/>
      <c r="J36" s="130">
        <v>5235.0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570.0</v>
      </c>
      <c r="G37" s="93">
        <v>570.0</v>
      </c>
      <c r="H37" s="92"/>
      <c r="I37" s="92"/>
      <c r="J37" s="130">
        <v>5236.0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399.0</v>
      </c>
      <c r="G38" s="93">
        <v>399.0</v>
      </c>
      <c r="H38" s="93"/>
      <c r="I38" s="92"/>
      <c r="J38" s="130">
        <v>5237.0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854.0</v>
      </c>
      <c r="G39" s="93">
        <v>854.0</v>
      </c>
      <c r="H39" s="93"/>
      <c r="I39" s="93"/>
      <c r="J39" s="130">
        <v>5238.0</v>
      </c>
      <c r="K39" s="24"/>
      <c r="L39" s="285" t="s">
        <v>336</v>
      </c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1598.0</v>
      </c>
      <c r="G40" s="93">
        <v>1598.0</v>
      </c>
      <c r="H40" s="93"/>
      <c r="I40" s="92"/>
      <c r="J40" s="130">
        <v>5239.0</v>
      </c>
      <c r="K40" s="24"/>
      <c r="L40" s="137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20.0</v>
      </c>
      <c r="G41" s="93">
        <v>20.0</v>
      </c>
      <c r="H41" s="93"/>
      <c r="I41" s="92"/>
      <c r="J41" s="130">
        <v>5240.0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1278.0</v>
      </c>
      <c r="G42" s="93">
        <v>1278.0</v>
      </c>
      <c r="H42" s="93"/>
      <c r="I42" s="92"/>
      <c r="J42" s="130">
        <v>5241.0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44.0</v>
      </c>
      <c r="G43" s="93">
        <v>44.0</v>
      </c>
      <c r="H43" s="92"/>
      <c r="I43" s="92"/>
      <c r="J43" s="130">
        <v>5242.0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273.0</v>
      </c>
      <c r="G44" s="92"/>
      <c r="H44" s="135">
        <v>273.0</v>
      </c>
      <c r="I44" s="92"/>
      <c r="J44" s="130">
        <v>5243.0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399.0</v>
      </c>
      <c r="G45" s="93">
        <v>399.0</v>
      </c>
      <c r="H45" s="92"/>
      <c r="I45" s="92"/>
      <c r="J45" s="130">
        <v>5244.0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55.0</v>
      </c>
      <c r="G46" s="93"/>
      <c r="H46" s="135">
        <v>55.0</v>
      </c>
      <c r="I46" s="92"/>
      <c r="J46" s="130">
        <v>5245.0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1702.0</v>
      </c>
      <c r="G47" s="92"/>
      <c r="H47" s="135">
        <v>1702.0</v>
      </c>
      <c r="I47" s="92"/>
      <c r="J47" s="130">
        <v>5246.0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87.0</v>
      </c>
      <c r="G48" s="93">
        <v>87.0</v>
      </c>
      <c r="H48" s="92"/>
      <c r="I48" s="92"/>
      <c r="J48" s="130">
        <v>5247.0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131.0</v>
      </c>
      <c r="G49" s="93">
        <v>131.0</v>
      </c>
      <c r="H49" s="92"/>
      <c r="I49" s="92"/>
      <c r="J49" s="130">
        <v>5248.0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380.0</v>
      </c>
      <c r="G50" s="93"/>
      <c r="H50" s="135">
        <v>380.0</v>
      </c>
      <c r="I50" s="92"/>
      <c r="J50" s="130">
        <v>5249.0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535.0</v>
      </c>
      <c r="G51" s="93">
        <v>535.0</v>
      </c>
      <c r="H51" s="93"/>
      <c r="I51" s="92"/>
      <c r="J51" s="130">
        <v>5250.0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100.0</v>
      </c>
      <c r="G52" s="93">
        <v>100.0</v>
      </c>
      <c r="H52" s="92"/>
      <c r="I52" s="92"/>
      <c r="J52" s="130">
        <v>5251.0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55.0</v>
      </c>
      <c r="G53" s="92"/>
      <c r="H53" s="135">
        <v>55.0</v>
      </c>
      <c r="I53" s="92"/>
      <c r="J53" s="130">
        <v>5252.0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200.0</v>
      </c>
      <c r="G54" s="92"/>
      <c r="H54" s="135">
        <v>200.0</v>
      </c>
      <c r="I54" s="92"/>
      <c r="J54" s="130">
        <v>5253.0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493.0</v>
      </c>
      <c r="G55" s="93">
        <v>450.0</v>
      </c>
      <c r="H55" s="177">
        <v>43.0</v>
      </c>
      <c r="I55" s="92"/>
      <c r="J55" s="130">
        <v>5254.0</v>
      </c>
      <c r="K55" s="24"/>
      <c r="L55" s="112"/>
      <c r="M55" s="297">
        <v>543.0</v>
      </c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517.0</v>
      </c>
      <c r="G56" s="93">
        <v>17.0</v>
      </c>
      <c r="H56" s="177">
        <v>500.0</v>
      </c>
      <c r="I56" s="92"/>
      <c r="J56" s="130">
        <v>5255.0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430.0</v>
      </c>
      <c r="G57" s="93">
        <v>430.0</v>
      </c>
      <c r="H57" s="93"/>
      <c r="I57" s="92"/>
      <c r="J57" s="130">
        <v>5256.0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418.0</v>
      </c>
      <c r="G58" s="92"/>
      <c r="H58" s="135">
        <v>418.0</v>
      </c>
      <c r="I58" s="92"/>
      <c r="J58" s="130">
        <v>5257.0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480.0</v>
      </c>
      <c r="G59" s="93">
        <v>480.0</v>
      </c>
      <c r="H59" s="92"/>
      <c r="I59" s="92"/>
      <c r="J59" s="130">
        <v>5258.0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2308.0</v>
      </c>
      <c r="G60" s="92"/>
      <c r="H60" s="135">
        <v>2308.0</v>
      </c>
      <c r="I60" s="92"/>
      <c r="J60" s="130">
        <v>5259.0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290.0</v>
      </c>
      <c r="G61" s="93">
        <v>290.0</v>
      </c>
      <c r="H61" s="92"/>
      <c r="I61" s="92"/>
      <c r="J61" s="130">
        <v>5260.0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102.0</v>
      </c>
      <c r="G62" s="92"/>
      <c r="H62" s="135">
        <v>102.0</v>
      </c>
      <c r="I62" s="92"/>
      <c r="J62" s="130">
        <v>5261.0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407.0</v>
      </c>
      <c r="G63" s="93"/>
      <c r="H63" s="135">
        <v>407.0</v>
      </c>
      <c r="I63" s="92"/>
      <c r="J63" s="130">
        <v>5262.0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1682.0</v>
      </c>
      <c r="G64" s="92"/>
      <c r="H64" s="135">
        <v>1682.0</v>
      </c>
      <c r="I64" s="92"/>
      <c r="J64" s="130">
        <v>5263.0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216">
        <v>408.0</v>
      </c>
      <c r="G65" s="173"/>
      <c r="H65" s="136">
        <v>408.0</v>
      </c>
      <c r="I65" s="173"/>
      <c r="J65" s="155" t="s">
        <v>337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300.0</v>
      </c>
      <c r="G66" s="92"/>
      <c r="H66" s="135">
        <v>300.0</v>
      </c>
      <c r="I66" s="92"/>
      <c r="J66" s="130">
        <v>5265.0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216">
        <v>2576.0</v>
      </c>
      <c r="G67" s="173"/>
      <c r="H67" s="136">
        <v>2576.0</v>
      </c>
      <c r="I67" s="173"/>
      <c r="J67" s="155" t="s">
        <v>338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392.0</v>
      </c>
      <c r="G68" s="93"/>
      <c r="H68" s="135">
        <v>392.0</v>
      </c>
      <c r="I68" s="92"/>
      <c r="J68" s="130">
        <v>5267.0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565.0</v>
      </c>
      <c r="G69" s="92"/>
      <c r="H69" s="135">
        <v>565.0</v>
      </c>
      <c r="I69" s="92"/>
      <c r="J69" s="130">
        <v>5268.0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182.0</v>
      </c>
      <c r="G70" s="93">
        <v>182.0</v>
      </c>
      <c r="H70" s="92"/>
      <c r="I70" s="92"/>
      <c r="J70" s="130">
        <v>5269.0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37.0</v>
      </c>
      <c r="G71" s="93">
        <v>37.0</v>
      </c>
      <c r="H71" s="92"/>
      <c r="I71" s="92"/>
      <c r="J71" s="130">
        <v>5270.0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669.0</v>
      </c>
      <c r="G72" s="92"/>
      <c r="H72" s="135">
        <v>669.0</v>
      </c>
      <c r="I72" s="92"/>
      <c r="J72" s="130">
        <v>5271.0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260.0</v>
      </c>
      <c r="G73" s="93">
        <v>260.0</v>
      </c>
      <c r="H73" s="92"/>
      <c r="I73" s="92"/>
      <c r="J73" s="130">
        <v>5272.0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18.0</v>
      </c>
      <c r="G74" s="92"/>
      <c r="H74" s="135">
        <v>18.0</v>
      </c>
      <c r="I74" s="92"/>
      <c r="J74" s="130">
        <v>5273.0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304.0</v>
      </c>
      <c r="G75" s="93"/>
      <c r="H75" s="135">
        <v>304.0</v>
      </c>
      <c r="I75" s="92"/>
      <c r="J75" s="130">
        <v>5274.0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562.0</v>
      </c>
      <c r="G76" s="93">
        <v>562.0</v>
      </c>
      <c r="H76" s="92"/>
      <c r="I76" s="92"/>
      <c r="J76" s="130">
        <v>5275.0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260.0</v>
      </c>
      <c r="G77" s="92"/>
      <c r="H77" s="135">
        <v>349.0</v>
      </c>
      <c r="I77" s="92"/>
      <c r="J77" s="130" t="s">
        <v>339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108.0</v>
      </c>
      <c r="G78" s="93">
        <v>108.0</v>
      </c>
      <c r="H78" s="92"/>
      <c r="I78" s="92"/>
      <c r="J78" s="130">
        <v>5277.0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569.0</v>
      </c>
      <c r="G79" s="93">
        <v>569.0</v>
      </c>
      <c r="H79" s="92"/>
      <c r="I79" s="92"/>
      <c r="J79" s="130">
        <v>5278.0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167.0</v>
      </c>
      <c r="G80" s="93">
        <v>167.0</v>
      </c>
      <c r="H80" s="92"/>
      <c r="I80" s="92"/>
      <c r="J80" s="130">
        <v>5279.0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1634.0</v>
      </c>
      <c r="G81" s="92"/>
      <c r="H81" s="135">
        <v>1634.0</v>
      </c>
      <c r="I81" s="92"/>
      <c r="J81" s="130">
        <v>5280.0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7.0</v>
      </c>
      <c r="G82" s="54"/>
      <c r="H82" s="54">
        <v>7.0</v>
      </c>
      <c r="I82" s="61"/>
      <c r="J82" s="130">
        <v>5281.0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353.0</v>
      </c>
      <c r="G83" s="54">
        <v>353.0</v>
      </c>
      <c r="H83" s="61"/>
      <c r="I83" s="61"/>
      <c r="J83" s="130">
        <v>5282.0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50.0</v>
      </c>
      <c r="G84" s="54">
        <v>50.0</v>
      </c>
      <c r="H84" s="61"/>
      <c r="I84" s="61"/>
      <c r="J84" s="130">
        <v>5283.0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292.0</v>
      </c>
      <c r="G85" s="54">
        <v>292.0</v>
      </c>
      <c r="H85" s="61"/>
      <c r="I85" s="61"/>
      <c r="J85" s="130">
        <v>5284.0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1072.0</v>
      </c>
      <c r="G86" s="54">
        <v>1072.0</v>
      </c>
      <c r="H86" s="61"/>
      <c r="I86" s="61"/>
      <c r="J86" s="130">
        <v>5285.0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807.0</v>
      </c>
      <c r="G87" s="54">
        <v>807.0</v>
      </c>
      <c r="H87" s="61"/>
      <c r="I87" s="61"/>
      <c r="J87" s="130">
        <v>5286.0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107.0</v>
      </c>
      <c r="G88" s="54">
        <v>107.0</v>
      </c>
      <c r="H88" s="61"/>
      <c r="I88" s="61"/>
      <c r="J88" s="130">
        <v>5287.0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29.0</v>
      </c>
      <c r="G89" s="54">
        <v>29.0</v>
      </c>
      <c r="H89" s="61"/>
      <c r="I89" s="61"/>
      <c r="J89" s="130">
        <v>5288.0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80.0</v>
      </c>
      <c r="G90" s="54">
        <v>80.0</v>
      </c>
      <c r="H90" s="61"/>
      <c r="I90" s="61"/>
      <c r="J90" s="130">
        <v>5289.0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165.0</v>
      </c>
      <c r="G91" s="61"/>
      <c r="H91" s="135">
        <v>165.0</v>
      </c>
      <c r="I91" s="61"/>
      <c r="J91" s="130">
        <v>5290.0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610.0</v>
      </c>
      <c r="G92" s="54">
        <v>610.0</v>
      </c>
      <c r="H92" s="61"/>
      <c r="I92" s="61"/>
      <c r="J92" s="130">
        <v>5291.0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495.0</v>
      </c>
      <c r="G93" s="54">
        <v>495.0</v>
      </c>
      <c r="H93" s="61"/>
      <c r="I93" s="61"/>
      <c r="J93" s="130">
        <v>5292.0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64.0</v>
      </c>
      <c r="G94" s="54">
        <v>64.0</v>
      </c>
      <c r="H94" s="61"/>
      <c r="I94" s="61"/>
      <c r="J94" s="130">
        <v>5293.0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544.0</v>
      </c>
      <c r="G95" s="61"/>
      <c r="H95" s="135">
        <v>544.0</v>
      </c>
      <c r="I95" s="61"/>
      <c r="J95" s="130">
        <v>5294.0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225.0</v>
      </c>
      <c r="G96" s="54">
        <v>225.0</v>
      </c>
      <c r="H96" s="61"/>
      <c r="I96" s="61"/>
      <c r="J96" s="130">
        <v>5295.0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136.0</v>
      </c>
      <c r="G97" s="61"/>
      <c r="H97" s="135">
        <v>136.0</v>
      </c>
      <c r="I97" s="61"/>
      <c r="J97" s="130">
        <v>5296.0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200.0</v>
      </c>
      <c r="G98" s="54">
        <v>200.0</v>
      </c>
      <c r="H98" s="61"/>
      <c r="I98" s="61"/>
      <c r="J98" s="130">
        <v>5297.0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46.0</v>
      </c>
      <c r="G99" s="54">
        <v>46.0</v>
      </c>
      <c r="H99" s="61"/>
      <c r="I99" s="61"/>
      <c r="J99" s="130">
        <v>5298.0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829.0</v>
      </c>
      <c r="G100" s="54">
        <v>829.0</v>
      </c>
      <c r="H100" s="61"/>
      <c r="I100" s="61"/>
      <c r="J100" s="130">
        <v>5299.0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858.0</v>
      </c>
      <c r="G101" s="61"/>
      <c r="H101" s="135">
        <v>858.0</v>
      </c>
      <c r="I101" s="61"/>
      <c r="J101" s="130">
        <v>5300.0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2260.0</v>
      </c>
      <c r="G102" s="61"/>
      <c r="H102" s="135">
        <v>2260.0</v>
      </c>
      <c r="I102" s="61"/>
      <c r="J102" s="130">
        <v>5301.0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74.0</v>
      </c>
      <c r="G103" s="61"/>
      <c r="H103" s="135">
        <v>74.0</v>
      </c>
      <c r="I103" s="61"/>
      <c r="J103" s="130">
        <v>5302.0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130.0</v>
      </c>
      <c r="G104" s="61"/>
      <c r="H104" s="135">
        <v>130.0</v>
      </c>
      <c r="I104" s="61"/>
      <c r="J104" s="130">
        <v>5303.0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98.0</v>
      </c>
      <c r="G105" s="61"/>
      <c r="H105" s="135">
        <v>98.0</v>
      </c>
      <c r="I105" s="61"/>
      <c r="J105" s="130">
        <v>5304.0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4.0</v>
      </c>
      <c r="G106" s="61"/>
      <c r="H106" s="135">
        <v>4.0</v>
      </c>
      <c r="I106" s="61"/>
      <c r="J106" s="130">
        <v>5305.0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300.0</v>
      </c>
      <c r="G107" s="54">
        <v>300.0</v>
      </c>
      <c r="H107" s="61"/>
      <c r="I107" s="61"/>
      <c r="J107" s="130">
        <v>5306.0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122.0</v>
      </c>
      <c r="G108" s="54">
        <v>122.0</v>
      </c>
      <c r="H108" s="61"/>
      <c r="I108" s="61"/>
      <c r="J108" s="130">
        <v>5307.0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171.0</v>
      </c>
      <c r="G109" s="61"/>
      <c r="H109" s="135">
        <v>171.0</v>
      </c>
      <c r="I109" s="61"/>
      <c r="J109" s="130">
        <v>5308.0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191.0</v>
      </c>
      <c r="G110" s="61"/>
      <c r="H110" s="135">
        <v>191.0</v>
      </c>
      <c r="I110" s="61"/>
      <c r="J110" s="130">
        <v>5309.0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307.0</v>
      </c>
      <c r="G111" s="54">
        <v>307.0</v>
      </c>
      <c r="H111" s="135"/>
      <c r="I111" s="61"/>
      <c r="J111" s="130">
        <v>5310.0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272.0</v>
      </c>
      <c r="G112" s="61"/>
      <c r="H112" s="135">
        <v>272.0</v>
      </c>
      <c r="I112" s="61"/>
      <c r="J112" s="130">
        <v>5311.0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145.0</v>
      </c>
      <c r="G113" s="61"/>
      <c r="H113" s="135">
        <v>145.0</v>
      </c>
      <c r="I113" s="61"/>
      <c r="J113" s="130">
        <v>5312.0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77.0</v>
      </c>
      <c r="G114" s="61"/>
      <c r="H114" s="135">
        <v>77.0</v>
      </c>
      <c r="I114" s="61"/>
      <c r="J114" s="130">
        <v>5313.0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274.0</v>
      </c>
      <c r="G115" s="61"/>
      <c r="H115" s="135">
        <v>274.0</v>
      </c>
      <c r="I115" s="61"/>
      <c r="J115" s="130">
        <v>5314.0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55.0</v>
      </c>
      <c r="G116" s="61"/>
      <c r="H116" s="135">
        <v>55.0</v>
      </c>
      <c r="I116" s="61"/>
      <c r="J116" s="130">
        <v>5315.0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1033.0</v>
      </c>
      <c r="G117" s="54">
        <v>1033.0</v>
      </c>
      <c r="H117" s="61"/>
      <c r="I117" s="61"/>
      <c r="J117" s="130">
        <v>5316.0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601.0</v>
      </c>
      <c r="G118" s="54">
        <v>601.0</v>
      </c>
      <c r="H118" s="61"/>
      <c r="I118" s="61"/>
      <c r="J118" s="130">
        <v>5317.0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77.0</v>
      </c>
      <c r="G119" s="61"/>
      <c r="H119" s="135">
        <v>77.0</v>
      </c>
      <c r="I119" s="61"/>
      <c r="J119" s="130">
        <v>5318.0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334.0</v>
      </c>
      <c r="G120" s="54">
        <v>334.0</v>
      </c>
      <c r="H120" s="61"/>
      <c r="I120" s="61"/>
      <c r="J120" s="130">
        <v>5319.0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42.0</v>
      </c>
      <c r="G121" s="54">
        <v>42.0</v>
      </c>
      <c r="H121" s="61"/>
      <c r="I121" s="61"/>
      <c r="J121" s="130">
        <v>5320.0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399.0</v>
      </c>
      <c r="G122" s="61"/>
      <c r="H122" s="135">
        <v>414.0</v>
      </c>
      <c r="I122" s="61"/>
      <c r="J122" s="130" t="s">
        <v>340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5.0</v>
      </c>
      <c r="G123" s="61"/>
      <c r="H123" s="135">
        <v>5.0</v>
      </c>
      <c r="I123" s="61"/>
      <c r="J123" s="130">
        <v>5322.0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45.0</v>
      </c>
      <c r="G124" s="54">
        <v>45.0</v>
      </c>
      <c r="H124" s="61"/>
      <c r="I124" s="61"/>
      <c r="J124" s="130">
        <v>5323.0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79.0</v>
      </c>
      <c r="G125" s="54">
        <v>79.0</v>
      </c>
      <c r="H125" s="61"/>
      <c r="I125" s="61"/>
      <c r="J125" s="130">
        <v>5324.0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130.0</v>
      </c>
      <c r="G126" s="61"/>
      <c r="H126" s="135">
        <v>130.0</v>
      </c>
      <c r="I126" s="61"/>
      <c r="J126" s="130">
        <v>5325.0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415.0</v>
      </c>
      <c r="G127" s="54">
        <v>415.0</v>
      </c>
      <c r="H127" s="54"/>
      <c r="I127" s="61"/>
      <c r="J127" s="130">
        <v>5326.0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90.0</v>
      </c>
      <c r="G128" s="54">
        <v>90.0</v>
      </c>
      <c r="H128" s="61"/>
      <c r="I128" s="61"/>
      <c r="J128" s="130">
        <v>5327.0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20.0</v>
      </c>
      <c r="G129" s="54">
        <v>20.0</v>
      </c>
      <c r="H129" s="61"/>
      <c r="I129" s="61"/>
      <c r="J129" s="130">
        <v>5328.0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450.0</v>
      </c>
      <c r="G130" s="54">
        <v>450.0</v>
      </c>
      <c r="H130" s="61"/>
      <c r="I130" s="61"/>
      <c r="J130" s="130">
        <v>5329.0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492.0</v>
      </c>
      <c r="G131" s="54">
        <v>492.0</v>
      </c>
      <c r="H131" s="61"/>
      <c r="I131" s="61"/>
      <c r="J131" s="130">
        <v>5330.0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177.0</v>
      </c>
      <c r="G132" s="54">
        <v>177.0</v>
      </c>
      <c r="H132" s="61"/>
      <c r="I132" s="61"/>
      <c r="J132" s="130">
        <v>5331.0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282.0</v>
      </c>
      <c r="G133" s="54">
        <v>282.0</v>
      </c>
      <c r="H133" s="61"/>
      <c r="I133" s="61"/>
      <c r="J133" s="130">
        <v>5332.0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500.0</v>
      </c>
      <c r="G134" s="54">
        <v>500.0</v>
      </c>
      <c r="H134" s="61"/>
      <c r="I134" s="61"/>
      <c r="J134" s="130">
        <v>5333.0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38.0</v>
      </c>
      <c r="G135" s="61"/>
      <c r="H135" s="135">
        <v>38.0</v>
      </c>
      <c r="I135" s="61"/>
      <c r="J135" s="130">
        <v>5334.0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722.0</v>
      </c>
      <c r="G136" s="54">
        <v>722.0</v>
      </c>
      <c r="H136" s="61"/>
      <c r="I136" s="61"/>
      <c r="J136" s="130">
        <v>5335.0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1233.0</v>
      </c>
      <c r="G137" s="54">
        <v>153.0</v>
      </c>
      <c r="H137" s="135">
        <v>1080.0</v>
      </c>
      <c r="I137" s="61"/>
      <c r="J137" s="130">
        <v>5336.0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89.0</v>
      </c>
      <c r="G138" s="54">
        <v>89.0</v>
      </c>
      <c r="H138" s="61"/>
      <c r="I138" s="61"/>
      <c r="J138" s="130">
        <v>5337.0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121.0</v>
      </c>
      <c r="G139" s="61"/>
      <c r="H139" s="135">
        <v>121.0</v>
      </c>
      <c r="I139" s="61"/>
      <c r="J139" s="130">
        <v>5338.0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66.0</v>
      </c>
      <c r="G140" s="54">
        <v>66.0</v>
      </c>
      <c r="H140" s="61"/>
      <c r="I140" s="61"/>
      <c r="J140" s="130">
        <v>5339.0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125.0</v>
      </c>
      <c r="G141" s="61"/>
      <c r="H141" s="135">
        <v>125.0</v>
      </c>
      <c r="I141" s="61"/>
      <c r="J141" s="130">
        <v>5340.0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450.0</v>
      </c>
      <c r="G142" s="61"/>
      <c r="H142" s="135">
        <v>450.0</v>
      </c>
      <c r="I142" s="61"/>
      <c r="J142" s="130">
        <v>5341.0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2150.0</v>
      </c>
      <c r="G143" s="61"/>
      <c r="H143" s="135">
        <v>2150.0</v>
      </c>
      <c r="I143" s="61"/>
      <c r="J143" s="130">
        <v>5342.0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240.0</v>
      </c>
      <c r="G144" s="61"/>
      <c r="H144" s="135">
        <v>240.0</v>
      </c>
      <c r="I144" s="61"/>
      <c r="J144" s="130">
        <v>5343.0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20.0</v>
      </c>
      <c r="G145" s="54">
        <v>20.0</v>
      </c>
      <c r="H145" s="61"/>
      <c r="I145" s="61"/>
      <c r="J145" s="130">
        <v>5344.0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>
        <v>137.0</v>
      </c>
      <c r="F146" s="138">
        <v>600.0</v>
      </c>
      <c r="G146" s="54">
        <v>600.0</v>
      </c>
      <c r="H146" s="61"/>
      <c r="I146" s="61"/>
      <c r="J146" s="130">
        <v>5345.0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>
        <v>138.0</v>
      </c>
      <c r="F147" s="138">
        <v>145.0</v>
      </c>
      <c r="G147" s="54">
        <v>145.0</v>
      </c>
      <c r="H147" s="61"/>
      <c r="I147" s="61"/>
      <c r="J147" s="130">
        <v>5346.0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>
        <v>139.0</v>
      </c>
      <c r="F148" s="138">
        <v>976.0</v>
      </c>
      <c r="G148" s="61"/>
      <c r="H148" s="61"/>
      <c r="I148" s="54">
        <v>976.0</v>
      </c>
      <c r="J148" s="130">
        <v>5347.0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>
        <v>140.0</v>
      </c>
      <c r="F149" s="138">
        <v>13.0</v>
      </c>
      <c r="G149" s="54">
        <v>13.0</v>
      </c>
      <c r="H149" s="61"/>
      <c r="I149" s="61"/>
      <c r="J149" s="130">
        <v>5349.0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46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46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46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61"/>
      <c r="I153" s="61"/>
      <c r="J153" s="46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54"/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61"/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61"/>
      <c r="I156" s="61"/>
      <c r="J156" s="46"/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54">
        <v>341.0</v>
      </c>
      <c r="H157" s="61"/>
      <c r="I157" s="61"/>
      <c r="J157" s="130" t="s">
        <v>341</v>
      </c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61"/>
      <c r="H158" s="61"/>
      <c r="I158" s="61"/>
      <c r="J158" s="46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1"/>
      <c r="E159" s="122"/>
      <c r="F159" s="123">
        <f t="shared" ref="F159:I159" si="4">SUM(F10:F158)</f>
        <v>57087</v>
      </c>
      <c r="G159" s="123">
        <f t="shared" si="4"/>
        <v>25182</v>
      </c>
      <c r="H159" s="123">
        <f t="shared" si="4"/>
        <v>31374</v>
      </c>
      <c r="I159" s="123">
        <f t="shared" si="4"/>
        <v>976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18"/>
      <c r="C160" s="118"/>
      <c r="D160" s="1"/>
      <c r="E160" s="124"/>
      <c r="F160" s="124"/>
      <c r="G160" s="124"/>
      <c r="H160" s="124"/>
      <c r="I160" s="12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"/>
      <c r="D161" s="1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26"/>
      <c r="H172" s="12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18209.0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31386.0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63966.0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F177-C15</f>
        <v>46835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G177-W33</f>
        <v>16411</v>
      </c>
      <c r="D10" s="24"/>
      <c r="E10" s="43">
        <v>1.0</v>
      </c>
      <c r="F10" s="44">
        <v>90.0</v>
      </c>
      <c r="G10" s="45"/>
      <c r="H10" s="298">
        <v>90.0</v>
      </c>
      <c r="I10" s="45"/>
      <c r="J10" s="130">
        <v>5348.0</v>
      </c>
      <c r="K10" s="24"/>
      <c r="L10" s="47"/>
      <c r="M10" s="196">
        <v>365.0</v>
      </c>
      <c r="N10" s="47">
        <v>4728.0</v>
      </c>
      <c r="O10" s="49"/>
      <c r="P10" s="85" t="s">
        <v>306</v>
      </c>
      <c r="Q10" s="51"/>
      <c r="R10" s="52">
        <v>20.0</v>
      </c>
      <c r="S10" s="53"/>
      <c r="T10" s="54"/>
      <c r="U10" s="55"/>
      <c r="V10" s="24"/>
      <c r="W10" s="47">
        <v>269.0</v>
      </c>
      <c r="X10" s="47"/>
      <c r="Y10" s="47">
        <v>50.0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H177-X33</f>
        <v>29387</v>
      </c>
      <c r="D11" s="24"/>
      <c r="E11" s="43">
        <v>2.0</v>
      </c>
      <c r="F11" s="56">
        <v>100.0</v>
      </c>
      <c r="G11" s="57"/>
      <c r="H11" s="299">
        <v>100.0</v>
      </c>
      <c r="I11" s="59"/>
      <c r="J11" s="130" t="s">
        <v>342</v>
      </c>
      <c r="K11" s="24"/>
      <c r="L11" s="48"/>
      <c r="M11" s="196">
        <v>976.0</v>
      </c>
      <c r="N11" s="47">
        <v>5347.0</v>
      </c>
      <c r="O11" s="49"/>
      <c r="P11" s="72" t="s">
        <v>343</v>
      </c>
      <c r="Q11" s="51"/>
      <c r="R11" s="52">
        <v>105.0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I177</f>
        <v>1915</v>
      </c>
      <c r="D12" s="24"/>
      <c r="E12" s="43">
        <v>3.0</v>
      </c>
      <c r="F12" s="63">
        <v>664.0</v>
      </c>
      <c r="G12" s="64"/>
      <c r="H12" s="189">
        <v>664.0</v>
      </c>
      <c r="I12" s="65"/>
      <c r="J12" s="130">
        <v>5351.0</v>
      </c>
      <c r="K12" s="24"/>
      <c r="L12" s="48"/>
      <c r="M12" s="48"/>
      <c r="N12" s="48"/>
      <c r="O12" s="49"/>
      <c r="P12" s="72" t="s">
        <v>344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11689</v>
      </c>
      <c r="D13" s="24"/>
      <c r="E13" s="43">
        <v>4.0</v>
      </c>
      <c r="F13" s="56">
        <v>805.0</v>
      </c>
      <c r="G13" s="64">
        <v>805.0</v>
      </c>
      <c r="H13" s="64"/>
      <c r="I13" s="65"/>
      <c r="J13" s="130">
        <v>5352.0</v>
      </c>
      <c r="K13" s="24"/>
      <c r="L13" s="48"/>
      <c r="M13" s="48"/>
      <c r="N13" s="48"/>
      <c r="O13" s="49"/>
      <c r="P13" s="72" t="s">
        <v>345</v>
      </c>
      <c r="Q13" s="51"/>
      <c r="R13" s="52">
        <v>544.0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1341</v>
      </c>
      <c r="D14" s="24"/>
      <c r="E14" s="43">
        <v>5.0</v>
      </c>
      <c r="F14" s="56">
        <v>90.0</v>
      </c>
      <c r="G14" s="64"/>
      <c r="H14" s="189">
        <v>90.0</v>
      </c>
      <c r="I14" s="65"/>
      <c r="J14" s="130">
        <v>5353.0</v>
      </c>
      <c r="K14" s="24"/>
      <c r="L14" s="48"/>
      <c r="M14" s="48"/>
      <c r="N14" s="48"/>
      <c r="O14" s="49"/>
      <c r="P14" s="72" t="s">
        <v>346</v>
      </c>
      <c r="Q14" s="51"/>
      <c r="R14" s="52">
        <v>1800.0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269</v>
      </c>
      <c r="D15" s="24"/>
      <c r="E15" s="43">
        <v>6.0</v>
      </c>
      <c r="F15" s="56">
        <v>71.0</v>
      </c>
      <c r="G15" s="64">
        <v>71.0</v>
      </c>
      <c r="H15" s="64"/>
      <c r="I15" s="65"/>
      <c r="J15" s="130">
        <v>5354.0</v>
      </c>
      <c r="K15" s="24"/>
      <c r="L15" s="48"/>
      <c r="M15" s="48"/>
      <c r="N15" s="48"/>
      <c r="O15" s="49"/>
      <c r="P15" s="72" t="s">
        <v>44</v>
      </c>
      <c r="Q15" s="51"/>
      <c r="R15" s="52">
        <v>814.0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4929</v>
      </c>
      <c r="D16" s="24"/>
      <c r="E16" s="43">
        <v>7.0</v>
      </c>
      <c r="F16" s="56">
        <v>130.0</v>
      </c>
      <c r="G16" s="64"/>
      <c r="H16" s="189">
        <v>130.0</v>
      </c>
      <c r="I16" s="65"/>
      <c r="J16" s="130">
        <v>5355.0</v>
      </c>
      <c r="K16" s="24"/>
      <c r="L16" s="48"/>
      <c r="M16" s="48"/>
      <c r="N16" s="48"/>
      <c r="O16" s="49"/>
      <c r="P16" s="72" t="s">
        <v>347</v>
      </c>
      <c r="Q16" s="51"/>
      <c r="R16" s="52">
        <v>582.0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4929</v>
      </c>
      <c r="D17" s="24"/>
      <c r="E17" s="43">
        <v>8.0</v>
      </c>
      <c r="F17" s="56">
        <v>357.0</v>
      </c>
      <c r="G17" s="65"/>
      <c r="H17" s="189">
        <v>357.0</v>
      </c>
      <c r="I17" s="65"/>
      <c r="J17" s="130">
        <v>5356.0</v>
      </c>
      <c r="K17" s="24"/>
      <c r="L17" s="48"/>
      <c r="M17" s="48"/>
      <c r="N17" s="48"/>
      <c r="O17" s="49"/>
      <c r="P17" s="72" t="s">
        <v>348</v>
      </c>
      <c r="Q17" s="51"/>
      <c r="R17" s="52">
        <v>321.0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125.0</v>
      </c>
      <c r="G18" s="64">
        <v>125.0</v>
      </c>
      <c r="H18" s="64"/>
      <c r="I18" s="65"/>
      <c r="J18" s="130">
        <v>5357.0</v>
      </c>
      <c r="K18" s="24"/>
      <c r="L18" s="48"/>
      <c r="M18" s="48"/>
      <c r="N18" s="48"/>
      <c r="O18" s="49"/>
      <c r="P18" s="72" t="s">
        <v>349</v>
      </c>
      <c r="Q18" s="51"/>
      <c r="R18" s="52">
        <v>643.0</v>
      </c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1307.0</v>
      </c>
      <c r="G19" s="64"/>
      <c r="H19" s="189">
        <v>1307.0</v>
      </c>
      <c r="I19" s="65"/>
      <c r="J19" s="130">
        <v>5358.0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52851</v>
      </c>
      <c r="D20" s="24"/>
      <c r="E20" s="43">
        <v>11.0</v>
      </c>
      <c r="F20" s="56">
        <v>399.0</v>
      </c>
      <c r="G20" s="64">
        <v>399.0</v>
      </c>
      <c r="H20" s="64"/>
      <c r="I20" s="65"/>
      <c r="J20" s="130">
        <v>5359.0</v>
      </c>
      <c r="K20" s="24"/>
      <c r="L20" s="48"/>
      <c r="M20" s="48"/>
      <c r="N20" s="48"/>
      <c r="O20" s="73"/>
      <c r="P20" s="72"/>
      <c r="Q20" s="51"/>
      <c r="R20" s="52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30728</v>
      </c>
      <c r="D21" s="24"/>
      <c r="E21" s="43">
        <v>12.0</v>
      </c>
      <c r="F21" s="56">
        <v>236.0</v>
      </c>
      <c r="G21" s="65"/>
      <c r="H21" s="189">
        <v>236.0</v>
      </c>
      <c r="I21" s="65"/>
      <c r="J21" s="130">
        <v>5360.0</v>
      </c>
      <c r="K21" s="24"/>
      <c r="L21" s="48"/>
      <c r="M21" s="48"/>
      <c r="N21" s="48"/>
      <c r="O21" s="73"/>
      <c r="P21" s="72"/>
      <c r="Q21" s="51"/>
      <c r="R21" s="52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41380</v>
      </c>
      <c r="D22" s="24"/>
      <c r="E22" s="43">
        <v>13.0</v>
      </c>
      <c r="F22" s="56">
        <v>94.0</v>
      </c>
      <c r="G22" s="64">
        <v>94.0</v>
      </c>
      <c r="H22" s="64"/>
      <c r="I22" s="65"/>
      <c r="J22" s="130">
        <v>5361.0</v>
      </c>
      <c r="K22" s="24"/>
      <c r="L22" s="48"/>
      <c r="M22" s="48"/>
      <c r="N22" s="48"/>
      <c r="O22" s="49"/>
      <c r="P22" s="72"/>
      <c r="Q22" s="51"/>
      <c r="R22" s="52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41380.0</v>
      </c>
      <c r="D23" s="24"/>
      <c r="E23" s="43">
        <v>14.0</v>
      </c>
      <c r="F23" s="56">
        <v>145.0</v>
      </c>
      <c r="G23" s="64">
        <v>145.0</v>
      </c>
      <c r="H23" s="64"/>
      <c r="I23" s="65"/>
      <c r="J23" s="130">
        <v>5362.0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399.0</v>
      </c>
      <c r="G24" s="64">
        <v>399.0</v>
      </c>
      <c r="H24" s="149"/>
      <c r="I24" s="65"/>
      <c r="J24" s="130">
        <v>5363.0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178.0</v>
      </c>
      <c r="G25" s="64">
        <v>178.0</v>
      </c>
      <c r="H25" s="65"/>
      <c r="I25" s="65"/>
      <c r="J25" s="130">
        <v>5364.0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F177</f>
        <v>47104</v>
      </c>
      <c r="D26" s="24"/>
      <c r="E26" s="43">
        <v>17.0</v>
      </c>
      <c r="F26" s="56">
        <v>82.0</v>
      </c>
      <c r="G26" s="64">
        <v>82.0</v>
      </c>
      <c r="H26" s="65"/>
      <c r="I26" s="65"/>
      <c r="J26" s="130">
        <v>5365.0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55.0</v>
      </c>
      <c r="G27" s="64">
        <v>55.0</v>
      </c>
      <c r="H27" s="65"/>
      <c r="I27" s="65"/>
      <c r="J27" s="130">
        <v>5366.0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950.0</v>
      </c>
      <c r="G28" s="64">
        <v>950.0</v>
      </c>
      <c r="H28" s="149"/>
      <c r="I28" s="65"/>
      <c r="J28" s="130">
        <v>5367.0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189.0</v>
      </c>
      <c r="G29" s="64"/>
      <c r="H29" s="189">
        <v>189.0</v>
      </c>
      <c r="I29" s="65"/>
      <c r="J29" s="130">
        <v>5368.0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44.0</v>
      </c>
      <c r="G30" s="93">
        <v>44.0</v>
      </c>
      <c r="H30" s="92"/>
      <c r="I30" s="93"/>
      <c r="J30" s="130">
        <v>5369.0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31386</v>
      </c>
      <c r="D31" s="24"/>
      <c r="E31" s="43">
        <v>22.0</v>
      </c>
      <c r="F31" s="56">
        <v>60.0</v>
      </c>
      <c r="G31" s="93">
        <v>60.0</v>
      </c>
      <c r="H31" s="93"/>
      <c r="I31" s="92"/>
      <c r="J31" s="130">
        <v>5370.0</v>
      </c>
      <c r="K31" s="24"/>
      <c r="L31" s="47"/>
      <c r="M31" s="48"/>
      <c r="N31" s="48"/>
      <c r="O31" s="94"/>
      <c r="P31" s="95" t="s">
        <v>39</v>
      </c>
      <c r="Q31" s="7"/>
      <c r="R31" s="96">
        <f t="shared" ref="R31:T31" si="1">SUM(R10:R30)</f>
        <v>4929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180.0</v>
      </c>
      <c r="G32" s="93"/>
      <c r="H32" s="190">
        <v>180.0</v>
      </c>
      <c r="I32" s="92"/>
      <c r="J32" s="130">
        <v>5371.0</v>
      </c>
      <c r="K32" s="24"/>
      <c r="L32" s="47">
        <v>11689.0</v>
      </c>
      <c r="M32" s="48"/>
      <c r="N32" s="47" t="s">
        <v>350</v>
      </c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183.0</v>
      </c>
      <c r="G33" s="93"/>
      <c r="H33" s="190">
        <v>183.0</v>
      </c>
      <c r="I33" s="92"/>
      <c r="J33" s="130">
        <v>5372.0</v>
      </c>
      <c r="K33" s="24"/>
      <c r="L33" s="104">
        <f t="shared" ref="L33:M33" si="2">sum(L10:L32)</f>
        <v>11689</v>
      </c>
      <c r="M33" s="104">
        <f t="shared" si="2"/>
        <v>1341</v>
      </c>
      <c r="N33" s="104"/>
      <c r="O33" s="105"/>
      <c r="P33" s="85" t="s">
        <v>38</v>
      </c>
      <c r="Q33" s="51"/>
      <c r="R33" s="100"/>
      <c r="S33" s="52">
        <v>31386.0</v>
      </c>
      <c r="T33" s="101"/>
      <c r="U33" s="55"/>
      <c r="V33" s="24"/>
      <c r="W33" s="104">
        <f t="shared" ref="W33:X33" si="3">sum(W10:W32)</f>
        <v>269</v>
      </c>
      <c r="X33" s="104">
        <f t="shared" si="3"/>
        <v>0</v>
      </c>
      <c r="Y33" s="104">
        <f>W33+X33</f>
        <v>269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12.0</v>
      </c>
      <c r="G34" s="93">
        <v>12.0</v>
      </c>
      <c r="H34" s="93"/>
      <c r="I34" s="92"/>
      <c r="J34" s="130">
        <v>5373.0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127.0</v>
      </c>
      <c r="G35" s="92"/>
      <c r="H35" s="190">
        <v>127.0</v>
      </c>
      <c r="I35" s="92"/>
      <c r="J35" s="130">
        <v>5374.0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312.0</v>
      </c>
      <c r="G36" s="93">
        <v>312.0</v>
      </c>
      <c r="H36" s="93"/>
      <c r="I36" s="93"/>
      <c r="J36" s="130">
        <v>5375.0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59.0</v>
      </c>
      <c r="G37" s="93"/>
      <c r="H37" s="190">
        <v>59.0</v>
      </c>
      <c r="I37" s="92"/>
      <c r="J37" s="130">
        <v>5376.0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25.0</v>
      </c>
      <c r="G38" s="93"/>
      <c r="H38" s="190">
        <v>25.0</v>
      </c>
      <c r="I38" s="92"/>
      <c r="J38" s="130">
        <v>5377.0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470.0</v>
      </c>
      <c r="G39" s="93">
        <v>470.0</v>
      </c>
      <c r="H39" s="93"/>
      <c r="I39" s="92"/>
      <c r="J39" s="130">
        <v>5378.0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199.0</v>
      </c>
      <c r="G40" s="92"/>
      <c r="H40" s="190">
        <v>199.0</v>
      </c>
      <c r="I40" s="92"/>
      <c r="J40" s="130">
        <v>5379.0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456.0</v>
      </c>
      <c r="G41" s="93">
        <v>456.0</v>
      </c>
      <c r="H41" s="93"/>
      <c r="I41" s="92"/>
      <c r="J41" s="130">
        <v>5380.0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81.0</v>
      </c>
      <c r="G42" s="93">
        <v>81.0</v>
      </c>
      <c r="H42" s="93"/>
      <c r="I42" s="92"/>
      <c r="J42" s="130">
        <v>5381.0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18.0</v>
      </c>
      <c r="G43" s="93">
        <v>18.0</v>
      </c>
      <c r="H43" s="92"/>
      <c r="I43" s="92"/>
      <c r="J43" s="130">
        <v>5382.0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695.0</v>
      </c>
      <c r="G44" s="93">
        <v>695.0</v>
      </c>
      <c r="H44" s="93"/>
      <c r="I44" s="92"/>
      <c r="J44" s="130">
        <v>5383.0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466.0</v>
      </c>
      <c r="G45" s="93"/>
      <c r="H45" s="190">
        <v>466.0</v>
      </c>
      <c r="I45" s="92"/>
      <c r="J45" s="130">
        <v>5384.0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758.0</v>
      </c>
      <c r="G46" s="93">
        <v>758.0</v>
      </c>
      <c r="H46" s="92"/>
      <c r="I46" s="92"/>
      <c r="J46" s="130">
        <v>5385.0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294.0</v>
      </c>
      <c r="G47" s="93">
        <v>294.0</v>
      </c>
      <c r="H47" s="93"/>
      <c r="I47" s="92"/>
      <c r="J47" s="130">
        <v>5386.0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548.0</v>
      </c>
      <c r="G48" s="92"/>
      <c r="H48" s="190">
        <v>548.0</v>
      </c>
      <c r="I48" s="92"/>
      <c r="J48" s="130">
        <v>5387.0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98.0</v>
      </c>
      <c r="G49" s="93">
        <v>98.0</v>
      </c>
      <c r="H49" s="92"/>
      <c r="I49" s="92"/>
      <c r="J49" s="130">
        <v>5388.0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50.0</v>
      </c>
      <c r="G50" s="93">
        <v>50.0</v>
      </c>
      <c r="H50" s="93"/>
      <c r="I50" s="92"/>
      <c r="J50" s="130">
        <v>5389.0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71.0</v>
      </c>
      <c r="G51" s="92"/>
      <c r="H51" s="190">
        <v>71.0</v>
      </c>
      <c r="I51" s="92"/>
      <c r="J51" s="130">
        <v>5390.0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13.0</v>
      </c>
      <c r="G52" s="93">
        <v>13.0</v>
      </c>
      <c r="H52" s="92"/>
      <c r="I52" s="92"/>
      <c r="J52" s="130">
        <v>5391.0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59.0</v>
      </c>
      <c r="G53" s="93">
        <v>59.0</v>
      </c>
      <c r="H53" s="92"/>
      <c r="I53" s="92"/>
      <c r="J53" s="130">
        <v>5392.0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100.0</v>
      </c>
      <c r="G54" s="93">
        <v>100.0</v>
      </c>
      <c r="H54" s="92"/>
      <c r="I54" s="92"/>
      <c r="J54" s="130">
        <v>5393.0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216">
        <v>659.0</v>
      </c>
      <c r="G55" s="173"/>
      <c r="H55" s="136">
        <v>659.0</v>
      </c>
      <c r="I55" s="173"/>
      <c r="J55" s="155" t="s">
        <v>351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75.0</v>
      </c>
      <c r="G56" s="92"/>
      <c r="H56" s="190">
        <v>75.0</v>
      </c>
      <c r="I56" s="92"/>
      <c r="J56" s="130">
        <v>5395.0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320.0</v>
      </c>
      <c r="G57" s="92"/>
      <c r="H57" s="190">
        <v>320.0</v>
      </c>
      <c r="I57" s="92"/>
      <c r="J57" s="130">
        <v>5396.0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4.0</v>
      </c>
      <c r="G58" s="93">
        <v>4.0</v>
      </c>
      <c r="H58" s="92"/>
      <c r="I58" s="92"/>
      <c r="J58" s="130">
        <v>5397.0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96.0</v>
      </c>
      <c r="G59" s="93">
        <v>96.0</v>
      </c>
      <c r="H59" s="92"/>
      <c r="I59" s="92"/>
      <c r="J59" s="130">
        <v>5398.0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380.0</v>
      </c>
      <c r="G60" s="93">
        <v>380.0</v>
      </c>
      <c r="H60" s="92"/>
      <c r="I60" s="92"/>
      <c r="J60" s="130">
        <v>5399.0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70.0</v>
      </c>
      <c r="G61" s="93"/>
      <c r="H61" s="190">
        <v>70.0</v>
      </c>
      <c r="I61" s="92"/>
      <c r="J61" s="130">
        <v>5400.0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18.0</v>
      </c>
      <c r="G62" s="93">
        <v>18.0</v>
      </c>
      <c r="H62" s="92"/>
      <c r="I62" s="92"/>
      <c r="J62" s="130">
        <v>5401.0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399.0</v>
      </c>
      <c r="G63" s="93">
        <v>399.0</v>
      </c>
      <c r="H63" s="92"/>
      <c r="I63" s="92"/>
      <c r="J63" s="130">
        <v>5402.0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310.0</v>
      </c>
      <c r="G64" s="93">
        <v>310.0</v>
      </c>
      <c r="H64" s="92"/>
      <c r="I64" s="92"/>
      <c r="J64" s="130">
        <v>5403.0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332.0</v>
      </c>
      <c r="G65" s="93">
        <v>332.0</v>
      </c>
      <c r="H65" s="92"/>
      <c r="I65" s="92"/>
      <c r="J65" s="130">
        <v>5404.0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245.0</v>
      </c>
      <c r="G66" s="92"/>
      <c r="H66" s="190">
        <v>245.0</v>
      </c>
      <c r="I66" s="92"/>
      <c r="J66" s="130">
        <v>5405.0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92.0</v>
      </c>
      <c r="G67" s="92"/>
      <c r="H67" s="190">
        <v>92.0</v>
      </c>
      <c r="I67" s="92"/>
      <c r="J67" s="130">
        <v>5406.0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95.0</v>
      </c>
      <c r="G68" s="92"/>
      <c r="H68" s="190">
        <v>95.0</v>
      </c>
      <c r="I68" s="92"/>
      <c r="J68" s="130">
        <v>5407.0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424.0</v>
      </c>
      <c r="G69" s="93">
        <v>400.0</v>
      </c>
      <c r="H69" s="190">
        <v>24.0</v>
      </c>
      <c r="I69" s="92"/>
      <c r="J69" s="130">
        <v>5408.0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80.0</v>
      </c>
      <c r="G70" s="93">
        <v>80.0</v>
      </c>
      <c r="H70" s="92"/>
      <c r="I70" s="92"/>
      <c r="J70" s="130">
        <v>5409.0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283.0</v>
      </c>
      <c r="G71" s="93">
        <v>283.0</v>
      </c>
      <c r="H71" s="92"/>
      <c r="I71" s="92"/>
      <c r="J71" s="130">
        <v>5410.0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466.0</v>
      </c>
      <c r="G72" s="92"/>
      <c r="H72" s="190">
        <v>466.0</v>
      </c>
      <c r="I72" s="92"/>
      <c r="J72" s="130">
        <v>5411.0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700.0</v>
      </c>
      <c r="G73" s="92"/>
      <c r="H73" s="190">
        <v>700.0</v>
      </c>
      <c r="I73" s="92"/>
      <c r="J73" s="130">
        <v>5412.0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265.0</v>
      </c>
      <c r="G74" s="93">
        <v>265.0</v>
      </c>
      <c r="H74" s="92"/>
      <c r="I74" s="92"/>
      <c r="J74" s="130">
        <v>5413.0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216">
        <v>550.0</v>
      </c>
      <c r="G75" s="173"/>
      <c r="H75" s="136">
        <v>550.0</v>
      </c>
      <c r="I75" s="173"/>
      <c r="J75" s="155" t="s">
        <v>352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1379.0</v>
      </c>
      <c r="G76" s="93"/>
      <c r="H76" s="190">
        <v>1379.0</v>
      </c>
      <c r="I76" s="92"/>
      <c r="J76" s="130">
        <v>5415.0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89.0</v>
      </c>
      <c r="G77" s="93"/>
      <c r="H77" s="190">
        <v>89.0</v>
      </c>
      <c r="I77" s="92"/>
      <c r="J77" s="130">
        <v>5416.0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50.0</v>
      </c>
      <c r="G78" s="93">
        <v>50.0</v>
      </c>
      <c r="H78" s="92"/>
      <c r="I78" s="92"/>
      <c r="J78" s="130">
        <v>5417.0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245.0</v>
      </c>
      <c r="G79" s="93">
        <v>245.0</v>
      </c>
      <c r="H79" s="92"/>
      <c r="I79" s="92"/>
      <c r="J79" s="130">
        <v>5418.0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45.0</v>
      </c>
      <c r="G80" s="92"/>
      <c r="H80" s="190">
        <v>45.0</v>
      </c>
      <c r="I80" s="92"/>
      <c r="J80" s="130">
        <v>5419.0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149.0</v>
      </c>
      <c r="G81" s="93">
        <v>149.0</v>
      </c>
      <c r="H81" s="92"/>
      <c r="I81" s="93"/>
      <c r="J81" s="130">
        <v>5420.0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220.0</v>
      </c>
      <c r="G82" s="54">
        <v>220.0</v>
      </c>
      <c r="H82" s="61"/>
      <c r="I82" s="61"/>
      <c r="J82" s="130">
        <v>5421.0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112.0</v>
      </c>
      <c r="G83" s="54">
        <v>112.0</v>
      </c>
      <c r="H83" s="61"/>
      <c r="I83" s="61"/>
      <c r="J83" s="130">
        <v>5422.0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100.0</v>
      </c>
      <c r="G84" s="54">
        <v>100.0</v>
      </c>
      <c r="H84" s="61"/>
      <c r="I84" s="61"/>
      <c r="J84" s="130">
        <v>5423.0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272.0</v>
      </c>
      <c r="G85" s="61"/>
      <c r="H85" s="190">
        <v>272.0</v>
      </c>
      <c r="I85" s="61"/>
      <c r="J85" s="130">
        <v>5424.0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138.0</v>
      </c>
      <c r="G86" s="61"/>
      <c r="H86" s="190">
        <v>138.0</v>
      </c>
      <c r="I86" s="61"/>
      <c r="J86" s="130">
        <v>5425.0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268.0</v>
      </c>
      <c r="G87" s="61"/>
      <c r="H87" s="190">
        <v>268.0</v>
      </c>
      <c r="I87" s="61"/>
      <c r="J87" s="130">
        <v>5426.0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216">
        <v>424.0</v>
      </c>
      <c r="G88" s="136"/>
      <c r="H88" s="136">
        <v>424.0</v>
      </c>
      <c r="I88" s="173"/>
      <c r="J88" s="155" t="s">
        <v>353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319.0</v>
      </c>
      <c r="G89" s="61"/>
      <c r="H89" s="190">
        <v>319.0</v>
      </c>
      <c r="I89" s="61"/>
      <c r="J89" s="130">
        <v>5428.0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216">
        <v>691.0</v>
      </c>
      <c r="G90" s="136"/>
      <c r="H90" s="136">
        <v>691.0</v>
      </c>
      <c r="I90" s="173"/>
      <c r="J90" s="155" t="s">
        <v>354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45.0</v>
      </c>
      <c r="G91" s="61"/>
      <c r="H91" s="190">
        <v>45.0</v>
      </c>
      <c r="I91" s="61"/>
      <c r="J91" s="130">
        <v>5430.0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101.0</v>
      </c>
      <c r="G92" s="61"/>
      <c r="H92" s="190">
        <v>101.0</v>
      </c>
      <c r="I92" s="61"/>
      <c r="J92" s="130">
        <v>5431.0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68.0</v>
      </c>
      <c r="G93" s="61"/>
      <c r="H93" s="190">
        <v>68.0</v>
      </c>
      <c r="I93" s="61"/>
      <c r="J93" s="130">
        <v>5432.0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390.0</v>
      </c>
      <c r="G94" s="54">
        <v>390.0</v>
      </c>
      <c r="H94" s="61"/>
      <c r="I94" s="61"/>
      <c r="J94" s="130">
        <v>5433.0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193.0</v>
      </c>
      <c r="G95" s="61"/>
      <c r="H95" s="190">
        <v>193.0</v>
      </c>
      <c r="I95" s="61"/>
      <c r="J95" s="130">
        <v>5434.0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9.0</v>
      </c>
      <c r="G96" s="54">
        <v>9.0</v>
      </c>
      <c r="H96" s="61"/>
      <c r="I96" s="61"/>
      <c r="J96" s="130">
        <v>5435.0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140.0</v>
      </c>
      <c r="G97" s="61"/>
      <c r="H97" s="190">
        <v>140.0</v>
      </c>
      <c r="I97" s="61"/>
      <c r="J97" s="130">
        <v>5436.0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27.0</v>
      </c>
      <c r="G98" s="61"/>
      <c r="H98" s="190">
        <v>27.0</v>
      </c>
      <c r="I98" s="61"/>
      <c r="J98" s="130">
        <v>5437.0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1915.0</v>
      </c>
      <c r="G99" s="54"/>
      <c r="H99" s="61"/>
      <c r="I99" s="54">
        <v>1915.0</v>
      </c>
      <c r="J99" s="130" t="s">
        <v>355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863.0</v>
      </c>
      <c r="G100" s="61"/>
      <c r="H100" s="190">
        <v>863.0</v>
      </c>
      <c r="I100" s="61"/>
      <c r="J100" s="130">
        <v>5439.0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442.0</v>
      </c>
      <c r="G101" s="54">
        <v>442.0</v>
      </c>
      <c r="H101" s="61"/>
      <c r="I101" s="61"/>
      <c r="J101" s="130">
        <v>5440.0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80.0</v>
      </c>
      <c r="G102" s="54">
        <v>80.0</v>
      </c>
      <c r="H102" s="61"/>
      <c r="I102" s="61"/>
      <c r="J102" s="130">
        <v>5441.0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118.0</v>
      </c>
      <c r="G103" s="61"/>
      <c r="H103" s="190">
        <v>118.0</v>
      </c>
      <c r="I103" s="61"/>
      <c r="J103" s="130">
        <v>5442.0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320.0</v>
      </c>
      <c r="G104" s="61"/>
      <c r="H104" s="190">
        <v>320.0</v>
      </c>
      <c r="I104" s="61"/>
      <c r="J104" s="130">
        <v>5443.0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12.0</v>
      </c>
      <c r="G105" s="54">
        <v>12.0</v>
      </c>
      <c r="H105" s="61"/>
      <c r="I105" s="61"/>
      <c r="J105" s="130">
        <v>5444.0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250.0</v>
      </c>
      <c r="G106" s="54">
        <v>250.0</v>
      </c>
      <c r="H106" s="61"/>
      <c r="I106" s="61"/>
      <c r="J106" s="130">
        <v>5445.0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207.0</v>
      </c>
      <c r="G107" s="54">
        <v>207.0</v>
      </c>
      <c r="H107" s="61"/>
      <c r="I107" s="61"/>
      <c r="J107" s="130">
        <v>5446.0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14.0</v>
      </c>
      <c r="G108" s="54">
        <v>14.0</v>
      </c>
      <c r="H108" s="61"/>
      <c r="I108" s="61"/>
      <c r="J108" s="130">
        <v>5447.0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567.0</v>
      </c>
      <c r="G109" s="61"/>
      <c r="H109" s="190">
        <v>567.0</v>
      </c>
      <c r="I109" s="61"/>
      <c r="J109" s="130">
        <v>5448.0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630.0</v>
      </c>
      <c r="G110" s="54">
        <v>630.0</v>
      </c>
      <c r="H110" s="61"/>
      <c r="I110" s="61"/>
      <c r="J110" s="130">
        <v>5449.0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120.0</v>
      </c>
      <c r="G111" s="54">
        <v>120.0</v>
      </c>
      <c r="H111" s="61"/>
      <c r="I111" s="61"/>
      <c r="J111" s="130">
        <v>5450.0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341.0</v>
      </c>
      <c r="G112" s="61"/>
      <c r="H112" s="190">
        <v>341.0</v>
      </c>
      <c r="I112" s="61"/>
      <c r="J112" s="130">
        <v>5451.0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50.0</v>
      </c>
      <c r="G113" s="54">
        <v>50.0</v>
      </c>
      <c r="H113" s="61"/>
      <c r="I113" s="61"/>
      <c r="J113" s="130">
        <v>5452.0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1930.0</v>
      </c>
      <c r="G114" s="54">
        <v>1930.0</v>
      </c>
      <c r="H114" s="61"/>
      <c r="I114" s="61"/>
      <c r="J114" s="130">
        <v>5453.0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96.0</v>
      </c>
      <c r="G115" s="61"/>
      <c r="H115" s="190">
        <v>96.0</v>
      </c>
      <c r="I115" s="61"/>
      <c r="J115" s="130">
        <v>5454.0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300.0</v>
      </c>
      <c r="G116" s="54">
        <v>300.0</v>
      </c>
      <c r="H116" s="61"/>
      <c r="I116" s="61"/>
      <c r="J116" s="130">
        <v>5455.0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3210.0</v>
      </c>
      <c r="G117" s="61"/>
      <c r="H117" s="190">
        <v>3210.0</v>
      </c>
      <c r="I117" s="54"/>
      <c r="J117" s="130">
        <v>5456.0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308.0</v>
      </c>
      <c r="G118" s="61"/>
      <c r="H118" s="190">
        <v>308.0</v>
      </c>
      <c r="I118" s="61"/>
      <c r="J118" s="130">
        <v>5457.0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254">
        <v>110.0</v>
      </c>
      <c r="F119" s="216">
        <v>191.0</v>
      </c>
      <c r="G119" s="173"/>
      <c r="H119" s="136">
        <v>191.0</v>
      </c>
      <c r="I119" s="173"/>
      <c r="J119" s="155" t="s">
        <v>356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190.0</v>
      </c>
      <c r="G120" s="54">
        <v>190.0</v>
      </c>
      <c r="H120" s="61"/>
      <c r="I120" s="61"/>
      <c r="J120" s="130">
        <v>5459.0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290.0</v>
      </c>
      <c r="G121" s="54">
        <v>290.0</v>
      </c>
      <c r="H121" s="61"/>
      <c r="I121" s="61"/>
      <c r="J121" s="130">
        <v>5460.0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10.0</v>
      </c>
      <c r="G122" s="61"/>
      <c r="H122" s="190">
        <v>10.0</v>
      </c>
      <c r="I122" s="61"/>
      <c r="J122" s="130">
        <v>5461.0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575.0</v>
      </c>
      <c r="G123" s="61"/>
      <c r="H123" s="190">
        <v>575.0</v>
      </c>
      <c r="I123" s="61"/>
      <c r="J123" s="130">
        <v>5462.0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320.0</v>
      </c>
      <c r="G124" s="54">
        <v>320.0</v>
      </c>
      <c r="H124" s="61"/>
      <c r="I124" s="61"/>
      <c r="J124" s="130">
        <v>5463.0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546.0</v>
      </c>
      <c r="G125" s="54">
        <v>546.0</v>
      </c>
      <c r="H125" s="61"/>
      <c r="I125" s="61"/>
      <c r="J125" s="130">
        <v>5464.0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183.0</v>
      </c>
      <c r="G126" s="61"/>
      <c r="H126" s="190">
        <v>183.0</v>
      </c>
      <c r="I126" s="61"/>
      <c r="J126" s="130">
        <v>5465.0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399.0</v>
      </c>
      <c r="G127" s="61"/>
      <c r="H127" s="190">
        <v>399.0</v>
      </c>
      <c r="I127" s="61"/>
      <c r="J127" s="130">
        <v>5466.0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90.0</v>
      </c>
      <c r="G128" s="54"/>
      <c r="H128" s="190">
        <v>90.0</v>
      </c>
      <c r="I128" s="61"/>
      <c r="J128" s="130">
        <v>5467.0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435.0</v>
      </c>
      <c r="G129" s="54">
        <v>400.0</v>
      </c>
      <c r="H129" s="190">
        <v>35.0</v>
      </c>
      <c r="I129" s="61"/>
      <c r="J129" s="130">
        <v>5468.0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1179.0</v>
      </c>
      <c r="G130" s="61"/>
      <c r="H130" s="190">
        <v>1179.0</v>
      </c>
      <c r="I130" s="61"/>
      <c r="J130" s="130">
        <v>5469.0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9.0</v>
      </c>
      <c r="G131" s="61"/>
      <c r="H131" s="190">
        <v>9.0</v>
      </c>
      <c r="I131" s="61"/>
      <c r="J131" s="130">
        <v>5470.0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80.0</v>
      </c>
      <c r="G132" s="61"/>
      <c r="H132" s="190">
        <v>80.0</v>
      </c>
      <c r="I132" s="61"/>
      <c r="J132" s="130">
        <v>5471.0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1480.0</v>
      </c>
      <c r="G133" s="61"/>
      <c r="H133" s="190">
        <v>1480.0</v>
      </c>
      <c r="I133" s="61"/>
      <c r="J133" s="130">
        <v>5472.0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11.0</v>
      </c>
      <c r="G134" s="54">
        <v>11.0</v>
      </c>
      <c r="H134" s="61"/>
      <c r="I134" s="61"/>
      <c r="J134" s="130">
        <v>5473.0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15.0</v>
      </c>
      <c r="G135" s="54">
        <v>15.0</v>
      </c>
      <c r="H135" s="61"/>
      <c r="I135" s="61"/>
      <c r="J135" s="130">
        <v>5474.0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150.0</v>
      </c>
      <c r="G136" s="61"/>
      <c r="H136" s="190">
        <v>150.0</v>
      </c>
      <c r="I136" s="61"/>
      <c r="J136" s="130">
        <v>5475.0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20.0</v>
      </c>
      <c r="G137" s="54">
        <v>20.0</v>
      </c>
      <c r="H137" s="61"/>
      <c r="I137" s="61"/>
      <c r="J137" s="130">
        <v>5476.0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112.0</v>
      </c>
      <c r="G138" s="61"/>
      <c r="H138" s="190">
        <v>112.0</v>
      </c>
      <c r="I138" s="61"/>
      <c r="J138" s="130">
        <v>5477.0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399.0</v>
      </c>
      <c r="G139" s="61"/>
      <c r="H139" s="190">
        <v>399.0</v>
      </c>
      <c r="I139" s="61"/>
      <c r="J139" s="130">
        <v>5478.0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70.0</v>
      </c>
      <c r="G140" s="61"/>
      <c r="H140" s="190">
        <v>70.0</v>
      </c>
      <c r="I140" s="61"/>
      <c r="J140" s="130">
        <v>5479.0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1541.0</v>
      </c>
      <c r="G141" s="61"/>
      <c r="H141" s="190">
        <v>1541.0</v>
      </c>
      <c r="I141" s="61"/>
      <c r="J141" s="130">
        <v>5480.0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382.0</v>
      </c>
      <c r="G142" s="61"/>
      <c r="H142" s="190">
        <v>382.0</v>
      </c>
      <c r="I142" s="61"/>
      <c r="J142" s="130">
        <v>5481.0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244.0</v>
      </c>
      <c r="G143" s="61"/>
      <c r="H143" s="190">
        <v>244.0</v>
      </c>
      <c r="I143" s="61"/>
      <c r="J143" s="130">
        <v>5482.0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399.0</v>
      </c>
      <c r="G144" s="61"/>
      <c r="H144" s="190">
        <v>399.0</v>
      </c>
      <c r="I144" s="61"/>
      <c r="J144" s="130">
        <v>5483.0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494.0</v>
      </c>
      <c r="G145" s="61"/>
      <c r="H145" s="190">
        <v>494.0</v>
      </c>
      <c r="I145" s="61"/>
      <c r="J145" s="130">
        <v>5484.0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>
        <v>137.0</v>
      </c>
      <c r="F146" s="138">
        <v>20.0</v>
      </c>
      <c r="G146" s="54">
        <v>20.0</v>
      </c>
      <c r="H146" s="61"/>
      <c r="I146" s="61"/>
      <c r="J146" s="130">
        <v>5485.0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>
        <v>138.0</v>
      </c>
      <c r="F147" s="138">
        <v>399.0</v>
      </c>
      <c r="G147" s="54">
        <v>120.0</v>
      </c>
      <c r="H147" s="190">
        <v>279.0</v>
      </c>
      <c r="I147" s="61"/>
      <c r="J147" s="130">
        <v>5486.0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>
        <v>139.0</v>
      </c>
      <c r="F148" s="138">
        <v>1787.0</v>
      </c>
      <c r="G148" s="54"/>
      <c r="H148" s="190">
        <v>1787.0</v>
      </c>
      <c r="I148" s="61"/>
      <c r="J148" s="130">
        <v>5487.0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>
        <v>140.0</v>
      </c>
      <c r="F149" s="138">
        <v>125.0</v>
      </c>
      <c r="G149" s="61"/>
      <c r="H149" s="190">
        <v>125.0</v>
      </c>
      <c r="I149" s="61"/>
      <c r="J149" s="130">
        <v>5488.0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>
        <v>141.0</v>
      </c>
      <c r="F150" s="138">
        <v>5.0</v>
      </c>
      <c r="G150" s="61"/>
      <c r="H150" s="190">
        <v>5.0</v>
      </c>
      <c r="I150" s="61"/>
      <c r="J150" s="130">
        <v>5489.0</v>
      </c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>
        <v>142.0</v>
      </c>
      <c r="F151" s="121"/>
      <c r="G151" s="54">
        <v>-2.0</v>
      </c>
      <c r="H151" s="61"/>
      <c r="I151" s="61"/>
      <c r="J151" s="130">
        <v>5490.0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>
        <v>143.0</v>
      </c>
      <c r="F152" s="121"/>
      <c r="G152" s="61"/>
      <c r="H152" s="61"/>
      <c r="I152" s="61"/>
      <c r="J152" s="130">
        <v>5491.0</v>
      </c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>
        <v>144.0</v>
      </c>
      <c r="F153" s="121"/>
      <c r="G153" s="61"/>
      <c r="H153" s="61"/>
      <c r="I153" s="61"/>
      <c r="J153" s="130">
        <v>5492.0</v>
      </c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>
        <v>145.0</v>
      </c>
      <c r="F154" s="121"/>
      <c r="G154" s="61"/>
      <c r="H154" s="61"/>
      <c r="I154" s="61"/>
      <c r="J154" s="130">
        <v>5493.0</v>
      </c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>
        <v>146.0</v>
      </c>
      <c r="F155" s="121"/>
      <c r="G155" s="61"/>
      <c r="H155" s="61"/>
      <c r="I155" s="61"/>
      <c r="J155" s="130">
        <v>5494.0</v>
      </c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>
        <v>147.0</v>
      </c>
      <c r="F156" s="121"/>
      <c r="G156" s="61"/>
      <c r="H156" s="61"/>
      <c r="I156" s="61"/>
      <c r="J156" s="130">
        <v>5495.0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>
        <v>148.0</v>
      </c>
      <c r="F157" s="121"/>
      <c r="G157" s="61"/>
      <c r="H157" s="61"/>
      <c r="I157" s="61"/>
      <c r="J157" s="130">
        <v>5496.0</v>
      </c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>
        <v>149.0</v>
      </c>
      <c r="F158" s="121"/>
      <c r="G158" s="61"/>
      <c r="H158" s="61"/>
      <c r="I158" s="61"/>
      <c r="J158" s="130">
        <v>5497.0</v>
      </c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24"/>
      <c r="E159" s="43"/>
      <c r="F159" s="121"/>
      <c r="G159" s="54"/>
      <c r="H159" s="61"/>
      <c r="I159" s="61"/>
      <c r="J159" s="46"/>
      <c r="K159" s="24"/>
      <c r="L159" s="112"/>
      <c r="M159" s="112"/>
      <c r="N159" s="112"/>
      <c r="O159" s="112"/>
      <c r="P159" s="112"/>
      <c r="Q159" s="113"/>
      <c r="R159" s="114"/>
      <c r="S159" s="114"/>
      <c r="T159" s="114"/>
      <c r="U159" s="115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4.25" customHeight="1">
      <c r="A160" s="1"/>
      <c r="B160" s="1"/>
      <c r="C160" s="1"/>
      <c r="D160" s="24"/>
      <c r="E160" s="43"/>
      <c r="F160" s="121"/>
      <c r="G160" s="61"/>
      <c r="H160" s="61"/>
      <c r="I160" s="61"/>
      <c r="J160" s="46"/>
      <c r="K160" s="24"/>
      <c r="L160" s="112"/>
      <c r="M160" s="112"/>
      <c r="N160" s="112"/>
      <c r="O160" s="112"/>
      <c r="P160" s="112"/>
      <c r="Q160" s="113"/>
      <c r="R160" s="114"/>
      <c r="S160" s="114"/>
      <c r="T160" s="114"/>
      <c r="U160" s="115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</row>
    <row r="161" ht="14.25" customHeight="1">
      <c r="A161" s="1"/>
      <c r="B161" s="1"/>
      <c r="C161" s="1"/>
      <c r="D161" s="24"/>
      <c r="E161" s="43"/>
      <c r="F161" s="121"/>
      <c r="G161" s="61"/>
      <c r="H161" s="61"/>
      <c r="I161" s="61"/>
      <c r="J161" s="46"/>
      <c r="K161" s="24"/>
      <c r="L161" s="112"/>
      <c r="M161" s="112"/>
      <c r="N161" s="112"/>
      <c r="O161" s="112"/>
      <c r="P161" s="112"/>
      <c r="Q161" s="113"/>
      <c r="R161" s="114"/>
      <c r="S161" s="114"/>
      <c r="T161" s="114"/>
      <c r="U161" s="115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</row>
    <row r="162" ht="14.25" customHeight="1">
      <c r="A162" s="1"/>
      <c r="B162" s="1"/>
      <c r="C162" s="1"/>
      <c r="D162" s="24"/>
      <c r="E162" s="43"/>
      <c r="F162" s="121"/>
      <c r="G162" s="61"/>
      <c r="H162" s="61"/>
      <c r="I162" s="61"/>
      <c r="J162" s="46"/>
      <c r="K162" s="24"/>
      <c r="L162" s="112"/>
      <c r="M162" s="112"/>
      <c r="N162" s="112"/>
      <c r="O162" s="112"/>
      <c r="P162" s="112"/>
      <c r="Q162" s="113"/>
      <c r="R162" s="114"/>
      <c r="S162" s="114"/>
      <c r="T162" s="114"/>
      <c r="U162" s="115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</row>
    <row r="163" ht="14.25" customHeight="1">
      <c r="A163" s="1"/>
      <c r="B163" s="1"/>
      <c r="C163" s="1"/>
      <c r="D163" s="24"/>
      <c r="E163" s="43"/>
      <c r="F163" s="121"/>
      <c r="G163" s="61"/>
      <c r="H163" s="61"/>
      <c r="I163" s="61"/>
      <c r="J163" s="46"/>
      <c r="K163" s="24"/>
      <c r="L163" s="112"/>
      <c r="M163" s="112"/>
      <c r="N163" s="112"/>
      <c r="O163" s="112"/>
      <c r="P163" s="112"/>
      <c r="Q163" s="113"/>
      <c r="R163" s="114"/>
      <c r="S163" s="114"/>
      <c r="T163" s="114"/>
      <c r="U163" s="115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</row>
    <row r="164" ht="14.25" customHeight="1">
      <c r="A164" s="1"/>
      <c r="B164" s="1"/>
      <c r="C164" s="1"/>
      <c r="D164" s="24"/>
      <c r="E164" s="43"/>
      <c r="F164" s="121"/>
      <c r="G164" s="61"/>
      <c r="H164" s="61"/>
      <c r="I164" s="61"/>
      <c r="J164" s="46"/>
      <c r="K164" s="24"/>
      <c r="L164" s="112"/>
      <c r="M164" s="112"/>
      <c r="N164" s="112"/>
      <c r="O164" s="112"/>
      <c r="P164" s="112"/>
      <c r="Q164" s="113"/>
      <c r="R164" s="114"/>
      <c r="S164" s="114"/>
      <c r="T164" s="114"/>
      <c r="U164" s="115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</row>
    <row r="165" ht="14.25" customHeight="1">
      <c r="A165" s="1"/>
      <c r="B165" s="1"/>
      <c r="C165" s="1"/>
      <c r="D165" s="24"/>
      <c r="E165" s="43"/>
      <c r="F165" s="121"/>
      <c r="G165" s="61"/>
      <c r="H165" s="61"/>
      <c r="I165" s="61"/>
      <c r="J165" s="46"/>
      <c r="K165" s="24"/>
      <c r="L165" s="112"/>
      <c r="M165" s="112"/>
      <c r="N165" s="112"/>
      <c r="O165" s="112"/>
      <c r="P165" s="112"/>
      <c r="Q165" s="113"/>
      <c r="R165" s="114"/>
      <c r="S165" s="114"/>
      <c r="T165" s="114"/>
      <c r="U165" s="115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</row>
    <row r="166" ht="14.25" customHeight="1">
      <c r="A166" s="1"/>
      <c r="B166" s="1"/>
      <c r="C166" s="1"/>
      <c r="D166" s="24"/>
      <c r="E166" s="43"/>
      <c r="F166" s="121"/>
      <c r="G166" s="61"/>
      <c r="H166" s="61"/>
      <c r="I166" s="61"/>
      <c r="J166" s="46"/>
      <c r="K166" s="24"/>
      <c r="L166" s="112"/>
      <c r="M166" s="112"/>
      <c r="N166" s="112"/>
      <c r="O166" s="112"/>
      <c r="P166" s="112"/>
      <c r="Q166" s="113"/>
      <c r="R166" s="114"/>
      <c r="S166" s="114"/>
      <c r="T166" s="114"/>
      <c r="U166" s="115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</row>
    <row r="167" ht="14.25" customHeight="1">
      <c r="A167" s="1"/>
      <c r="B167" s="1"/>
      <c r="C167" s="1"/>
      <c r="D167" s="24"/>
      <c r="E167" s="43"/>
      <c r="F167" s="121"/>
      <c r="G167" s="61"/>
      <c r="H167" s="61"/>
      <c r="I167" s="61"/>
      <c r="J167" s="46"/>
      <c r="K167" s="24"/>
      <c r="L167" s="112"/>
      <c r="M167" s="112"/>
      <c r="N167" s="112"/>
      <c r="O167" s="112"/>
      <c r="P167" s="112"/>
      <c r="Q167" s="113"/>
      <c r="R167" s="114"/>
      <c r="S167" s="114"/>
      <c r="T167" s="114"/>
      <c r="U167" s="115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</row>
    <row r="168" ht="14.25" customHeight="1">
      <c r="A168" s="1"/>
      <c r="B168" s="1"/>
      <c r="C168" s="1"/>
      <c r="D168" s="24"/>
      <c r="E168" s="43"/>
      <c r="F168" s="121"/>
      <c r="G168" s="61"/>
      <c r="H168" s="61"/>
      <c r="I168" s="61"/>
      <c r="J168" s="46"/>
      <c r="K168" s="24"/>
      <c r="L168" s="112"/>
      <c r="M168" s="112"/>
      <c r="N168" s="112"/>
      <c r="O168" s="112"/>
      <c r="P168" s="112"/>
      <c r="Q168" s="113"/>
      <c r="R168" s="114"/>
      <c r="S168" s="114"/>
      <c r="T168" s="114"/>
      <c r="U168" s="115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</row>
    <row r="169" ht="14.25" customHeight="1">
      <c r="A169" s="1"/>
      <c r="B169" s="1"/>
      <c r="C169" s="1"/>
      <c r="D169" s="24"/>
      <c r="E169" s="43"/>
      <c r="F169" s="121"/>
      <c r="G169" s="61"/>
      <c r="H169" s="61"/>
      <c r="I169" s="61"/>
      <c r="J169" s="46"/>
      <c r="K169" s="24"/>
      <c r="L169" s="112"/>
      <c r="M169" s="112"/>
      <c r="N169" s="112"/>
      <c r="O169" s="112"/>
      <c r="P169" s="112"/>
      <c r="Q169" s="113"/>
      <c r="R169" s="114"/>
      <c r="S169" s="114"/>
      <c r="T169" s="114"/>
      <c r="U169" s="115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</row>
    <row r="170" ht="14.25" customHeight="1">
      <c r="A170" s="1"/>
      <c r="B170" s="1"/>
      <c r="C170" s="1"/>
      <c r="D170" s="24"/>
      <c r="E170" s="43"/>
      <c r="F170" s="121"/>
      <c r="G170" s="61"/>
      <c r="H170" s="61"/>
      <c r="I170" s="61"/>
      <c r="J170" s="46"/>
      <c r="K170" s="24"/>
      <c r="L170" s="112"/>
      <c r="M170" s="112"/>
      <c r="N170" s="112"/>
      <c r="O170" s="112"/>
      <c r="P170" s="112"/>
      <c r="Q170" s="113"/>
      <c r="R170" s="114"/>
      <c r="S170" s="114"/>
      <c r="T170" s="114"/>
      <c r="U170" s="115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</row>
    <row r="171" ht="14.25" customHeight="1">
      <c r="A171" s="1"/>
      <c r="B171" s="1"/>
      <c r="C171" s="1"/>
      <c r="D171" s="24"/>
      <c r="E171" s="43"/>
      <c r="F171" s="121"/>
      <c r="G171" s="61"/>
      <c r="H171" s="61"/>
      <c r="I171" s="61"/>
      <c r="J171" s="46"/>
      <c r="K171" s="24"/>
      <c r="L171" s="112"/>
      <c r="M171" s="112"/>
      <c r="N171" s="112"/>
      <c r="O171" s="112"/>
      <c r="P171" s="112"/>
      <c r="Q171" s="113"/>
      <c r="R171" s="114"/>
      <c r="S171" s="114"/>
      <c r="T171" s="114"/>
      <c r="U171" s="115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</row>
    <row r="172" ht="14.25" customHeight="1">
      <c r="A172" s="1"/>
      <c r="B172" s="1"/>
      <c r="C172" s="1"/>
      <c r="D172" s="24"/>
      <c r="E172" s="43"/>
      <c r="F172" s="121"/>
      <c r="G172" s="61"/>
      <c r="H172" s="61"/>
      <c r="I172" s="61"/>
      <c r="J172" s="46"/>
      <c r="K172" s="24"/>
      <c r="L172" s="112"/>
      <c r="M172" s="112"/>
      <c r="N172" s="112"/>
      <c r="O172" s="112"/>
      <c r="P172" s="112"/>
      <c r="Q172" s="113"/>
      <c r="R172" s="114"/>
      <c r="S172" s="114"/>
      <c r="T172" s="114"/>
      <c r="U172" s="115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</row>
    <row r="173" ht="14.25" customHeight="1">
      <c r="A173" s="1"/>
      <c r="B173" s="1"/>
      <c r="C173" s="1"/>
      <c r="D173" s="24"/>
      <c r="E173" s="43"/>
      <c r="F173" s="121"/>
      <c r="G173" s="61"/>
      <c r="H173" s="61"/>
      <c r="I173" s="61"/>
      <c r="J173" s="46"/>
      <c r="K173" s="24"/>
      <c r="L173" s="112"/>
      <c r="M173" s="112"/>
      <c r="N173" s="112"/>
      <c r="O173" s="112"/>
      <c r="P173" s="112"/>
      <c r="Q173" s="113"/>
      <c r="R173" s="114"/>
      <c r="S173" s="114"/>
      <c r="T173" s="114"/>
      <c r="U173" s="115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</row>
    <row r="174" ht="14.25" customHeight="1">
      <c r="A174" s="1"/>
      <c r="B174" s="1"/>
      <c r="C174" s="1"/>
      <c r="D174" s="24"/>
      <c r="E174" s="43"/>
      <c r="F174" s="121"/>
      <c r="G174" s="61"/>
      <c r="H174" s="61"/>
      <c r="I174" s="61"/>
      <c r="J174" s="130" t="s">
        <v>357</v>
      </c>
      <c r="K174" s="24"/>
      <c r="L174" s="112"/>
      <c r="M174" s="112"/>
      <c r="N174" s="112"/>
      <c r="O174" s="112"/>
      <c r="P174" s="112"/>
      <c r="Q174" s="113"/>
      <c r="R174" s="114"/>
      <c r="S174" s="114"/>
      <c r="T174" s="114"/>
      <c r="U174" s="115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</row>
    <row r="175" ht="14.25" customHeight="1">
      <c r="A175" s="1"/>
      <c r="B175" s="1"/>
      <c r="C175" s="1"/>
      <c r="D175" s="24"/>
      <c r="E175" s="43"/>
      <c r="F175" s="121"/>
      <c r="G175" s="54">
        <v>50.0</v>
      </c>
      <c r="H175" s="61"/>
      <c r="I175" s="61"/>
      <c r="J175" s="46"/>
      <c r="K175" s="24"/>
      <c r="L175" s="112"/>
      <c r="M175" s="112"/>
      <c r="N175" s="112"/>
      <c r="O175" s="112"/>
      <c r="P175" s="112"/>
      <c r="Q175" s="113"/>
      <c r="R175" s="114"/>
      <c r="S175" s="114"/>
      <c r="T175" s="114"/>
      <c r="U175" s="115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</row>
    <row r="176" ht="14.25" customHeight="1">
      <c r="A176" s="1"/>
      <c r="B176" s="1"/>
      <c r="C176" s="1"/>
      <c r="D176" s="24"/>
      <c r="E176" s="43"/>
      <c r="F176" s="121"/>
      <c r="G176" s="61"/>
      <c r="H176" s="157">
        <v>830.0</v>
      </c>
      <c r="I176" s="259"/>
      <c r="J176" s="145" t="s">
        <v>358</v>
      </c>
      <c r="K176" s="24"/>
      <c r="L176" s="112"/>
      <c r="M176" s="112"/>
      <c r="N176" s="112"/>
      <c r="O176" s="112"/>
      <c r="P176" s="112"/>
      <c r="Q176" s="113"/>
      <c r="R176" s="114"/>
      <c r="S176" s="114"/>
      <c r="T176" s="300"/>
      <c r="U176" s="115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</row>
    <row r="177" ht="14.25" customHeight="1">
      <c r="A177" s="1"/>
      <c r="B177" s="1"/>
      <c r="C177" s="1"/>
      <c r="D177" s="1"/>
      <c r="E177" s="122"/>
      <c r="F177" s="123">
        <f t="shared" ref="F177:I177" si="4">SUM(F10:F176)</f>
        <v>47104</v>
      </c>
      <c r="G177" s="123">
        <f t="shared" si="4"/>
        <v>16680</v>
      </c>
      <c r="H177" s="123">
        <f t="shared" si="4"/>
        <v>29387</v>
      </c>
      <c r="I177" s="123">
        <f t="shared" si="4"/>
        <v>1915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18"/>
      <c r="C178" s="118"/>
      <c r="D178" s="1"/>
      <c r="E178" s="124"/>
      <c r="F178" s="124"/>
      <c r="G178" s="124"/>
      <c r="H178" s="124"/>
      <c r="I178" s="12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18"/>
      <c r="C179" s="1"/>
      <c r="D179" s="1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26"/>
      <c r="H190" s="12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41380.0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30728.0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52851.0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F160-C15</f>
        <v>61827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G160-W33</f>
        <v>27275</v>
      </c>
      <c r="D10" s="24"/>
      <c r="E10" s="43">
        <v>1.0</v>
      </c>
      <c r="F10" s="44">
        <v>110.0</v>
      </c>
      <c r="G10" s="45"/>
      <c r="H10" s="298">
        <v>110.0</v>
      </c>
      <c r="I10" s="45"/>
      <c r="J10" s="130">
        <v>5490.0</v>
      </c>
      <c r="K10" s="24"/>
      <c r="L10" s="47"/>
      <c r="M10" s="196">
        <v>1915.0</v>
      </c>
      <c r="N10" s="47">
        <v>5438.0</v>
      </c>
      <c r="O10" s="49"/>
      <c r="P10" s="85" t="s">
        <v>141</v>
      </c>
      <c r="Q10" s="51"/>
      <c r="R10" s="52">
        <v>955.0</v>
      </c>
      <c r="S10" s="53"/>
      <c r="T10" s="54"/>
      <c r="U10" s="55"/>
      <c r="V10" s="24"/>
      <c r="W10" s="47">
        <v>513.0</v>
      </c>
      <c r="X10" s="47"/>
      <c r="Y10" s="47">
        <v>51.0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H160-X33</f>
        <v>30650</v>
      </c>
      <c r="D11" s="24"/>
      <c r="E11" s="43">
        <v>2.0</v>
      </c>
      <c r="F11" s="56">
        <v>74.0</v>
      </c>
      <c r="G11" s="57"/>
      <c r="H11" s="188">
        <v>74.0</v>
      </c>
      <c r="I11" s="59"/>
      <c r="J11" s="130">
        <v>5491.0</v>
      </c>
      <c r="K11" s="24"/>
      <c r="L11" s="48"/>
      <c r="M11" s="48"/>
      <c r="N11" s="48"/>
      <c r="O11" s="49"/>
      <c r="P11" s="72" t="s">
        <v>141</v>
      </c>
      <c r="Q11" s="51"/>
      <c r="R11" s="52">
        <v>2614.0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I160</f>
        <v>3902</v>
      </c>
      <c r="D12" s="24"/>
      <c r="E12" s="43">
        <v>3.0</v>
      </c>
      <c r="F12" s="63">
        <v>720.0</v>
      </c>
      <c r="G12" s="64">
        <v>720.0</v>
      </c>
      <c r="H12" s="64"/>
      <c r="I12" s="65"/>
      <c r="J12" s="130">
        <v>5492.0</v>
      </c>
      <c r="K12" s="24"/>
      <c r="L12" s="48"/>
      <c r="M12" s="48"/>
      <c r="N12" s="48"/>
      <c r="O12" s="49"/>
      <c r="P12" s="72" t="s">
        <v>165</v>
      </c>
      <c r="Q12" s="51"/>
      <c r="R12" s="52">
        <v>229.0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10.0</v>
      </c>
      <c r="G13" s="64"/>
      <c r="H13" s="189">
        <v>10.0</v>
      </c>
      <c r="I13" s="65"/>
      <c r="J13" s="130">
        <v>5493.0</v>
      </c>
      <c r="K13" s="24"/>
      <c r="L13" s="48"/>
      <c r="M13" s="48"/>
      <c r="N13" s="48"/>
      <c r="O13" s="49"/>
      <c r="P13" s="72" t="s">
        <v>359</v>
      </c>
      <c r="Q13" s="51"/>
      <c r="R13" s="52">
        <v>254.0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1915</v>
      </c>
      <c r="D14" s="24"/>
      <c r="E14" s="43">
        <v>5.0</v>
      </c>
      <c r="F14" s="56">
        <v>2126.0</v>
      </c>
      <c r="G14" s="64"/>
      <c r="H14" s="65"/>
      <c r="I14" s="64">
        <v>2126.0</v>
      </c>
      <c r="J14" s="130" t="s">
        <v>360</v>
      </c>
      <c r="K14" s="24"/>
      <c r="L14" s="48"/>
      <c r="M14" s="48"/>
      <c r="N14" s="48"/>
      <c r="O14" s="49"/>
      <c r="P14" s="72" t="s">
        <v>361</v>
      </c>
      <c r="Q14" s="51"/>
      <c r="R14" s="52">
        <v>3600.0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513</v>
      </c>
      <c r="D15" s="24"/>
      <c r="E15" s="43">
        <v>6.0</v>
      </c>
      <c r="F15" s="56">
        <v>20.0</v>
      </c>
      <c r="G15" s="64">
        <v>20.0</v>
      </c>
      <c r="H15" s="64"/>
      <c r="I15" s="65"/>
      <c r="J15" s="130">
        <v>5495.0</v>
      </c>
      <c r="K15" s="24"/>
      <c r="L15" s="48"/>
      <c r="M15" s="48"/>
      <c r="N15" s="48"/>
      <c r="O15" s="49"/>
      <c r="P15" s="72" t="s">
        <v>362</v>
      </c>
      <c r="Q15" s="51"/>
      <c r="R15" s="52">
        <v>80.0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7732</v>
      </c>
      <c r="D16" s="24"/>
      <c r="E16" s="43">
        <v>7.0</v>
      </c>
      <c r="F16" s="56">
        <v>378.0</v>
      </c>
      <c r="G16" s="64"/>
      <c r="H16" s="189">
        <v>378.0</v>
      </c>
      <c r="I16" s="65"/>
      <c r="J16" s="130">
        <v>5496.0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7732</v>
      </c>
      <c r="D17" s="24"/>
      <c r="E17" s="43">
        <v>8.0</v>
      </c>
      <c r="F17" s="56">
        <v>1097.0</v>
      </c>
      <c r="G17" s="64">
        <v>1097.0</v>
      </c>
      <c r="H17" s="64"/>
      <c r="I17" s="65"/>
      <c r="J17" s="130">
        <v>5497.0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254">
        <v>9.0</v>
      </c>
      <c r="F18" s="216">
        <v>755.0</v>
      </c>
      <c r="G18" s="182"/>
      <c r="H18" s="182">
        <v>755.0</v>
      </c>
      <c r="I18" s="169"/>
      <c r="J18" s="155" t="s">
        <v>363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463.0</v>
      </c>
      <c r="G19" s="64">
        <v>463.0</v>
      </c>
      <c r="H19" s="65"/>
      <c r="I19" s="65"/>
      <c r="J19" s="130">
        <v>5499.0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54838</v>
      </c>
      <c r="D20" s="24"/>
      <c r="E20" s="43">
        <v>11.0</v>
      </c>
      <c r="F20" s="56">
        <v>739.0</v>
      </c>
      <c r="G20" s="64">
        <v>739.0</v>
      </c>
      <c r="H20" s="64"/>
      <c r="I20" s="65"/>
      <c r="J20" s="130">
        <v>5500.0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32565</v>
      </c>
      <c r="D21" s="24"/>
      <c r="E21" s="43">
        <v>12.0</v>
      </c>
      <c r="F21" s="56">
        <v>1003.0</v>
      </c>
      <c r="G21" s="64">
        <v>989.0</v>
      </c>
      <c r="H21" s="189">
        <v>14.0</v>
      </c>
      <c r="I21" s="65"/>
      <c r="J21" s="130">
        <v>5501.0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60923</v>
      </c>
      <c r="D22" s="24"/>
      <c r="E22" s="43">
        <v>13.0</v>
      </c>
      <c r="F22" s="56">
        <v>740.0</v>
      </c>
      <c r="G22" s="64"/>
      <c r="H22" s="189">
        <v>740.0</v>
      </c>
      <c r="I22" s="65"/>
      <c r="J22" s="130">
        <v>5502.0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60923.0</v>
      </c>
      <c r="D23" s="24"/>
      <c r="E23" s="43">
        <v>14.0</v>
      </c>
      <c r="F23" s="56">
        <v>145.0</v>
      </c>
      <c r="G23" s="64">
        <v>145.0</v>
      </c>
      <c r="H23" s="65"/>
      <c r="I23" s="65"/>
      <c r="J23" s="130">
        <v>5503.0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2833.0</v>
      </c>
      <c r="G24" s="64">
        <v>2833.0</v>
      </c>
      <c r="H24" s="65"/>
      <c r="I24" s="65"/>
      <c r="J24" s="130">
        <v>5504.0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157.0</v>
      </c>
      <c r="G25" s="64">
        <v>157.0</v>
      </c>
      <c r="H25" s="65"/>
      <c r="I25" s="65"/>
      <c r="J25" s="130">
        <v>5505.0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F160</f>
        <v>62340</v>
      </c>
      <c r="D26" s="24"/>
      <c r="E26" s="43">
        <v>17.0</v>
      </c>
      <c r="F26" s="56">
        <v>106.0</v>
      </c>
      <c r="G26" s="64">
        <v>106.0</v>
      </c>
      <c r="H26" s="64"/>
      <c r="I26" s="65"/>
      <c r="J26" s="130">
        <v>5506.0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121.0</v>
      </c>
      <c r="D27" s="24"/>
      <c r="E27" s="43">
        <v>18.0</v>
      </c>
      <c r="F27" s="56">
        <v>56.0</v>
      </c>
      <c r="G27" s="64">
        <v>56.0</v>
      </c>
      <c r="H27" s="65"/>
      <c r="I27" s="64"/>
      <c r="J27" s="130">
        <v>5507.0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515.2066116</v>
      </c>
      <c r="D28" s="24"/>
      <c r="E28" s="43">
        <v>19.0</v>
      </c>
      <c r="F28" s="56">
        <v>106.0</v>
      </c>
      <c r="G28" s="64"/>
      <c r="H28" s="150">
        <v>106.0</v>
      </c>
      <c r="I28" s="65"/>
      <c r="J28" s="130">
        <v>5508.0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1342.0</v>
      </c>
      <c r="G29" s="64">
        <v>1342.0</v>
      </c>
      <c r="H29" s="65"/>
      <c r="I29" s="65"/>
      <c r="J29" s="130">
        <v>5509.0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195.0</v>
      </c>
      <c r="G30" s="92"/>
      <c r="H30" s="190">
        <v>195.0</v>
      </c>
      <c r="I30" s="93"/>
      <c r="J30" s="130">
        <v>5510.0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30728</v>
      </c>
      <c r="D31" s="24"/>
      <c r="E31" s="43">
        <v>22.0</v>
      </c>
      <c r="F31" s="56">
        <v>347.0</v>
      </c>
      <c r="G31" s="93">
        <v>347.0</v>
      </c>
      <c r="H31" s="92"/>
      <c r="I31" s="92"/>
      <c r="J31" s="130">
        <v>5511.0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7732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219.0</v>
      </c>
      <c r="G32" s="93"/>
      <c r="H32" s="190">
        <v>219.0</v>
      </c>
      <c r="I32" s="92"/>
      <c r="J32" s="130">
        <v>5512.0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2939.0</v>
      </c>
      <c r="G33" s="93"/>
      <c r="H33" s="190">
        <v>2939.0</v>
      </c>
      <c r="I33" s="92"/>
      <c r="J33" s="130">
        <v>5513.0</v>
      </c>
      <c r="K33" s="24"/>
      <c r="L33" s="104">
        <f t="shared" ref="L33:M33" si="2">sum(L10:L32)</f>
        <v>0</v>
      </c>
      <c r="M33" s="104">
        <f t="shared" si="2"/>
        <v>1915</v>
      </c>
      <c r="N33" s="104"/>
      <c r="O33" s="105"/>
      <c r="P33" s="85" t="s">
        <v>38</v>
      </c>
      <c r="Q33" s="51"/>
      <c r="R33" s="100"/>
      <c r="S33" s="52">
        <v>30728.0</v>
      </c>
      <c r="T33" s="101"/>
      <c r="U33" s="55"/>
      <c r="V33" s="24"/>
      <c r="W33" s="104">
        <f t="shared" ref="W33:X33" si="3">sum(W10:W32)</f>
        <v>513</v>
      </c>
      <c r="X33" s="104">
        <f t="shared" si="3"/>
        <v>0</v>
      </c>
      <c r="Y33" s="104">
        <f>W33+X33</f>
        <v>513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125.0</v>
      </c>
      <c r="G34" s="93"/>
      <c r="H34" s="190">
        <v>125.0</v>
      </c>
      <c r="I34" s="92"/>
      <c r="J34" s="130">
        <v>5514.0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99.0</v>
      </c>
      <c r="G35" s="93">
        <v>99.0</v>
      </c>
      <c r="H35" s="93"/>
      <c r="I35" s="92"/>
      <c r="J35" s="130">
        <v>5515.0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3358.0</v>
      </c>
      <c r="G36" s="93">
        <v>2250.0</v>
      </c>
      <c r="H36" s="190">
        <v>1108.0</v>
      </c>
      <c r="I36" s="93"/>
      <c r="J36" s="130">
        <v>5516.0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2700.0</v>
      </c>
      <c r="G37" s="93"/>
      <c r="H37" s="190">
        <v>2700.0</v>
      </c>
      <c r="I37" s="92"/>
      <c r="J37" s="130">
        <v>5517.0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31.0</v>
      </c>
      <c r="G38" s="93">
        <v>31.0</v>
      </c>
      <c r="H38" s="92"/>
      <c r="I38" s="92"/>
      <c r="J38" s="130">
        <v>5518.0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23.0</v>
      </c>
      <c r="G39" s="93">
        <v>20.0</v>
      </c>
      <c r="H39" s="190">
        <v>3.0</v>
      </c>
      <c r="I39" s="92"/>
      <c r="J39" s="130">
        <v>5519.0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172.0</v>
      </c>
      <c r="G40" s="93">
        <v>172.0</v>
      </c>
      <c r="H40" s="93"/>
      <c r="I40" s="92"/>
      <c r="J40" s="130">
        <v>5520.0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694.0</v>
      </c>
      <c r="G41" s="93"/>
      <c r="H41" s="157">
        <v>694.0</v>
      </c>
      <c r="I41" s="92"/>
      <c r="J41" s="130">
        <v>5521.0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777.0</v>
      </c>
      <c r="G42" s="93"/>
      <c r="H42" s="190">
        <v>777.0</v>
      </c>
      <c r="I42" s="92"/>
      <c r="J42" s="130">
        <v>5522.0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79.0</v>
      </c>
      <c r="G43" s="93"/>
      <c r="H43" s="190">
        <v>79.0</v>
      </c>
      <c r="I43" s="92"/>
      <c r="J43" s="130">
        <v>5523.0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2680.0</v>
      </c>
      <c r="G44" s="92"/>
      <c r="H44" s="190">
        <v>2680.0</v>
      </c>
      <c r="I44" s="92"/>
      <c r="J44" s="130">
        <v>5524.0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96.0</v>
      </c>
      <c r="G45" s="93">
        <v>96.0</v>
      </c>
      <c r="H45" s="92"/>
      <c r="I45" s="92"/>
      <c r="J45" s="130">
        <v>5525.0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2952.0</v>
      </c>
      <c r="G46" s="93">
        <v>2952.0</v>
      </c>
      <c r="H46" s="92"/>
      <c r="I46" s="93"/>
      <c r="J46" s="130">
        <v>5526.0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379.0</v>
      </c>
      <c r="G47" s="93">
        <v>379.0</v>
      </c>
      <c r="H47" s="93"/>
      <c r="I47" s="92"/>
      <c r="J47" s="130">
        <v>5527.0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220.0</v>
      </c>
      <c r="G48" s="93">
        <v>220.0</v>
      </c>
      <c r="H48" s="92"/>
      <c r="I48" s="92"/>
      <c r="J48" s="130">
        <v>5528.0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149.0</v>
      </c>
      <c r="G49" s="93">
        <v>149.0</v>
      </c>
      <c r="H49" s="92"/>
      <c r="I49" s="92"/>
      <c r="J49" s="130">
        <v>5529.0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711.0</v>
      </c>
      <c r="G50" s="92"/>
      <c r="H50" s="190">
        <v>711.0</v>
      </c>
      <c r="I50" s="92"/>
      <c r="J50" s="130">
        <v>5530.0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490.0</v>
      </c>
      <c r="G51" s="93">
        <v>490.0</v>
      </c>
      <c r="H51" s="92"/>
      <c r="I51" s="92"/>
      <c r="J51" s="130">
        <v>5531.0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1050.0</v>
      </c>
      <c r="G52" s="93">
        <v>1050.0</v>
      </c>
      <c r="H52" s="92"/>
      <c r="I52" s="92"/>
      <c r="J52" s="130">
        <v>5532.0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112.0</v>
      </c>
      <c r="G53" s="93">
        <v>44.0</v>
      </c>
      <c r="H53" s="190">
        <v>68.0</v>
      </c>
      <c r="I53" s="92"/>
      <c r="J53" s="130">
        <v>5533.0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70.0</v>
      </c>
      <c r="G54" s="93">
        <v>70.0</v>
      </c>
      <c r="H54" s="93"/>
      <c r="I54" s="92"/>
      <c r="J54" s="130">
        <v>5534.0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468.0</v>
      </c>
      <c r="G55" s="93">
        <v>468.0</v>
      </c>
      <c r="H55" s="92"/>
      <c r="I55" s="92"/>
      <c r="J55" s="130">
        <v>5535.0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254">
        <v>47.0</v>
      </c>
      <c r="F56" s="216">
        <v>876.0</v>
      </c>
      <c r="G56" s="136"/>
      <c r="H56" s="136">
        <v>876.0</v>
      </c>
      <c r="I56" s="173"/>
      <c r="J56" s="155" t="s">
        <v>364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223.0</v>
      </c>
      <c r="G57" s="93">
        <v>223.0</v>
      </c>
      <c r="H57" s="92"/>
      <c r="I57" s="92"/>
      <c r="J57" s="130">
        <v>5537.0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120.0</v>
      </c>
      <c r="G58" s="93">
        <v>120.0</v>
      </c>
      <c r="H58" s="92"/>
      <c r="I58" s="92"/>
      <c r="J58" s="130">
        <v>5538.0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120.0</v>
      </c>
      <c r="G59" s="92"/>
      <c r="H59" s="190">
        <v>120.0</v>
      </c>
      <c r="I59" s="92"/>
      <c r="J59" s="130">
        <v>5539.0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202.0</v>
      </c>
      <c r="G60" s="93">
        <v>202.0</v>
      </c>
      <c r="H60" s="92"/>
      <c r="I60" s="92"/>
      <c r="J60" s="130">
        <v>5540.0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254.0</v>
      </c>
      <c r="G61" s="92"/>
      <c r="H61" s="190">
        <v>254.0</v>
      </c>
      <c r="I61" s="92"/>
      <c r="J61" s="130">
        <v>5541.0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135.0</v>
      </c>
      <c r="G62" s="92"/>
      <c r="H62" s="92"/>
      <c r="I62" s="93">
        <v>135.0</v>
      </c>
      <c r="J62" s="130" t="s">
        <v>365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120.0</v>
      </c>
      <c r="G63" s="93">
        <v>120.0</v>
      </c>
      <c r="H63" s="92"/>
      <c r="I63" s="92"/>
      <c r="J63" s="130">
        <v>5543.0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773.0</v>
      </c>
      <c r="G64" s="93">
        <v>320.0</v>
      </c>
      <c r="H64" s="190">
        <v>453.0</v>
      </c>
      <c r="I64" s="92"/>
      <c r="J64" s="130">
        <v>5544.0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130.0</v>
      </c>
      <c r="G65" s="93">
        <v>130.0</v>
      </c>
      <c r="H65" s="92"/>
      <c r="I65" s="92"/>
      <c r="J65" s="130">
        <v>5545.0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368.0</v>
      </c>
      <c r="G66" s="93">
        <v>350.0</v>
      </c>
      <c r="H66" s="190">
        <v>18.0</v>
      </c>
      <c r="I66" s="92"/>
      <c r="J66" s="130">
        <v>5546.0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1333.0</v>
      </c>
      <c r="G67" s="92"/>
      <c r="H67" s="190">
        <v>1333.0</v>
      </c>
      <c r="I67" s="92"/>
      <c r="J67" s="130">
        <v>5547.0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218.0</v>
      </c>
      <c r="G68" s="92"/>
      <c r="H68" s="190">
        <v>218.0</v>
      </c>
      <c r="I68" s="92"/>
      <c r="J68" s="130">
        <v>5548.0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2.0</v>
      </c>
      <c r="G69" s="93">
        <v>2.0</v>
      </c>
      <c r="H69" s="92"/>
      <c r="I69" s="92"/>
      <c r="J69" s="130">
        <v>5549.0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46.0</v>
      </c>
      <c r="G70" s="93">
        <v>46.0</v>
      </c>
      <c r="H70" s="93"/>
      <c r="I70" s="92"/>
      <c r="J70" s="130">
        <v>5550.0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47.0</v>
      </c>
      <c r="G71" s="92"/>
      <c r="H71" s="190">
        <v>47.0</v>
      </c>
      <c r="I71" s="92"/>
      <c r="J71" s="130">
        <v>5551.0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240.0</v>
      </c>
      <c r="G72" s="93">
        <v>240.0</v>
      </c>
      <c r="H72" s="92"/>
      <c r="I72" s="92"/>
      <c r="J72" s="130">
        <v>5552.0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614.0</v>
      </c>
      <c r="G73" s="92"/>
      <c r="H73" s="190">
        <v>614.0</v>
      </c>
      <c r="I73" s="92"/>
      <c r="J73" s="130">
        <v>5553.0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284.0</v>
      </c>
      <c r="G74" s="92"/>
      <c r="H74" s="190">
        <v>284.0</v>
      </c>
      <c r="I74" s="92"/>
      <c r="J74" s="130">
        <v>5554.0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135.0</v>
      </c>
      <c r="G75" s="92"/>
      <c r="H75" s="190">
        <v>135.0</v>
      </c>
      <c r="I75" s="92"/>
      <c r="J75" s="130">
        <v>5555.0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773.0</v>
      </c>
      <c r="G76" s="92"/>
      <c r="H76" s="190">
        <v>773.0</v>
      </c>
      <c r="I76" s="92"/>
      <c r="J76" s="130">
        <v>5556.0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399.0</v>
      </c>
      <c r="G77" s="93">
        <v>399.0</v>
      </c>
      <c r="H77" s="92"/>
      <c r="I77" s="92"/>
      <c r="J77" s="130">
        <v>5557.0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160.0</v>
      </c>
      <c r="G78" s="93">
        <v>160.0</v>
      </c>
      <c r="H78" s="92"/>
      <c r="I78" s="92"/>
      <c r="J78" s="130">
        <v>5558.0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99.0</v>
      </c>
      <c r="G79" s="92"/>
      <c r="H79" s="190">
        <v>99.0</v>
      </c>
      <c r="I79" s="92"/>
      <c r="J79" s="130">
        <v>5559.0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10.0</v>
      </c>
      <c r="G80" s="92"/>
      <c r="H80" s="190">
        <v>10.0</v>
      </c>
      <c r="I80" s="92"/>
      <c r="J80" s="130">
        <v>5560.0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145.0</v>
      </c>
      <c r="G81" s="93">
        <v>145.0</v>
      </c>
      <c r="H81" s="92"/>
      <c r="I81" s="92"/>
      <c r="J81" s="130">
        <v>5561.0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1245.0</v>
      </c>
      <c r="G82" s="61"/>
      <c r="H82" s="190">
        <v>1245.0</v>
      </c>
      <c r="I82" s="61"/>
      <c r="J82" s="130">
        <v>5562.0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370.0</v>
      </c>
      <c r="G83" s="61"/>
      <c r="H83" s="190">
        <v>370.0</v>
      </c>
      <c r="I83" s="61"/>
      <c r="J83" s="130">
        <v>5563.0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85.0</v>
      </c>
      <c r="G84" s="61"/>
      <c r="H84" s="190">
        <v>85.0</v>
      </c>
      <c r="I84" s="61"/>
      <c r="J84" s="130">
        <v>5564.0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135.0</v>
      </c>
      <c r="G85" s="54">
        <v>135.0</v>
      </c>
      <c r="H85" s="61"/>
      <c r="I85" s="61"/>
      <c r="J85" s="130">
        <v>5565.0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445.0</v>
      </c>
      <c r="G86" s="61"/>
      <c r="H86" s="190">
        <v>445.0</v>
      </c>
      <c r="I86" s="61"/>
      <c r="J86" s="130">
        <v>5566.0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386.0</v>
      </c>
      <c r="G87" s="61"/>
      <c r="H87" s="190">
        <v>386.0</v>
      </c>
      <c r="I87" s="61"/>
      <c r="J87" s="130">
        <v>5567.0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417.0</v>
      </c>
      <c r="G88" s="54">
        <v>210.0</v>
      </c>
      <c r="H88" s="190">
        <v>207.0</v>
      </c>
      <c r="I88" s="61"/>
      <c r="J88" s="130">
        <v>5568.0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100.0</v>
      </c>
      <c r="G89" s="54">
        <v>100.0</v>
      </c>
      <c r="H89" s="61"/>
      <c r="I89" s="61"/>
      <c r="J89" s="130">
        <v>5569.0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444.0</v>
      </c>
      <c r="G90" s="54">
        <v>444.0</v>
      </c>
      <c r="H90" s="61"/>
      <c r="I90" s="61"/>
      <c r="J90" s="130">
        <v>5570.0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10.0</v>
      </c>
      <c r="G91" s="61"/>
      <c r="H91" s="190">
        <v>10.0</v>
      </c>
      <c r="I91" s="61"/>
      <c r="J91" s="130">
        <v>5571.0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2730.0</v>
      </c>
      <c r="G92" s="61"/>
      <c r="H92" s="190">
        <v>2730.0</v>
      </c>
      <c r="I92" s="61"/>
      <c r="J92" s="130">
        <v>5572.0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42.0</v>
      </c>
      <c r="G93" s="54">
        <v>42.0</v>
      </c>
      <c r="H93" s="61"/>
      <c r="I93" s="61"/>
      <c r="J93" s="130">
        <v>5573.0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3265.0</v>
      </c>
      <c r="G94" s="54">
        <v>3265.0</v>
      </c>
      <c r="H94" s="61"/>
      <c r="I94" s="61"/>
      <c r="J94" s="130">
        <v>5574.0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45.0</v>
      </c>
      <c r="G95" s="54"/>
      <c r="H95" s="190">
        <v>45.0</v>
      </c>
      <c r="I95" s="61"/>
      <c r="J95" s="130">
        <v>5575.0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258.0</v>
      </c>
      <c r="G96" s="61"/>
      <c r="H96" s="190">
        <v>258.0</v>
      </c>
      <c r="I96" s="61"/>
      <c r="J96" s="130">
        <v>5576.0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54.0</v>
      </c>
      <c r="G97" s="61"/>
      <c r="H97" s="190">
        <v>54.0</v>
      </c>
      <c r="I97" s="61"/>
      <c r="J97" s="130">
        <v>5577.0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150.0</v>
      </c>
      <c r="G98" s="54">
        <v>150.0</v>
      </c>
      <c r="H98" s="61"/>
      <c r="I98" s="61"/>
      <c r="J98" s="130">
        <v>5578.0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130.0</v>
      </c>
      <c r="G99" s="54">
        <v>130.0</v>
      </c>
      <c r="H99" s="61"/>
      <c r="I99" s="61"/>
      <c r="J99" s="130">
        <v>5579.0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144.0</v>
      </c>
      <c r="G100" s="61"/>
      <c r="H100" s="190">
        <v>144.0</v>
      </c>
      <c r="I100" s="61"/>
      <c r="J100" s="130">
        <v>5580.0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289.0</v>
      </c>
      <c r="G101" s="54">
        <v>289.0</v>
      </c>
      <c r="H101" s="61"/>
      <c r="I101" s="61"/>
      <c r="J101" s="130">
        <v>5581.0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149.0</v>
      </c>
      <c r="G102" s="54">
        <v>149.0</v>
      </c>
      <c r="H102" s="61"/>
      <c r="I102" s="61"/>
      <c r="J102" s="130">
        <v>5582.0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1400.0</v>
      </c>
      <c r="G103" s="61"/>
      <c r="H103" s="190">
        <v>1400.0</v>
      </c>
      <c r="I103" s="61"/>
      <c r="J103" s="130">
        <v>5583.0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1197.0</v>
      </c>
      <c r="G104" s="54">
        <v>399.0</v>
      </c>
      <c r="H104" s="190">
        <v>798.0</v>
      </c>
      <c r="I104" s="61"/>
      <c r="J104" s="130">
        <v>5584.0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80.0</v>
      </c>
      <c r="G105" s="54">
        <v>80.0</v>
      </c>
      <c r="H105" s="61"/>
      <c r="I105" s="61"/>
      <c r="J105" s="130">
        <v>5585.0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40.0</v>
      </c>
      <c r="G106" s="61"/>
      <c r="H106" s="190">
        <v>40.0</v>
      </c>
      <c r="I106" s="61"/>
      <c r="J106" s="130">
        <v>5586.0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164.0</v>
      </c>
      <c r="G107" s="61"/>
      <c r="H107" s="190">
        <v>164.0</v>
      </c>
      <c r="I107" s="61"/>
      <c r="J107" s="130">
        <v>5587.0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1012.0</v>
      </c>
      <c r="G108" s="54">
        <v>513.0</v>
      </c>
      <c r="H108" s="190">
        <v>499.0</v>
      </c>
      <c r="I108" s="61"/>
      <c r="J108" s="130">
        <v>5588.0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324.0</v>
      </c>
      <c r="G109" s="54">
        <v>324.0</v>
      </c>
      <c r="H109" s="61"/>
      <c r="I109" s="61"/>
      <c r="J109" s="130">
        <v>5589.0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14.0</v>
      </c>
      <c r="G110" s="61"/>
      <c r="H110" s="190">
        <v>14.0</v>
      </c>
      <c r="I110" s="61"/>
      <c r="J110" s="130">
        <v>5590.0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342.0</v>
      </c>
      <c r="G111" s="54">
        <v>342.0</v>
      </c>
      <c r="H111" s="61"/>
      <c r="I111" s="61"/>
      <c r="J111" s="130">
        <v>5591.0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55.0</v>
      </c>
      <c r="G112" s="54">
        <v>55.0</v>
      </c>
      <c r="H112" s="61"/>
      <c r="I112" s="61"/>
      <c r="J112" s="130">
        <v>5592.0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96.0</v>
      </c>
      <c r="G113" s="61"/>
      <c r="H113" s="190">
        <v>96.0</v>
      </c>
      <c r="I113" s="61"/>
      <c r="J113" s="130">
        <v>5593.0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15.0</v>
      </c>
      <c r="G114" s="61"/>
      <c r="H114" s="190">
        <v>15.0</v>
      </c>
      <c r="I114" s="61"/>
      <c r="J114" s="130">
        <v>5594.0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100.0</v>
      </c>
      <c r="G115" s="54">
        <v>100.0</v>
      </c>
      <c r="H115" s="61"/>
      <c r="I115" s="61"/>
      <c r="J115" s="130">
        <v>5595.0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1641.0</v>
      </c>
      <c r="G116" s="61"/>
      <c r="H116" s="61"/>
      <c r="I116" s="54">
        <v>1641.0</v>
      </c>
      <c r="J116" s="130" t="s">
        <v>366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442.0</v>
      </c>
      <c r="G117" s="61"/>
      <c r="H117" s="190">
        <v>442.0</v>
      </c>
      <c r="I117" s="61"/>
      <c r="J117" s="130">
        <v>5597.0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437.0</v>
      </c>
      <c r="G118" s="61"/>
      <c r="H118" s="190">
        <v>437.0</v>
      </c>
      <c r="I118" s="61"/>
      <c r="J118" s="130">
        <v>5598.0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480.0</v>
      </c>
      <c r="G119" s="54">
        <v>480.0</v>
      </c>
      <c r="H119" s="61"/>
      <c r="I119" s="61"/>
      <c r="J119" s="130">
        <v>5599.0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325.0</v>
      </c>
      <c r="G120" s="54">
        <v>325.0</v>
      </c>
      <c r="H120" s="61"/>
      <c r="I120" s="61"/>
      <c r="J120" s="130">
        <v>5600.0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90.0</v>
      </c>
      <c r="G121" s="54">
        <v>90.0</v>
      </c>
      <c r="H121" s="61"/>
      <c r="I121" s="61"/>
      <c r="J121" s="130">
        <v>5601.0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23.0</v>
      </c>
      <c r="G122" s="61"/>
      <c r="H122" s="190">
        <v>23.0</v>
      </c>
      <c r="I122" s="61"/>
      <c r="J122" s="130">
        <v>5602.0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77.0</v>
      </c>
      <c r="G123" s="61"/>
      <c r="H123" s="190">
        <v>77.0</v>
      </c>
      <c r="I123" s="61"/>
      <c r="J123" s="130">
        <v>5603.0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40.0</v>
      </c>
      <c r="G124" s="61"/>
      <c r="H124" s="190">
        <v>40.0</v>
      </c>
      <c r="I124" s="61"/>
      <c r="J124" s="130">
        <v>5604.0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40.0</v>
      </c>
      <c r="G125" s="54">
        <v>40.0</v>
      </c>
      <c r="H125" s="61"/>
      <c r="I125" s="61"/>
      <c r="J125" s="130">
        <v>5605.0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254">
        <v>117.0</v>
      </c>
      <c r="F126" s="216">
        <v>134.0</v>
      </c>
      <c r="G126" s="173"/>
      <c r="H126" s="136">
        <v>134.0</v>
      </c>
      <c r="I126" s="173"/>
      <c r="J126" s="155" t="s">
        <v>367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27.0</v>
      </c>
      <c r="G127" s="54">
        <v>27.0</v>
      </c>
      <c r="H127" s="61"/>
      <c r="I127" s="61"/>
      <c r="J127" s="130">
        <v>5607.0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130.0</v>
      </c>
      <c r="G128" s="54">
        <v>130.0</v>
      </c>
      <c r="H128" s="61"/>
      <c r="I128" s="61"/>
      <c r="J128" s="130">
        <v>5608.0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773.0</v>
      </c>
      <c r="G129" s="61"/>
      <c r="H129" s="190">
        <v>773.0</v>
      </c>
      <c r="I129" s="61"/>
      <c r="J129" s="130">
        <v>5609.0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8.0</v>
      </c>
      <c r="G130" s="54">
        <v>8.0</v>
      </c>
      <c r="H130" s="61"/>
      <c r="I130" s="61"/>
      <c r="J130" s="130">
        <v>5610.0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/>
      <c r="F131" s="121"/>
      <c r="G131" s="61"/>
      <c r="H131" s="61"/>
      <c r="I131" s="61"/>
      <c r="J131" s="130"/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/>
      <c r="F132" s="121"/>
      <c r="G132" s="61"/>
      <c r="H132" s="61"/>
      <c r="I132" s="61"/>
      <c r="J132" s="130"/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/>
      <c r="F133" s="121"/>
      <c r="G133" s="61"/>
      <c r="H133" s="61"/>
      <c r="I133" s="61"/>
      <c r="J133" s="130"/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/>
      <c r="F134" s="121"/>
      <c r="G134" s="61"/>
      <c r="H134" s="61"/>
      <c r="I134" s="61"/>
      <c r="J134" s="130"/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/>
      <c r="F135" s="121"/>
      <c r="G135" s="61"/>
      <c r="H135" s="61"/>
      <c r="I135" s="61"/>
      <c r="J135" s="130"/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/>
      <c r="F136" s="121"/>
      <c r="G136" s="61"/>
      <c r="H136" s="61"/>
      <c r="I136" s="61"/>
      <c r="J136" s="130"/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/>
      <c r="F137" s="121"/>
      <c r="G137" s="61"/>
      <c r="H137" s="61"/>
      <c r="I137" s="61"/>
      <c r="J137" s="130"/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/>
      <c r="F138" s="121"/>
      <c r="G138" s="61"/>
      <c r="H138" s="61"/>
      <c r="I138" s="61"/>
      <c r="J138" s="130"/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/>
      <c r="F139" s="121"/>
      <c r="G139" s="61"/>
      <c r="H139" s="61"/>
      <c r="I139" s="61"/>
      <c r="J139" s="130"/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61"/>
      <c r="I140" s="61"/>
      <c r="J140" s="130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61"/>
      <c r="I141" s="61"/>
      <c r="J141" s="130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61"/>
      <c r="I142" s="61"/>
      <c r="J142" s="46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61"/>
      <c r="I143" s="61"/>
      <c r="J143" s="46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21"/>
      <c r="G145" s="61"/>
      <c r="H145" s="61"/>
      <c r="I145" s="61"/>
      <c r="J145" s="46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21"/>
      <c r="G146" s="61"/>
      <c r="H146" s="61"/>
      <c r="I146" s="61"/>
      <c r="J146" s="46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21"/>
      <c r="G147" s="61"/>
      <c r="H147" s="61"/>
      <c r="I147" s="61"/>
      <c r="J147" s="46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21"/>
      <c r="G148" s="61"/>
      <c r="H148" s="61"/>
      <c r="I148" s="61"/>
      <c r="J148" s="46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61"/>
      <c r="I150" s="61"/>
      <c r="J150" s="46"/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61"/>
      <c r="I151" s="61"/>
      <c r="J151" s="46"/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61"/>
      <c r="H152" s="61"/>
      <c r="I152" s="61"/>
      <c r="J152" s="46"/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61"/>
      <c r="H153" s="61"/>
      <c r="I153" s="61"/>
      <c r="J153" s="46"/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/>
      <c r="F154" s="121"/>
      <c r="G154" s="61"/>
      <c r="H154" s="61"/>
      <c r="I154" s="61"/>
      <c r="J154" s="46"/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/>
      <c r="F155" s="121"/>
      <c r="G155" s="61"/>
      <c r="H155" s="61"/>
      <c r="I155" s="61"/>
      <c r="J155" s="46"/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/>
      <c r="F156" s="121"/>
      <c r="G156" s="61"/>
      <c r="H156" s="61"/>
      <c r="I156" s="61"/>
      <c r="J156" s="46"/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/>
      <c r="F157" s="121"/>
      <c r="G157" s="61"/>
      <c r="H157" s="61"/>
      <c r="I157" s="61"/>
      <c r="J157" s="46"/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/>
      <c r="F158" s="121"/>
      <c r="G158" s="61"/>
      <c r="H158" s="61"/>
      <c r="I158" s="61"/>
      <c r="J158" s="46"/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24"/>
      <c r="E159" s="43"/>
      <c r="F159" s="121"/>
      <c r="G159" s="61"/>
      <c r="H159" s="54"/>
      <c r="I159" s="61"/>
      <c r="J159" s="46"/>
      <c r="K159" s="24"/>
      <c r="L159" s="112"/>
      <c r="M159" s="112"/>
      <c r="N159" s="112"/>
      <c r="O159" s="112"/>
      <c r="P159" s="112"/>
      <c r="Q159" s="113"/>
      <c r="R159" s="114"/>
      <c r="S159" s="114"/>
      <c r="T159" s="114"/>
      <c r="U159" s="115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4.25" customHeight="1">
      <c r="A160" s="1"/>
      <c r="B160" s="1"/>
      <c r="C160" s="1"/>
      <c r="D160" s="1"/>
      <c r="E160" s="122"/>
      <c r="F160" s="123">
        <f t="shared" ref="F160:I160" si="4">SUM(F10:F159)</f>
        <v>62340</v>
      </c>
      <c r="G160" s="123">
        <f t="shared" si="4"/>
        <v>27788</v>
      </c>
      <c r="H160" s="123">
        <f t="shared" si="4"/>
        <v>30650</v>
      </c>
      <c r="I160" s="123">
        <f t="shared" si="4"/>
        <v>3902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18"/>
      <c r="C161" s="118"/>
      <c r="D161" s="1"/>
      <c r="E161" s="124"/>
      <c r="F161" s="124"/>
      <c r="G161" s="124"/>
      <c r="H161" s="124"/>
      <c r="I161" s="12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18"/>
      <c r="C162" s="1"/>
      <c r="D162" s="1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26"/>
      <c r="H173" s="12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60923.0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32565.0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54838.0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F172-C15</f>
        <v>59834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G172-W33</f>
        <v>26216</v>
      </c>
      <c r="D10" s="24"/>
      <c r="E10" s="43">
        <v>1.0</v>
      </c>
      <c r="F10" s="44">
        <v>27.0</v>
      </c>
      <c r="G10" s="45"/>
      <c r="H10" s="45"/>
      <c r="I10" s="45">
        <v>27.0</v>
      </c>
      <c r="J10" s="130">
        <v>5611.0</v>
      </c>
      <c r="K10" s="24"/>
      <c r="L10" s="47"/>
      <c r="M10" s="47">
        <v>2126.0</v>
      </c>
      <c r="N10" s="47">
        <v>5494.0</v>
      </c>
      <c r="O10" s="49"/>
      <c r="P10" s="85" t="s">
        <v>44</v>
      </c>
      <c r="Q10" s="51"/>
      <c r="R10" s="52">
        <v>1079.0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H172-X33</f>
        <v>31137</v>
      </c>
      <c r="D11" s="24"/>
      <c r="E11" s="43">
        <v>2.0</v>
      </c>
      <c r="F11" s="56">
        <v>257.0</v>
      </c>
      <c r="G11" s="57"/>
      <c r="H11" s="148">
        <v>257.0</v>
      </c>
      <c r="I11" s="57"/>
      <c r="J11" s="130">
        <v>5612.0</v>
      </c>
      <c r="K11" s="24"/>
      <c r="L11" s="48"/>
      <c r="M11" s="146">
        <v>612.0</v>
      </c>
      <c r="N11" s="47">
        <v>5058.0</v>
      </c>
      <c r="O11" s="49"/>
      <c r="P11" s="72" t="s">
        <v>44</v>
      </c>
      <c r="Q11" s="51"/>
      <c r="R11" s="52">
        <v>1319.0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I172</f>
        <v>3154</v>
      </c>
      <c r="D12" s="24"/>
      <c r="E12" s="43">
        <v>3.0</v>
      </c>
      <c r="F12" s="63">
        <v>117.0</v>
      </c>
      <c r="G12" s="64">
        <v>110.0</v>
      </c>
      <c r="H12" s="132">
        <v>7.0</v>
      </c>
      <c r="I12" s="65"/>
      <c r="J12" s="130">
        <v>5613.0</v>
      </c>
      <c r="K12" s="24"/>
      <c r="L12" s="48"/>
      <c r="M12" s="146">
        <v>699.0</v>
      </c>
      <c r="N12" s="48">
        <v>5059.0</v>
      </c>
      <c r="O12" s="49"/>
      <c r="P12" s="72" t="s">
        <v>368</v>
      </c>
      <c r="Q12" s="51"/>
      <c r="R12" s="52">
        <v>443.0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1641</v>
      </c>
      <c r="D13" s="24"/>
      <c r="E13" s="43">
        <v>4.0</v>
      </c>
      <c r="F13" s="56">
        <v>118.0</v>
      </c>
      <c r="G13" s="64">
        <v>118.0</v>
      </c>
      <c r="H13" s="65"/>
      <c r="I13" s="65"/>
      <c r="J13" s="130">
        <v>5614.0</v>
      </c>
      <c r="K13" s="24"/>
      <c r="L13" s="47">
        <v>1641.0</v>
      </c>
      <c r="M13" s="48"/>
      <c r="N13" s="47">
        <v>5596.0</v>
      </c>
      <c r="O13" s="49"/>
      <c r="P13" s="72" t="s">
        <v>369</v>
      </c>
      <c r="Q13" s="51"/>
      <c r="R13" s="52">
        <v>10.0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3437</v>
      </c>
      <c r="D14" s="24"/>
      <c r="E14" s="43">
        <v>5.0</v>
      </c>
      <c r="F14" s="56">
        <v>78.0</v>
      </c>
      <c r="G14" s="64">
        <v>78.0</v>
      </c>
      <c r="H14" s="65"/>
      <c r="I14" s="65"/>
      <c r="J14" s="130">
        <v>5615.0</v>
      </c>
      <c r="K14" s="24"/>
      <c r="L14" s="48"/>
      <c r="M14" s="48"/>
      <c r="N14" s="48"/>
      <c r="O14" s="49"/>
      <c r="P14" s="72" t="s">
        <v>370</v>
      </c>
      <c r="Q14" s="51"/>
      <c r="R14" s="52">
        <v>40.0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175.0</v>
      </c>
      <c r="G15" s="64">
        <v>175.0</v>
      </c>
      <c r="H15" s="64"/>
      <c r="I15" s="65"/>
      <c r="J15" s="130">
        <v>5616.0</v>
      </c>
      <c r="K15" s="24"/>
      <c r="L15" s="48"/>
      <c r="M15" s="48"/>
      <c r="N15" s="48"/>
      <c r="O15" s="49"/>
      <c r="P15" s="301">
        <v>5699.0</v>
      </c>
      <c r="Q15" s="302"/>
      <c r="R15" s="52">
        <v>54.0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2945</v>
      </c>
      <c r="D16" s="24"/>
      <c r="E16" s="43">
        <v>7.0</v>
      </c>
      <c r="F16" s="56">
        <v>85.0</v>
      </c>
      <c r="G16" s="64">
        <v>85.0</v>
      </c>
      <c r="H16" s="64"/>
      <c r="I16" s="65"/>
      <c r="J16" s="130">
        <v>5617.0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2945</v>
      </c>
      <c r="D17" s="24"/>
      <c r="E17" s="43">
        <v>8.0</v>
      </c>
      <c r="F17" s="216">
        <v>617.0</v>
      </c>
      <c r="G17" s="169"/>
      <c r="H17" s="182">
        <v>617.0</v>
      </c>
      <c r="I17" s="169"/>
      <c r="J17" s="155" t="s">
        <v>371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102.0</v>
      </c>
      <c r="G18" s="64"/>
      <c r="H18" s="132">
        <v>102.0</v>
      </c>
      <c r="I18" s="65"/>
      <c r="J18" s="130">
        <v>5619.0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146.0</v>
      </c>
      <c r="G19" s="64">
        <v>146.0</v>
      </c>
      <c r="H19" s="65"/>
      <c r="I19" s="65"/>
      <c r="J19" s="130">
        <v>5620.0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52914</v>
      </c>
      <c r="D20" s="24"/>
      <c r="E20" s="43">
        <v>11.0</v>
      </c>
      <c r="F20" s="56">
        <v>577.0</v>
      </c>
      <c r="G20" s="64">
        <v>5.0</v>
      </c>
      <c r="H20" s="132">
        <v>572.0</v>
      </c>
      <c r="I20" s="65"/>
      <c r="J20" s="130">
        <v>5621.0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67139</v>
      </c>
      <c r="D21" s="24"/>
      <c r="E21" s="43">
        <v>12.0</v>
      </c>
      <c r="F21" s="56">
        <v>863.0</v>
      </c>
      <c r="G21" s="64">
        <v>863.0</v>
      </c>
      <c r="H21" s="64"/>
      <c r="I21" s="65"/>
      <c r="J21" s="130">
        <v>5622.0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34910</v>
      </c>
      <c r="D22" s="24"/>
      <c r="E22" s="43">
        <v>13.0</v>
      </c>
      <c r="F22" s="56">
        <v>1144.0</v>
      </c>
      <c r="G22" s="64"/>
      <c r="H22" s="132">
        <v>1144.0</v>
      </c>
      <c r="I22" s="65"/>
      <c r="J22" s="130">
        <v>5623.0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35094.0</v>
      </c>
      <c r="D23" s="24"/>
      <c r="E23" s="43">
        <v>14.0</v>
      </c>
      <c r="F23" s="56">
        <v>46.0</v>
      </c>
      <c r="G23" s="65"/>
      <c r="H23" s="132">
        <v>46.0</v>
      </c>
      <c r="I23" s="65"/>
      <c r="J23" s="130">
        <v>5624.0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-184</v>
      </c>
      <c r="D24" s="24"/>
      <c r="E24" s="43">
        <v>15.0</v>
      </c>
      <c r="F24" s="56">
        <v>142.0</v>
      </c>
      <c r="G24" s="64">
        <v>142.0</v>
      </c>
      <c r="H24" s="65"/>
      <c r="I24" s="65"/>
      <c r="J24" s="130">
        <v>5625.0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3150.0</v>
      </c>
      <c r="G25" s="64">
        <v>3150.0</v>
      </c>
      <c r="H25" s="65"/>
      <c r="I25" s="65"/>
      <c r="J25" s="130">
        <v>5626.0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F172</f>
        <v>59834</v>
      </c>
      <c r="D26" s="24"/>
      <c r="E26" s="43">
        <v>17.0</v>
      </c>
      <c r="F26" s="56">
        <v>1207.0</v>
      </c>
      <c r="G26" s="64">
        <v>1207.0</v>
      </c>
      <c r="H26" s="65"/>
      <c r="I26" s="65"/>
      <c r="J26" s="130">
        <v>5627.0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139.0</v>
      </c>
      <c r="D27" s="24"/>
      <c r="E27" s="43">
        <v>18.0</v>
      </c>
      <c r="F27" s="56">
        <v>499.0</v>
      </c>
      <c r="G27" s="64">
        <v>499.0</v>
      </c>
      <c r="H27" s="65"/>
      <c r="I27" s="65"/>
      <c r="J27" s="130">
        <v>5628.0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430.4604317</v>
      </c>
      <c r="D28" s="24"/>
      <c r="E28" s="43">
        <v>19.0</v>
      </c>
      <c r="F28" s="56">
        <v>15.0</v>
      </c>
      <c r="G28" s="64">
        <v>15.0</v>
      </c>
      <c r="H28" s="65"/>
      <c r="I28" s="65"/>
      <c r="J28" s="130">
        <v>5629.0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160.0</v>
      </c>
      <c r="G29" s="64"/>
      <c r="H29" s="132">
        <v>160.0</v>
      </c>
      <c r="I29" s="65"/>
      <c r="J29" s="130">
        <v>5630.0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50925</v>
      </c>
      <c r="D30" s="24"/>
      <c r="E30" s="43">
        <v>21.0</v>
      </c>
      <c r="F30" s="56">
        <v>1300.0</v>
      </c>
      <c r="G30" s="92"/>
      <c r="H30" s="135">
        <v>1300.0</v>
      </c>
      <c r="I30" s="93"/>
      <c r="J30" s="130">
        <v>5631.0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659.0</v>
      </c>
      <c r="G31" s="93">
        <v>659.0</v>
      </c>
      <c r="H31" s="92"/>
      <c r="I31" s="92"/>
      <c r="J31" s="130">
        <v>5632.0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2945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263.0</v>
      </c>
      <c r="G32" s="93">
        <v>263.0</v>
      </c>
      <c r="H32" s="92"/>
      <c r="I32" s="92"/>
      <c r="J32" s="130">
        <v>5633.0</v>
      </c>
      <c r="K32" s="24"/>
      <c r="L32" s="48"/>
      <c r="M32" s="48"/>
      <c r="N32" s="48"/>
      <c r="O32" s="98"/>
      <c r="P32" s="90" t="s">
        <v>37</v>
      </c>
      <c r="Q32" s="51"/>
      <c r="R32" s="99">
        <v>50925.0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1055.0</v>
      </c>
      <c r="G33" s="93">
        <v>1055.0</v>
      </c>
      <c r="H33" s="92"/>
      <c r="I33" s="92"/>
      <c r="J33" s="130">
        <v>5634.0</v>
      </c>
      <c r="K33" s="24"/>
      <c r="L33" s="104">
        <f t="shared" ref="L33:M33" si="2">sum(L10:L32)</f>
        <v>1641</v>
      </c>
      <c r="M33" s="104">
        <f t="shared" si="2"/>
        <v>3437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20.0</v>
      </c>
      <c r="G34" s="93">
        <v>20.0</v>
      </c>
      <c r="H34" s="92"/>
      <c r="I34" s="92"/>
      <c r="J34" s="130">
        <v>5635.0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898.0</v>
      </c>
      <c r="G35" s="93">
        <v>898.0</v>
      </c>
      <c r="H35" s="93"/>
      <c r="I35" s="92"/>
      <c r="J35" s="130">
        <v>5636.0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1173.0</v>
      </c>
      <c r="G36" s="93">
        <v>1173.0</v>
      </c>
      <c r="H36" s="93"/>
      <c r="I36" s="92"/>
      <c r="J36" s="130">
        <v>5637.0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171.0</v>
      </c>
      <c r="G37" s="93">
        <v>171.0</v>
      </c>
      <c r="H37" s="92"/>
      <c r="I37" s="92"/>
      <c r="J37" s="130">
        <v>5638.0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175.0</v>
      </c>
      <c r="G38" s="93"/>
      <c r="H38" s="135">
        <v>175.0</v>
      </c>
      <c r="I38" s="92"/>
      <c r="J38" s="130">
        <v>5639.0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441.0</v>
      </c>
      <c r="G39" s="93"/>
      <c r="H39" s="135">
        <v>441.0</v>
      </c>
      <c r="I39" s="92"/>
      <c r="J39" s="130">
        <v>5640.0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318.0</v>
      </c>
      <c r="G40" s="93">
        <v>318.0</v>
      </c>
      <c r="H40" s="93"/>
      <c r="I40" s="92"/>
      <c r="J40" s="130">
        <v>5641.0</v>
      </c>
      <c r="K40" s="24"/>
      <c r="L40" s="117" t="s">
        <v>372</v>
      </c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8.0</v>
      </c>
      <c r="G41" s="92"/>
      <c r="H41" s="135">
        <v>8.0</v>
      </c>
      <c r="I41" s="92"/>
      <c r="J41" s="130">
        <v>5642.0</v>
      </c>
      <c r="K41" s="24"/>
      <c r="L41" s="112"/>
      <c r="M41" s="112"/>
      <c r="N41" s="112"/>
      <c r="O41" s="112"/>
      <c r="P41" s="303" t="s">
        <v>373</v>
      </c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194.0</v>
      </c>
      <c r="G42" s="93">
        <v>194.0</v>
      </c>
      <c r="H42" s="93"/>
      <c r="I42" s="92"/>
      <c r="J42" s="130">
        <v>5643.0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200.0</v>
      </c>
      <c r="G43" s="93">
        <v>200.0</v>
      </c>
      <c r="H43" s="92"/>
      <c r="I43" s="92"/>
      <c r="J43" s="130">
        <v>5644.0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196.0</v>
      </c>
      <c r="G44" s="93">
        <v>196.0</v>
      </c>
      <c r="H44" s="93"/>
      <c r="I44" s="92"/>
      <c r="J44" s="130">
        <v>5645.0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146.0</v>
      </c>
      <c r="G45" s="93"/>
      <c r="H45" s="135">
        <v>146.0</v>
      </c>
      <c r="I45" s="92"/>
      <c r="J45" s="130">
        <v>5646.0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220">
        <v>597.0</v>
      </c>
      <c r="G46" s="93"/>
      <c r="H46" s="135">
        <v>597.0</v>
      </c>
      <c r="I46" s="92"/>
      <c r="J46" s="130">
        <v>5647.0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183.0</v>
      </c>
      <c r="G47" s="93">
        <v>183.0</v>
      </c>
      <c r="H47" s="93"/>
      <c r="I47" s="92"/>
      <c r="J47" s="130">
        <v>5648.0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375.0</v>
      </c>
      <c r="G48" s="92"/>
      <c r="H48" s="135">
        <v>375.0</v>
      </c>
      <c r="I48" s="92"/>
      <c r="J48" s="130">
        <v>5649.0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1600.0</v>
      </c>
      <c r="G49" s="93">
        <v>1600.0</v>
      </c>
      <c r="H49" s="92"/>
      <c r="I49" s="92"/>
      <c r="J49" s="130">
        <v>5650.0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64.0</v>
      </c>
      <c r="G50" s="93">
        <v>60.0</v>
      </c>
      <c r="H50" s="135">
        <v>4.0</v>
      </c>
      <c r="I50" s="92"/>
      <c r="J50" s="130">
        <v>5651.0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179.0</v>
      </c>
      <c r="G51" s="92"/>
      <c r="H51" s="135">
        <v>179.0</v>
      </c>
      <c r="I51" s="92"/>
      <c r="J51" s="130">
        <v>5652.0</v>
      </c>
      <c r="K51" s="24"/>
      <c r="L51" s="112"/>
      <c r="M51" s="249">
        <v>1311.0</v>
      </c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20.0</v>
      </c>
      <c r="G52" s="93">
        <v>20.0</v>
      </c>
      <c r="H52" s="92"/>
      <c r="I52" s="92"/>
      <c r="J52" s="130">
        <v>5653.0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1008.0</v>
      </c>
      <c r="G53" s="93" t="s">
        <v>245</v>
      </c>
      <c r="H53" s="135">
        <v>1008.0</v>
      </c>
      <c r="I53" s="92"/>
      <c r="J53" s="130">
        <v>5654.0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520.0</v>
      </c>
      <c r="G54" s="92"/>
      <c r="H54" s="135">
        <v>520.0</v>
      </c>
      <c r="I54" s="92"/>
      <c r="J54" s="130">
        <v>5655.0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399.0</v>
      </c>
      <c r="G55" s="92"/>
      <c r="H55" s="135">
        <v>399.0</v>
      </c>
      <c r="I55" s="92"/>
      <c r="J55" s="130">
        <v>5656.0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154.0</v>
      </c>
      <c r="G56" s="93">
        <v>154.0</v>
      </c>
      <c r="H56" s="92"/>
      <c r="I56" s="92"/>
      <c r="J56" s="130">
        <v>5657.0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444.0</v>
      </c>
      <c r="G57" s="92"/>
      <c r="H57" s="92"/>
      <c r="I57" s="93">
        <v>444.0</v>
      </c>
      <c r="J57" s="130" t="s">
        <v>374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295.0</v>
      </c>
      <c r="G58" s="93">
        <v>295.0</v>
      </c>
      <c r="H58" s="92"/>
      <c r="I58" s="93"/>
      <c r="J58" s="130">
        <v>5659.0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144.0</v>
      </c>
      <c r="G59" s="92"/>
      <c r="H59" s="135">
        <v>144.0</v>
      </c>
      <c r="I59" s="92"/>
      <c r="J59" s="130">
        <v>5660.0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266.0</v>
      </c>
      <c r="G60" s="92"/>
      <c r="H60" s="135">
        <v>266.0</v>
      </c>
      <c r="I60" s="92"/>
      <c r="J60" s="130">
        <v>5661.0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373.0</v>
      </c>
      <c r="G61" s="92"/>
      <c r="H61" s="135">
        <v>373.0</v>
      </c>
      <c r="I61" s="92"/>
      <c r="J61" s="130">
        <v>5662.0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730.0</v>
      </c>
      <c r="G62" s="93">
        <v>730.0</v>
      </c>
      <c r="H62" s="93"/>
      <c r="I62" s="92"/>
      <c r="J62" s="130">
        <v>5663.0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2405.0</v>
      </c>
      <c r="G63" s="92"/>
      <c r="H63" s="135">
        <v>2405.0</v>
      </c>
      <c r="I63" s="93"/>
      <c r="J63" s="130">
        <v>5664.0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195.0</v>
      </c>
      <c r="G64" s="92"/>
      <c r="H64" s="135">
        <v>195.0</v>
      </c>
      <c r="I64" s="92"/>
      <c r="J64" s="130">
        <v>5665.0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768.0</v>
      </c>
      <c r="G65" s="93">
        <v>768.0</v>
      </c>
      <c r="H65" s="92"/>
      <c r="I65" s="92"/>
      <c r="J65" s="130">
        <v>5666.0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285.0</v>
      </c>
      <c r="G66" s="93">
        <v>285.0</v>
      </c>
      <c r="H66" s="92"/>
      <c r="I66" s="92"/>
      <c r="J66" s="130">
        <v>5667.0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184.0</v>
      </c>
      <c r="G67" s="92"/>
      <c r="H67" s="135">
        <v>184.0</v>
      </c>
      <c r="I67" s="92"/>
      <c r="J67" s="130">
        <v>5668.0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123.0</v>
      </c>
      <c r="G68" s="93">
        <v>123.0</v>
      </c>
      <c r="H68" s="92"/>
      <c r="I68" s="92"/>
      <c r="J68" s="130">
        <v>5669.0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145.0</v>
      </c>
      <c r="G69" s="93">
        <v>140.0</v>
      </c>
      <c r="H69" s="135">
        <v>5.0</v>
      </c>
      <c r="I69" s="92"/>
      <c r="J69" s="130">
        <v>5670.0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50.0</v>
      </c>
      <c r="G70" s="93">
        <v>50.0</v>
      </c>
      <c r="H70" s="92"/>
      <c r="I70" s="92"/>
      <c r="J70" s="130">
        <v>5671.0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30.0</v>
      </c>
      <c r="G71" s="93">
        <v>30.0</v>
      </c>
      <c r="H71" s="92"/>
      <c r="I71" s="92"/>
      <c r="J71" s="130">
        <v>5672.0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510.0</v>
      </c>
      <c r="G72" s="93">
        <v>510.0</v>
      </c>
      <c r="H72" s="92"/>
      <c r="I72" s="92"/>
      <c r="J72" s="130">
        <v>5673.0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812.0</v>
      </c>
      <c r="G73" s="92"/>
      <c r="H73" s="135">
        <v>812.0</v>
      </c>
      <c r="I73" s="92"/>
      <c r="J73" s="130">
        <v>5674.0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164.0</v>
      </c>
      <c r="G74" s="93">
        <v>164.0</v>
      </c>
      <c r="H74" s="92"/>
      <c r="I74" s="92"/>
      <c r="J74" s="130">
        <v>5675.0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83.0</v>
      </c>
      <c r="G75" s="93">
        <v>83.0</v>
      </c>
      <c r="H75" s="92"/>
      <c r="I75" s="92"/>
      <c r="J75" s="130">
        <v>5676.0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113.0</v>
      </c>
      <c r="G76" s="93">
        <v>113.0</v>
      </c>
      <c r="H76" s="92"/>
      <c r="I76" s="92"/>
      <c r="J76" s="130">
        <v>5677.0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9.0</v>
      </c>
      <c r="G77" s="92"/>
      <c r="H77" s="135">
        <v>9.0</v>
      </c>
      <c r="I77" s="92"/>
      <c r="J77" s="130">
        <v>5678.0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244.0</v>
      </c>
      <c r="G78" s="93">
        <v>244.0</v>
      </c>
      <c r="H78" s="92"/>
      <c r="I78" s="92"/>
      <c r="J78" s="130">
        <v>5679.0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1607.0</v>
      </c>
      <c r="G79" s="93">
        <v>1607.0</v>
      </c>
      <c r="H79" s="92"/>
      <c r="I79" s="92"/>
      <c r="J79" s="130">
        <v>5680.0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358.0</v>
      </c>
      <c r="G80" s="92"/>
      <c r="H80" s="135">
        <v>358.0</v>
      </c>
      <c r="I80" s="92"/>
      <c r="J80" s="130">
        <v>5681.0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520.0</v>
      </c>
      <c r="G81" s="93">
        <v>520.0</v>
      </c>
      <c r="H81" s="92"/>
      <c r="I81" s="92"/>
      <c r="J81" s="130">
        <v>5682.0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175.0</v>
      </c>
      <c r="G82" s="54">
        <v>175.0</v>
      </c>
      <c r="H82" s="61"/>
      <c r="I82" s="61"/>
      <c r="J82" s="130">
        <v>5683.0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310.0</v>
      </c>
      <c r="G83" s="54">
        <v>310.0</v>
      </c>
      <c r="H83" s="61"/>
      <c r="I83" s="61"/>
      <c r="J83" s="130">
        <v>5684.0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60.0</v>
      </c>
      <c r="G84" s="54">
        <v>60.0</v>
      </c>
      <c r="H84" s="61"/>
      <c r="I84" s="61"/>
      <c r="J84" s="130">
        <v>5685.0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1257.0</v>
      </c>
      <c r="G85" s="54">
        <v>700.0</v>
      </c>
      <c r="H85" s="135">
        <v>557.0</v>
      </c>
      <c r="I85" s="61"/>
      <c r="J85" s="130">
        <v>5686.0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258">
        <v>917.0</v>
      </c>
      <c r="G86" s="61"/>
      <c r="H86" s="157">
        <v>917.0</v>
      </c>
      <c r="I86" s="61"/>
      <c r="J86" s="130">
        <v>5687.0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40.0</v>
      </c>
      <c r="G87" s="54">
        <v>40.0</v>
      </c>
      <c r="H87" s="61"/>
      <c r="I87" s="61"/>
      <c r="J87" s="130">
        <v>5688.0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258">
        <v>449.0</v>
      </c>
      <c r="G88" s="61"/>
      <c r="H88" s="157">
        <v>449.0</v>
      </c>
      <c r="I88" s="61"/>
      <c r="J88" s="130">
        <v>5689.0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378.0</v>
      </c>
      <c r="G89" s="54">
        <v>378.0</v>
      </c>
      <c r="H89" s="61"/>
      <c r="I89" s="61"/>
      <c r="J89" s="130">
        <v>5690.0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25.0</v>
      </c>
      <c r="G90" s="54">
        <v>25.0</v>
      </c>
      <c r="H90" s="61"/>
      <c r="I90" s="61"/>
      <c r="J90" s="130">
        <v>5691.0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90.0</v>
      </c>
      <c r="G91" s="54">
        <v>90.0</v>
      </c>
      <c r="H91" s="61"/>
      <c r="I91" s="61"/>
      <c r="J91" s="130">
        <v>5692.0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766.0</v>
      </c>
      <c r="G92" s="61"/>
      <c r="H92" s="135">
        <v>766.0</v>
      </c>
      <c r="I92" s="61"/>
      <c r="J92" s="130">
        <v>5693.0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4.0</v>
      </c>
      <c r="G93" s="61"/>
      <c r="H93" s="135">
        <v>4.0</v>
      </c>
      <c r="I93" s="61"/>
      <c r="J93" s="130">
        <v>5694.0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641.0</v>
      </c>
      <c r="G94" s="54">
        <v>641.0</v>
      </c>
      <c r="H94" s="61"/>
      <c r="I94" s="61"/>
      <c r="J94" s="130">
        <v>5695.0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22.0</v>
      </c>
      <c r="G95" s="54">
        <v>22.0</v>
      </c>
      <c r="H95" s="61"/>
      <c r="I95" s="61"/>
      <c r="J95" s="130">
        <v>5696.0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557.0</v>
      </c>
      <c r="G96" s="54">
        <v>550.0</v>
      </c>
      <c r="H96" s="54">
        <v>7.0</v>
      </c>
      <c r="I96" s="61"/>
      <c r="J96" s="130">
        <v>5697.0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81.0</v>
      </c>
      <c r="G97" s="54">
        <v>81.0</v>
      </c>
      <c r="H97" s="61"/>
      <c r="I97" s="61"/>
      <c r="J97" s="130">
        <v>5698.0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878.0</v>
      </c>
      <c r="G98" s="61"/>
      <c r="H98" s="264">
        <v>991.0</v>
      </c>
      <c r="I98" s="61"/>
      <c r="J98" s="130" t="s">
        <v>375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257.0</v>
      </c>
      <c r="G99" s="61"/>
      <c r="H99" s="135">
        <v>257.0</v>
      </c>
      <c r="I99" s="61"/>
      <c r="J99" s="130">
        <v>5700.0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399.0</v>
      </c>
      <c r="G100" s="61"/>
      <c r="H100" s="135">
        <v>399.0</v>
      </c>
      <c r="I100" s="61"/>
      <c r="J100" s="130">
        <v>5701.0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105.0</v>
      </c>
      <c r="G101" s="61"/>
      <c r="H101" s="135">
        <v>105.0</v>
      </c>
      <c r="I101" s="61"/>
      <c r="J101" s="130">
        <v>5702.0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32.0</v>
      </c>
      <c r="G102" s="54">
        <v>32.0</v>
      </c>
      <c r="H102" s="61"/>
      <c r="I102" s="61"/>
      <c r="J102" s="130" t="s">
        <v>376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553.0</v>
      </c>
      <c r="G103" s="61"/>
      <c r="H103" s="135">
        <v>553.0</v>
      </c>
      <c r="I103" s="61"/>
      <c r="J103" s="130">
        <v>5704.0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600.0</v>
      </c>
      <c r="G104" s="61"/>
      <c r="H104" s="135">
        <v>600.0</v>
      </c>
      <c r="I104" s="61"/>
      <c r="J104" s="130">
        <v>5705.0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2748.0</v>
      </c>
      <c r="G105" s="61"/>
      <c r="H105" s="135">
        <v>2748.0</v>
      </c>
      <c r="I105" s="61"/>
      <c r="J105" s="130">
        <v>5706.0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116.0</v>
      </c>
      <c r="G106" s="61"/>
      <c r="H106" s="135">
        <v>116.0</v>
      </c>
      <c r="I106" s="61"/>
      <c r="J106" s="130">
        <v>5707.0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158.0</v>
      </c>
      <c r="G107" s="61"/>
      <c r="H107" s="135">
        <v>158.0</v>
      </c>
      <c r="I107" s="61"/>
      <c r="J107" s="130">
        <v>5708.0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10.0</v>
      </c>
      <c r="G108" s="61"/>
      <c r="H108" s="135">
        <v>10.0</v>
      </c>
      <c r="I108" s="61"/>
      <c r="J108" s="130">
        <v>5709.0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840.0</v>
      </c>
      <c r="G109" s="61"/>
      <c r="H109" s="135">
        <v>840.0</v>
      </c>
      <c r="I109" s="61"/>
      <c r="J109" s="130">
        <v>5710.0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729.0</v>
      </c>
      <c r="G110" s="61"/>
      <c r="H110" s="135">
        <v>729.0</v>
      </c>
      <c r="I110" s="61"/>
      <c r="J110" s="130">
        <v>5711.0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530.0</v>
      </c>
      <c r="G111" s="61"/>
      <c r="H111" s="135">
        <v>530.0</v>
      </c>
      <c r="I111" s="61"/>
      <c r="J111" s="130">
        <v>5712.0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1172.0</v>
      </c>
      <c r="G112" s="61"/>
      <c r="H112" s="135">
        <v>1292.0</v>
      </c>
      <c r="I112" s="61"/>
      <c r="J112" s="130" t="s">
        <v>377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65.0</v>
      </c>
      <c r="G113" s="54">
        <v>50.0</v>
      </c>
      <c r="H113" s="135">
        <v>15.0</v>
      </c>
      <c r="I113" s="61"/>
      <c r="J113" s="130">
        <v>5714.0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360.0</v>
      </c>
      <c r="G114" s="54">
        <v>360.0</v>
      </c>
      <c r="H114" s="61"/>
      <c r="I114" s="61"/>
      <c r="J114" s="130">
        <v>5715.0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304">
        <v>106.0</v>
      </c>
      <c r="F115" s="138">
        <v>208.0</v>
      </c>
      <c r="G115" s="54">
        <v>208.0</v>
      </c>
      <c r="H115" s="61"/>
      <c r="I115" s="61"/>
      <c r="J115" s="130">
        <v>5716.0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202.0</v>
      </c>
      <c r="G116" s="61"/>
      <c r="H116" s="135">
        <v>202.0</v>
      </c>
      <c r="I116" s="61"/>
      <c r="J116" s="130">
        <v>5717.0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41.0</v>
      </c>
      <c r="G117" s="54">
        <v>41.0</v>
      </c>
      <c r="H117" s="61"/>
      <c r="I117" s="61"/>
      <c r="J117" s="130">
        <v>5718.0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16.0</v>
      </c>
      <c r="G118" s="54">
        <v>10.0</v>
      </c>
      <c r="H118" s="135">
        <v>6.0</v>
      </c>
      <c r="I118" s="61"/>
      <c r="J118" s="130">
        <v>5719.0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490.0</v>
      </c>
      <c r="G119" s="54">
        <v>490.0</v>
      </c>
      <c r="H119" s="61"/>
      <c r="I119" s="61"/>
      <c r="J119" s="130">
        <v>5720.0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360.0</v>
      </c>
      <c r="G120" s="54">
        <v>360.0</v>
      </c>
      <c r="H120" s="61"/>
      <c r="I120" s="61"/>
      <c r="J120" s="130">
        <v>5721.0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70.0</v>
      </c>
      <c r="G121" s="54">
        <v>70.0</v>
      </c>
      <c r="H121" s="61"/>
      <c r="I121" s="61"/>
      <c r="J121" s="130">
        <v>5722.0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46.0</v>
      </c>
      <c r="G122" s="54">
        <v>46.0</v>
      </c>
      <c r="H122" s="61"/>
      <c r="I122" s="61"/>
      <c r="J122" s="130">
        <v>5723.0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218.0</v>
      </c>
      <c r="G123" s="61"/>
      <c r="H123" s="135">
        <v>218.0</v>
      </c>
      <c r="I123" s="61"/>
      <c r="J123" s="130">
        <v>5724.0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178.0</v>
      </c>
      <c r="G124" s="54">
        <v>178.0</v>
      </c>
      <c r="H124" s="61"/>
      <c r="I124" s="61"/>
      <c r="J124" s="130">
        <v>5725.0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413.0</v>
      </c>
      <c r="G125" s="54"/>
      <c r="H125" s="61"/>
      <c r="I125" s="54">
        <v>413.0</v>
      </c>
      <c r="J125" s="130" t="s">
        <v>378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9.0</v>
      </c>
      <c r="G126" s="54">
        <v>9.0</v>
      </c>
      <c r="H126" s="61"/>
      <c r="I126" s="61"/>
      <c r="J126" s="130">
        <v>5727.0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108.0</v>
      </c>
      <c r="G127" s="54">
        <v>108.0</v>
      </c>
      <c r="H127" s="61"/>
      <c r="I127" s="61"/>
      <c r="J127" s="130">
        <v>5728.0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216">
        <v>290.0</v>
      </c>
      <c r="G128" s="136"/>
      <c r="H128" s="136">
        <v>290.0</v>
      </c>
      <c r="I128" s="173"/>
      <c r="J128" s="155" t="s">
        <v>379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50.0</v>
      </c>
      <c r="G129" s="54">
        <v>50.0</v>
      </c>
      <c r="H129" s="61"/>
      <c r="I129" s="61"/>
      <c r="J129" s="130">
        <v>5730.0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216">
        <v>2040.0</v>
      </c>
      <c r="G130" s="136"/>
      <c r="H130" s="136">
        <v>2040.0</v>
      </c>
      <c r="I130" s="173"/>
      <c r="J130" s="155" t="s">
        <v>380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210.0</v>
      </c>
      <c r="G131" s="54">
        <v>200.0</v>
      </c>
      <c r="H131" s="135">
        <v>10.0</v>
      </c>
      <c r="I131" s="61"/>
      <c r="J131" s="130">
        <v>5732.0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220.0</v>
      </c>
      <c r="G132" s="54">
        <v>210.0</v>
      </c>
      <c r="H132" s="135">
        <v>10.0</v>
      </c>
      <c r="I132" s="61"/>
      <c r="J132" s="130">
        <v>5733.0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370.0</v>
      </c>
      <c r="G133" s="61"/>
      <c r="H133" s="135">
        <v>370.0</v>
      </c>
      <c r="I133" s="61"/>
      <c r="J133" s="130">
        <v>5734.0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552.0</v>
      </c>
      <c r="G134" s="61"/>
      <c r="H134" s="135">
        <v>552.0</v>
      </c>
      <c r="I134" s="61"/>
      <c r="J134" s="130">
        <v>5735.0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480.0</v>
      </c>
      <c r="G135" s="54">
        <v>480.0</v>
      </c>
      <c r="H135" s="61"/>
      <c r="I135" s="61"/>
      <c r="J135" s="130">
        <v>5736.0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710.0</v>
      </c>
      <c r="G136" s="54">
        <v>710.0</v>
      </c>
      <c r="H136" s="61"/>
      <c r="I136" s="61"/>
      <c r="J136" s="130">
        <v>5737.0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2250.0</v>
      </c>
      <c r="G137" s="61"/>
      <c r="H137" s="61"/>
      <c r="I137" s="54">
        <v>2250.0</v>
      </c>
      <c r="J137" s="130" t="s">
        <v>381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129.0</v>
      </c>
      <c r="G138" s="61"/>
      <c r="H138" s="135">
        <v>129.0</v>
      </c>
      <c r="I138" s="61"/>
      <c r="J138" s="130">
        <v>5739.0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50.0</v>
      </c>
      <c r="G139" s="61"/>
      <c r="H139" s="135">
        <v>50.0</v>
      </c>
      <c r="I139" s="61"/>
      <c r="J139" s="130">
        <v>5740.0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>
        <v>131.0</v>
      </c>
      <c r="F140" s="138">
        <v>23.0</v>
      </c>
      <c r="G140" s="54">
        <v>23.0</v>
      </c>
      <c r="H140" s="61"/>
      <c r="I140" s="61"/>
      <c r="J140" s="130">
        <v>5741.0</v>
      </c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>
        <v>132.0</v>
      </c>
      <c r="F141" s="138">
        <v>106.0</v>
      </c>
      <c r="G141" s="61"/>
      <c r="H141" s="135">
        <v>106.0</v>
      </c>
      <c r="I141" s="61"/>
      <c r="J141" s="130">
        <v>5742.0</v>
      </c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>
        <v>133.0</v>
      </c>
      <c r="F142" s="138">
        <v>395.0</v>
      </c>
      <c r="G142" s="61"/>
      <c r="H142" s="135">
        <v>395.0</v>
      </c>
      <c r="I142" s="61"/>
      <c r="J142" s="130">
        <v>5743.0</v>
      </c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>
        <v>134.0</v>
      </c>
      <c r="F143" s="138">
        <v>79.0</v>
      </c>
      <c r="G143" s="61"/>
      <c r="H143" s="135">
        <v>79.0</v>
      </c>
      <c r="I143" s="61"/>
      <c r="J143" s="130">
        <v>5744.0</v>
      </c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>
        <v>135.0</v>
      </c>
      <c r="F144" s="138">
        <v>297.0</v>
      </c>
      <c r="G144" s="61"/>
      <c r="H144" s="135">
        <v>297.0</v>
      </c>
      <c r="I144" s="61"/>
      <c r="J144" s="130">
        <v>5745.0</v>
      </c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>
        <v>136.0</v>
      </c>
      <c r="F145" s="138">
        <v>105.0</v>
      </c>
      <c r="G145" s="61"/>
      <c r="H145" s="135">
        <v>105.0</v>
      </c>
      <c r="I145" s="61"/>
      <c r="J145" s="130">
        <v>5746.0</v>
      </c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>
        <v>137.0</v>
      </c>
      <c r="F146" s="138">
        <v>20.0</v>
      </c>
      <c r="G146" s="61"/>
      <c r="H146" s="61"/>
      <c r="I146" s="54">
        <v>20.0</v>
      </c>
      <c r="J146" s="130" t="s">
        <v>382</v>
      </c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>
        <v>138.0</v>
      </c>
      <c r="F147" s="138">
        <v>562.0</v>
      </c>
      <c r="G147" s="61"/>
      <c r="H147" s="135">
        <v>562.0</v>
      </c>
      <c r="I147" s="61"/>
      <c r="J147" s="130">
        <v>5748.0</v>
      </c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>
        <v>139.0</v>
      </c>
      <c r="F148" s="138">
        <v>515.0</v>
      </c>
      <c r="G148" s="61"/>
      <c r="H148" s="135">
        <v>515.0</v>
      </c>
      <c r="I148" s="61"/>
      <c r="J148" s="130">
        <v>5749.0</v>
      </c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>
        <v>140.0</v>
      </c>
      <c r="F149" s="121"/>
      <c r="G149" s="61"/>
      <c r="H149" s="61"/>
      <c r="I149" s="61"/>
      <c r="J149" s="130">
        <v>5750.0</v>
      </c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>
        <v>141.0</v>
      </c>
      <c r="F150" s="121"/>
      <c r="G150" s="61"/>
      <c r="H150" s="54"/>
      <c r="I150" s="61"/>
      <c r="J150" s="130">
        <v>5751.0</v>
      </c>
      <c r="K150" s="24"/>
      <c r="L150" s="112"/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>
        <v>142.0</v>
      </c>
      <c r="F151" s="121"/>
      <c r="G151" s="61"/>
      <c r="H151" s="61"/>
      <c r="I151" s="61"/>
      <c r="J151" s="130">
        <v>5752.0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>
        <v>143.0</v>
      </c>
      <c r="F152" s="121"/>
      <c r="G152" s="61"/>
      <c r="H152" s="61"/>
      <c r="I152" s="61"/>
      <c r="J152" s="130">
        <v>5753.0</v>
      </c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>
        <v>144.0</v>
      </c>
      <c r="F153" s="121"/>
      <c r="G153" s="61"/>
      <c r="H153" s="61"/>
      <c r="I153" s="61"/>
      <c r="J153" s="130">
        <v>5754.0</v>
      </c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24"/>
      <c r="E154" s="43">
        <v>145.0</v>
      </c>
      <c r="F154" s="121"/>
      <c r="G154" s="61"/>
      <c r="H154" s="61"/>
      <c r="I154" s="61"/>
      <c r="J154" s="130">
        <v>5755.0</v>
      </c>
      <c r="K154" s="24"/>
      <c r="L154" s="112"/>
      <c r="M154" s="112"/>
      <c r="N154" s="112"/>
      <c r="O154" s="112"/>
      <c r="P154" s="112"/>
      <c r="Q154" s="113"/>
      <c r="R154" s="114"/>
      <c r="S154" s="114"/>
      <c r="T154" s="114"/>
      <c r="U154" s="115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4.25" customHeight="1">
      <c r="A155" s="1"/>
      <c r="B155" s="1"/>
      <c r="C155" s="1"/>
      <c r="D155" s="24"/>
      <c r="E155" s="43">
        <v>146.0</v>
      </c>
      <c r="F155" s="121"/>
      <c r="G155" s="61"/>
      <c r="H155" s="61"/>
      <c r="I155" s="61"/>
      <c r="J155" s="130">
        <v>5756.0</v>
      </c>
      <c r="K155" s="24"/>
      <c r="L155" s="112"/>
      <c r="M155" s="112"/>
      <c r="N155" s="112"/>
      <c r="O155" s="112"/>
      <c r="P155" s="112"/>
      <c r="Q155" s="113"/>
      <c r="R155" s="114"/>
      <c r="S155" s="114"/>
      <c r="T155" s="114"/>
      <c r="U155" s="115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4.25" customHeight="1">
      <c r="A156" s="1"/>
      <c r="B156" s="1"/>
      <c r="C156" s="1"/>
      <c r="D156" s="24"/>
      <c r="E156" s="43">
        <v>147.0</v>
      </c>
      <c r="F156" s="121"/>
      <c r="G156" s="61"/>
      <c r="H156" s="61"/>
      <c r="I156" s="61"/>
      <c r="J156" s="130">
        <v>5757.0</v>
      </c>
      <c r="K156" s="24"/>
      <c r="L156" s="112"/>
      <c r="M156" s="112"/>
      <c r="N156" s="112"/>
      <c r="O156" s="112"/>
      <c r="P156" s="112"/>
      <c r="Q156" s="113"/>
      <c r="R156" s="114"/>
      <c r="S156" s="114"/>
      <c r="T156" s="114"/>
      <c r="U156" s="115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4.25" customHeight="1">
      <c r="A157" s="1"/>
      <c r="B157" s="1"/>
      <c r="C157" s="1"/>
      <c r="D157" s="24"/>
      <c r="E157" s="43">
        <v>148.0</v>
      </c>
      <c r="F157" s="121"/>
      <c r="G157" s="61"/>
      <c r="H157" s="61"/>
      <c r="I157" s="61"/>
      <c r="J157" s="130">
        <v>5758.0</v>
      </c>
      <c r="K157" s="24"/>
      <c r="L157" s="112"/>
      <c r="M157" s="112"/>
      <c r="N157" s="112"/>
      <c r="O157" s="112"/>
      <c r="P157" s="112"/>
      <c r="Q157" s="113"/>
      <c r="R157" s="114"/>
      <c r="S157" s="114"/>
      <c r="T157" s="114"/>
      <c r="U157" s="115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4.25" customHeight="1">
      <c r="A158" s="1"/>
      <c r="B158" s="1"/>
      <c r="C158" s="1"/>
      <c r="D158" s="24"/>
      <c r="E158" s="43">
        <v>149.0</v>
      </c>
      <c r="F158" s="121"/>
      <c r="G158" s="61"/>
      <c r="H158" s="61"/>
      <c r="I158" s="61"/>
      <c r="J158" s="130">
        <v>5759.0</v>
      </c>
      <c r="K158" s="24"/>
      <c r="L158" s="112"/>
      <c r="M158" s="112"/>
      <c r="N158" s="112"/>
      <c r="O158" s="112"/>
      <c r="P158" s="112"/>
      <c r="Q158" s="113"/>
      <c r="R158" s="114"/>
      <c r="S158" s="114"/>
      <c r="T158" s="114"/>
      <c r="U158" s="115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4.25" customHeight="1">
      <c r="A159" s="1"/>
      <c r="B159" s="1"/>
      <c r="C159" s="1"/>
      <c r="D159" s="24"/>
      <c r="E159" s="43">
        <v>150.0</v>
      </c>
      <c r="F159" s="121"/>
      <c r="G159" s="61"/>
      <c r="H159" s="61"/>
      <c r="I159" s="61"/>
      <c r="J159" s="130">
        <v>5760.0</v>
      </c>
      <c r="K159" s="24"/>
      <c r="L159" s="112"/>
      <c r="M159" s="112"/>
      <c r="N159" s="112"/>
      <c r="O159" s="112"/>
      <c r="P159" s="112"/>
      <c r="Q159" s="113"/>
      <c r="R159" s="114"/>
      <c r="S159" s="114"/>
      <c r="T159" s="114"/>
      <c r="U159" s="115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4.25" customHeight="1">
      <c r="A160" s="1"/>
      <c r="B160" s="1"/>
      <c r="C160" s="1"/>
      <c r="D160" s="24"/>
      <c r="E160" s="43">
        <v>151.0</v>
      </c>
      <c r="F160" s="121"/>
      <c r="G160" s="61"/>
      <c r="H160" s="61"/>
      <c r="I160" s="61"/>
      <c r="J160" s="130">
        <v>5761.0</v>
      </c>
      <c r="K160" s="24"/>
      <c r="L160" s="112"/>
      <c r="M160" s="112"/>
      <c r="N160" s="112"/>
      <c r="O160" s="112"/>
      <c r="P160" s="112"/>
      <c r="Q160" s="113"/>
      <c r="R160" s="114"/>
      <c r="S160" s="114"/>
      <c r="T160" s="114"/>
      <c r="U160" s="115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</row>
    <row r="161" ht="14.25" customHeight="1">
      <c r="A161" s="1"/>
      <c r="B161" s="1"/>
      <c r="C161" s="1"/>
      <c r="D161" s="24"/>
      <c r="E161" s="43">
        <v>152.0</v>
      </c>
      <c r="F161" s="121"/>
      <c r="G161" s="61"/>
      <c r="H161" s="61"/>
      <c r="I161" s="61"/>
      <c r="J161" s="130">
        <v>5762.0</v>
      </c>
      <c r="K161" s="24"/>
      <c r="L161" s="112"/>
      <c r="M161" s="112"/>
      <c r="N161" s="112"/>
      <c r="O161" s="112"/>
      <c r="P161" s="112"/>
      <c r="Q161" s="113"/>
      <c r="R161" s="114"/>
      <c r="S161" s="114"/>
      <c r="T161" s="114"/>
      <c r="U161" s="115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</row>
    <row r="162" ht="14.25" customHeight="1">
      <c r="A162" s="1"/>
      <c r="B162" s="1"/>
      <c r="C162" s="1"/>
      <c r="D162" s="24"/>
      <c r="E162" s="43">
        <v>153.0</v>
      </c>
      <c r="F162" s="121"/>
      <c r="G162" s="61"/>
      <c r="H162" s="54"/>
      <c r="I162" s="61"/>
      <c r="J162" s="130">
        <v>5763.0</v>
      </c>
      <c r="K162" s="24"/>
      <c r="L162" s="112"/>
      <c r="M162" s="112"/>
      <c r="N162" s="112"/>
      <c r="O162" s="112"/>
      <c r="P162" s="112"/>
      <c r="Q162" s="113"/>
      <c r="R162" s="114"/>
      <c r="S162" s="114"/>
      <c r="T162" s="114"/>
      <c r="U162" s="115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</row>
    <row r="163" ht="14.25" customHeight="1">
      <c r="A163" s="1"/>
      <c r="B163" s="1"/>
      <c r="C163" s="1"/>
      <c r="D163" s="24"/>
      <c r="E163" s="43">
        <v>154.0</v>
      </c>
      <c r="F163" s="121"/>
      <c r="G163" s="61"/>
      <c r="H163" s="61"/>
      <c r="I163" s="61"/>
      <c r="J163" s="130">
        <v>5764.0</v>
      </c>
      <c r="K163" s="24"/>
      <c r="L163" s="112"/>
      <c r="M163" s="112"/>
      <c r="N163" s="112"/>
      <c r="O163" s="112"/>
      <c r="P163" s="112"/>
      <c r="Q163" s="113"/>
      <c r="R163" s="114"/>
      <c r="S163" s="114"/>
      <c r="T163" s="114"/>
      <c r="U163" s="115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</row>
    <row r="164" ht="14.25" customHeight="1">
      <c r="A164" s="1"/>
      <c r="B164" s="1"/>
      <c r="C164" s="1"/>
      <c r="D164" s="24"/>
      <c r="E164" s="43">
        <v>155.0</v>
      </c>
      <c r="F164" s="121"/>
      <c r="G164" s="61"/>
      <c r="H164" s="61"/>
      <c r="I164" s="61"/>
      <c r="J164" s="130">
        <v>5765.0</v>
      </c>
      <c r="K164" s="24"/>
      <c r="L164" s="112"/>
      <c r="M164" s="112"/>
      <c r="N164" s="112"/>
      <c r="O164" s="112"/>
      <c r="P164" s="112"/>
      <c r="Q164" s="113"/>
      <c r="R164" s="114"/>
      <c r="S164" s="114"/>
      <c r="T164" s="114"/>
      <c r="U164" s="115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</row>
    <row r="165" ht="14.25" customHeight="1">
      <c r="A165" s="1"/>
      <c r="B165" s="1"/>
      <c r="C165" s="1"/>
      <c r="D165" s="24"/>
      <c r="E165" s="43">
        <v>156.0</v>
      </c>
      <c r="F165" s="121"/>
      <c r="G165" s="61"/>
      <c r="H165" s="61"/>
      <c r="I165" s="61"/>
      <c r="J165" s="130">
        <v>5766.0</v>
      </c>
      <c r="K165" s="24"/>
      <c r="L165" s="112"/>
      <c r="M165" s="112"/>
      <c r="N165" s="112"/>
      <c r="O165" s="112"/>
      <c r="P165" s="112"/>
      <c r="Q165" s="113"/>
      <c r="R165" s="114"/>
      <c r="S165" s="114"/>
      <c r="T165" s="114"/>
      <c r="U165" s="115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</row>
    <row r="166" ht="14.25" customHeight="1">
      <c r="A166" s="1"/>
      <c r="B166" s="1"/>
      <c r="C166" s="1"/>
      <c r="D166" s="24"/>
      <c r="E166" s="43">
        <v>157.0</v>
      </c>
      <c r="F166" s="121"/>
      <c r="G166" s="61"/>
      <c r="H166" s="61"/>
      <c r="I166" s="61"/>
      <c r="J166" s="130">
        <v>5767.0</v>
      </c>
      <c r="K166" s="24"/>
      <c r="L166" s="112"/>
      <c r="M166" s="112"/>
      <c r="N166" s="112"/>
      <c r="O166" s="112"/>
      <c r="P166" s="112"/>
      <c r="Q166" s="113"/>
      <c r="R166" s="114"/>
      <c r="S166" s="114"/>
      <c r="T166" s="114"/>
      <c r="U166" s="115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</row>
    <row r="167" ht="14.25" customHeight="1">
      <c r="A167" s="1"/>
      <c r="B167" s="1"/>
      <c r="C167" s="1"/>
      <c r="D167" s="24"/>
      <c r="E167" s="43">
        <v>158.0</v>
      </c>
      <c r="F167" s="121"/>
      <c r="G167" s="61"/>
      <c r="H167" s="61"/>
      <c r="I167" s="61"/>
      <c r="J167" s="130">
        <v>5768.0</v>
      </c>
      <c r="K167" s="24"/>
      <c r="L167" s="112"/>
      <c r="M167" s="112"/>
      <c r="N167" s="112"/>
      <c r="O167" s="112"/>
      <c r="P167" s="112"/>
      <c r="Q167" s="113"/>
      <c r="R167" s="114"/>
      <c r="S167" s="114"/>
      <c r="T167" s="114"/>
      <c r="U167" s="115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</row>
    <row r="168" ht="14.25" customHeight="1">
      <c r="A168" s="1"/>
      <c r="B168" s="1"/>
      <c r="C168" s="1"/>
      <c r="D168" s="24"/>
      <c r="E168" s="43"/>
      <c r="F168" s="121"/>
      <c r="G168" s="54">
        <v>90.0</v>
      </c>
      <c r="H168" s="61"/>
      <c r="I168" s="61"/>
      <c r="J168" s="130" t="s">
        <v>376</v>
      </c>
      <c r="K168" s="24"/>
      <c r="L168" s="112"/>
      <c r="M168" s="112"/>
      <c r="N168" s="112"/>
      <c r="O168" s="112"/>
      <c r="P168" s="112"/>
      <c r="Q168" s="113"/>
      <c r="R168" s="114"/>
      <c r="S168" s="114"/>
      <c r="T168" s="114"/>
      <c r="U168" s="115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</row>
    <row r="169" ht="14.25" customHeight="1">
      <c r="A169" s="1"/>
      <c r="B169" s="1"/>
      <c r="C169" s="1"/>
      <c r="D169" s="24"/>
      <c r="E169" s="43"/>
      <c r="F169" s="121"/>
      <c r="G169" s="61"/>
      <c r="H169" s="61"/>
      <c r="I169" s="61"/>
      <c r="J169" s="130"/>
      <c r="K169" s="24"/>
      <c r="L169" s="112"/>
      <c r="M169" s="112"/>
      <c r="N169" s="112"/>
      <c r="O169" s="112"/>
      <c r="P169" s="112"/>
      <c r="Q169" s="113"/>
      <c r="R169" s="114"/>
      <c r="S169" s="114"/>
      <c r="T169" s="114"/>
      <c r="U169" s="115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</row>
    <row r="170" ht="14.25" customHeight="1">
      <c r="A170" s="1"/>
      <c r="B170" s="1"/>
      <c r="C170" s="1"/>
      <c r="D170" s="24"/>
      <c r="E170" s="43"/>
      <c r="F170" s="121"/>
      <c r="G170" s="61"/>
      <c r="H170" s="54">
        <v>350.0</v>
      </c>
      <c r="I170" s="61"/>
      <c r="J170" s="130" t="s">
        <v>383</v>
      </c>
      <c r="K170" s="24"/>
      <c r="L170" s="112"/>
      <c r="M170" s="112"/>
      <c r="N170" s="112"/>
      <c r="O170" s="112"/>
      <c r="P170" s="112"/>
      <c r="Q170" s="113"/>
      <c r="R170" s="114"/>
      <c r="S170" s="114"/>
      <c r="T170" s="114"/>
      <c r="U170" s="115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</row>
    <row r="171" ht="14.25" customHeight="1">
      <c r="A171" s="1"/>
      <c r="B171" s="1"/>
      <c r="C171" s="1"/>
      <c r="D171" s="24"/>
      <c r="E171" s="276">
        <v>87.0</v>
      </c>
      <c r="F171" s="121"/>
      <c r="G171" s="61"/>
      <c r="H171" s="61"/>
      <c r="I171" s="61"/>
      <c r="J171" s="46"/>
      <c r="K171" s="24"/>
      <c r="L171" s="112"/>
      <c r="M171" s="112"/>
      <c r="N171" s="112"/>
      <c r="O171" s="112"/>
      <c r="P171" s="112"/>
      <c r="Q171" s="113"/>
      <c r="R171" s="114"/>
      <c r="S171" s="114"/>
      <c r="T171" s="114"/>
      <c r="U171" s="115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</row>
    <row r="172" ht="14.25" customHeight="1">
      <c r="A172" s="1"/>
      <c r="B172" s="1"/>
      <c r="C172" s="1"/>
      <c r="D172" s="1"/>
      <c r="E172" s="122"/>
      <c r="F172" s="123">
        <f t="shared" ref="F172:I172" si="4">SUM(F10:F171)</f>
        <v>59834</v>
      </c>
      <c r="G172" s="123">
        <f t="shared" si="4"/>
        <v>26216</v>
      </c>
      <c r="H172" s="123">
        <f t="shared" si="4"/>
        <v>31137</v>
      </c>
      <c r="I172" s="123">
        <f t="shared" si="4"/>
        <v>3154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18"/>
      <c r="C173" s="118"/>
      <c r="D173" s="1"/>
      <c r="E173" s="124"/>
      <c r="F173" s="124"/>
      <c r="G173" s="124"/>
      <c r="H173" s="124"/>
      <c r="I173" s="12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18"/>
      <c r="C174" s="1"/>
      <c r="D174" s="1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26"/>
      <c r="H185" s="12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35094.0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67139.0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52914.0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F172-C15</f>
        <v>70863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9.5" customHeight="1">
      <c r="A10" s="24"/>
      <c r="B10" s="305" t="s">
        <v>19</v>
      </c>
      <c r="C10" s="42">
        <f>G172-W33</f>
        <v>22214</v>
      </c>
      <c r="D10" s="24"/>
      <c r="E10" s="43">
        <v>1.0</v>
      </c>
      <c r="F10" s="44">
        <v>42.0</v>
      </c>
      <c r="G10" s="45">
        <v>40.0</v>
      </c>
      <c r="H10" s="298">
        <v>2.0</v>
      </c>
      <c r="I10" s="45"/>
      <c r="J10" s="130">
        <v>5750.0</v>
      </c>
      <c r="K10" s="24"/>
      <c r="L10" s="47"/>
      <c r="M10" s="47"/>
      <c r="N10" s="48"/>
      <c r="O10" s="49"/>
      <c r="P10" s="85" t="s">
        <v>384</v>
      </c>
      <c r="Q10" s="51"/>
      <c r="R10" s="52">
        <v>60.0</v>
      </c>
      <c r="S10" s="52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>
      <c r="A11" s="24"/>
      <c r="B11" s="41" t="s">
        <v>20</v>
      </c>
      <c r="C11" s="42">
        <f>H172-X33</f>
        <v>42568</v>
      </c>
      <c r="D11" s="24"/>
      <c r="E11" s="43">
        <v>2.0</v>
      </c>
      <c r="F11" s="44">
        <v>40.0</v>
      </c>
      <c r="G11" s="57">
        <v>40.0</v>
      </c>
      <c r="H11" s="58"/>
      <c r="I11" s="59"/>
      <c r="J11" s="130">
        <v>5751.0</v>
      </c>
      <c r="K11" s="24"/>
      <c r="L11" s="48"/>
      <c r="M11" s="48"/>
      <c r="N11" s="48"/>
      <c r="O11" s="49"/>
      <c r="P11" s="72" t="s">
        <v>385</v>
      </c>
      <c r="Q11" s="51"/>
      <c r="R11" s="52">
        <v>30.0</v>
      </c>
      <c r="S11" s="52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I172</f>
        <v>6141</v>
      </c>
      <c r="D12" s="24"/>
      <c r="E12" s="43">
        <v>3.0</v>
      </c>
      <c r="F12" s="44">
        <v>46.0</v>
      </c>
      <c r="G12" s="64">
        <v>46.0</v>
      </c>
      <c r="H12" s="64"/>
      <c r="I12" s="65"/>
      <c r="J12" s="130">
        <v>5752.0</v>
      </c>
      <c r="K12" s="24"/>
      <c r="L12" s="48"/>
      <c r="M12" s="48"/>
      <c r="N12" s="48"/>
      <c r="O12" s="49"/>
      <c r="P12" s="72" t="s">
        <v>386</v>
      </c>
      <c r="Q12" s="51"/>
      <c r="R12" s="52">
        <v>30.0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118.0</v>
      </c>
      <c r="G13" s="64">
        <v>118.0</v>
      </c>
      <c r="H13" s="65"/>
      <c r="I13" s="65"/>
      <c r="J13" s="130">
        <v>5753.0</v>
      </c>
      <c r="K13" s="24"/>
      <c r="L13" s="48"/>
      <c r="M13" s="48"/>
      <c r="N13" s="48"/>
      <c r="O13" s="49"/>
      <c r="P13" s="72" t="s">
        <v>141</v>
      </c>
      <c r="Q13" s="51"/>
      <c r="R13" s="52">
        <v>812.0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145.0</v>
      </c>
      <c r="G14" s="64"/>
      <c r="H14" s="189">
        <v>145.0</v>
      </c>
      <c r="I14" s="65"/>
      <c r="J14" s="130">
        <v>5754.0</v>
      </c>
      <c r="K14" s="24"/>
      <c r="L14" s="48"/>
      <c r="M14" s="48"/>
      <c r="N14" s="48"/>
      <c r="O14" s="49"/>
      <c r="P14" s="72" t="s">
        <v>387</v>
      </c>
      <c r="Q14" s="51"/>
      <c r="R14" s="52">
        <v>3500.0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146.0</v>
      </c>
      <c r="G15" s="64"/>
      <c r="H15" s="189">
        <v>146.0</v>
      </c>
      <c r="I15" s="65"/>
      <c r="J15" s="130">
        <v>5755.0</v>
      </c>
      <c r="K15" s="24"/>
      <c r="L15" s="48"/>
      <c r="M15" s="48"/>
      <c r="N15" s="48"/>
      <c r="O15" s="49"/>
      <c r="P15" s="72" t="s">
        <v>222</v>
      </c>
      <c r="Q15" s="51"/>
      <c r="R15" s="52">
        <v>30.0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4462</v>
      </c>
      <c r="D16" s="24"/>
      <c r="E16" s="43">
        <v>7.0</v>
      </c>
      <c r="F16" s="56">
        <v>1016.0</v>
      </c>
      <c r="G16" s="64">
        <v>1016.0</v>
      </c>
      <c r="H16" s="64"/>
      <c r="I16" s="65"/>
      <c r="J16" s="130">
        <v>5756.0</v>
      </c>
      <c r="K16" s="24"/>
      <c r="L16" s="48"/>
      <c r="M16" s="48"/>
      <c r="N16" s="48"/>
      <c r="O16" s="49"/>
      <c r="P16" s="72"/>
      <c r="Q16" s="51"/>
      <c r="R16" s="52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4462</v>
      </c>
      <c r="D17" s="24"/>
      <c r="E17" s="43">
        <v>8.0</v>
      </c>
      <c r="F17" s="56">
        <v>13.0</v>
      </c>
      <c r="G17" s="64">
        <v>13.0</v>
      </c>
      <c r="H17" s="64"/>
      <c r="I17" s="65"/>
      <c r="J17" s="130">
        <v>5757.0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220">
        <v>2833.0</v>
      </c>
      <c r="G18" s="149"/>
      <c r="H18" s="149"/>
      <c r="I18" s="149">
        <v>2833.0</v>
      </c>
      <c r="J18" s="213" t="s">
        <v>388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208.0</v>
      </c>
      <c r="G19" s="64">
        <v>208.0</v>
      </c>
      <c r="H19" s="65"/>
      <c r="I19" s="65"/>
      <c r="J19" s="130">
        <v>5759.0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59055</v>
      </c>
      <c r="D20" s="24"/>
      <c r="E20" s="43">
        <v>11.0</v>
      </c>
      <c r="F20" s="56">
        <v>58.0</v>
      </c>
      <c r="G20" s="64"/>
      <c r="H20" s="189">
        <v>58.0</v>
      </c>
      <c r="I20" s="65"/>
      <c r="J20" s="130">
        <v>5760.0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109707</v>
      </c>
      <c r="D21" s="24"/>
      <c r="E21" s="43">
        <v>12.0</v>
      </c>
      <c r="F21" s="56">
        <v>1931.0</v>
      </c>
      <c r="G21" s="64">
        <v>1931.0</v>
      </c>
      <c r="H21" s="64"/>
      <c r="I21" s="65"/>
      <c r="J21" s="130">
        <v>5761.0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52846</v>
      </c>
      <c r="D22" s="24"/>
      <c r="E22" s="43">
        <v>13.0</v>
      </c>
      <c r="F22" s="56">
        <v>418.0</v>
      </c>
      <c r="G22" s="64"/>
      <c r="H22" s="189">
        <v>418.0</v>
      </c>
      <c r="I22" s="65"/>
      <c r="J22" s="130">
        <v>5762.0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53055.0</v>
      </c>
      <c r="D23" s="24"/>
      <c r="E23" s="43">
        <v>14.0</v>
      </c>
      <c r="F23" s="216">
        <v>3704.0</v>
      </c>
      <c r="G23" s="169"/>
      <c r="H23" s="182">
        <v>3704.0</v>
      </c>
      <c r="I23" s="182"/>
      <c r="J23" s="155" t="s">
        <v>389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-209</v>
      </c>
      <c r="D24" s="24"/>
      <c r="E24" s="43">
        <v>15.0</v>
      </c>
      <c r="F24" s="56">
        <v>260.0</v>
      </c>
      <c r="G24" s="64"/>
      <c r="H24" s="189">
        <v>260.0</v>
      </c>
      <c r="I24" s="65"/>
      <c r="J24" s="130">
        <v>5764.0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108.0</v>
      </c>
      <c r="G25" s="64">
        <v>108.0</v>
      </c>
      <c r="H25" s="65"/>
      <c r="I25" s="65"/>
      <c r="J25" s="130">
        <v>5765.0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F172</f>
        <v>70863</v>
      </c>
      <c r="D26" s="24"/>
      <c r="E26" s="43">
        <v>17.0</v>
      </c>
      <c r="F26" s="56">
        <v>435.0</v>
      </c>
      <c r="G26" s="64"/>
      <c r="H26" s="189">
        <v>435.0</v>
      </c>
      <c r="I26" s="65"/>
      <c r="J26" s="130">
        <v>5766.0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155.0</v>
      </c>
      <c r="D27" s="24"/>
      <c r="E27" s="43">
        <v>18.0</v>
      </c>
      <c r="F27" s="56">
        <v>210.0</v>
      </c>
      <c r="G27" s="64">
        <v>210.0</v>
      </c>
      <c r="H27" s="64"/>
      <c r="I27" s="65"/>
      <c r="J27" s="130">
        <v>5767.0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457.1806452</v>
      </c>
      <c r="D28" s="24"/>
      <c r="E28" s="43">
        <v>19.0</v>
      </c>
      <c r="F28" s="56">
        <v>1958.0</v>
      </c>
      <c r="G28" s="64"/>
      <c r="H28" s="65"/>
      <c r="I28" s="64">
        <v>1958.0</v>
      </c>
      <c r="J28" s="130" t="s">
        <v>390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111.0</v>
      </c>
      <c r="G29" s="64"/>
      <c r="H29" s="189">
        <v>111.0</v>
      </c>
      <c r="I29" s="65"/>
      <c r="J29" s="130">
        <v>5769.0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325.0</v>
      </c>
      <c r="G30" s="92"/>
      <c r="H30" s="190">
        <v>325.0</v>
      </c>
      <c r="I30" s="93"/>
      <c r="J30" s="130">
        <v>5770.0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598.0</v>
      </c>
      <c r="G31" s="93">
        <v>598.0</v>
      </c>
      <c r="H31" s="92"/>
      <c r="I31" s="92"/>
      <c r="J31" s="130">
        <v>5771.0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4462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226.0</v>
      </c>
      <c r="G32" s="93"/>
      <c r="H32" s="190">
        <v>226.0</v>
      </c>
      <c r="I32" s="92"/>
      <c r="J32" s="130">
        <v>5772.0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1079.0</v>
      </c>
      <c r="G33" s="93">
        <v>1079.0</v>
      </c>
      <c r="H33" s="92"/>
      <c r="I33" s="92"/>
      <c r="J33" s="130">
        <v>5773.0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60.0</v>
      </c>
      <c r="G34" s="93">
        <v>60.0</v>
      </c>
      <c r="H34" s="92"/>
      <c r="I34" s="92"/>
      <c r="J34" s="130">
        <v>5774.0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1191.0</v>
      </c>
      <c r="G35" s="92"/>
      <c r="H35" s="190">
        <v>1191.0</v>
      </c>
      <c r="I35" s="93"/>
      <c r="J35" s="130">
        <v>5775.0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4759.0</v>
      </c>
      <c r="G36" s="92"/>
      <c r="H36" s="190">
        <v>4759.0</v>
      </c>
      <c r="I36" s="92"/>
      <c r="J36" s="130">
        <v>5776.0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40.0</v>
      </c>
      <c r="G37" s="93">
        <v>40.0</v>
      </c>
      <c r="H37" s="92"/>
      <c r="I37" s="92"/>
      <c r="J37" s="130">
        <v>5777.0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216">
        <v>249.0</v>
      </c>
      <c r="G38" s="136"/>
      <c r="H38" s="136">
        <v>249.0</v>
      </c>
      <c r="I38" s="173"/>
      <c r="J38" s="155" t="s">
        <v>391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216">
        <v>2973.0</v>
      </c>
      <c r="G39" s="136"/>
      <c r="H39" s="136">
        <v>2973.0</v>
      </c>
      <c r="I39" s="173"/>
      <c r="J39" s="155" t="s">
        <v>392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243.0</v>
      </c>
      <c r="G40" s="92"/>
      <c r="H40" s="190">
        <v>243.0</v>
      </c>
      <c r="I40" s="92"/>
      <c r="J40" s="130">
        <v>5780.0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851.0</v>
      </c>
      <c r="G41" s="92"/>
      <c r="H41" s="190">
        <v>851.0</v>
      </c>
      <c r="I41" s="92"/>
      <c r="J41" s="130">
        <v>5781.0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100.0</v>
      </c>
      <c r="G42" s="93">
        <v>100.0</v>
      </c>
      <c r="H42" s="93"/>
      <c r="I42" s="153"/>
      <c r="J42" s="130">
        <v>5782.0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216">
        <v>866.0</v>
      </c>
      <c r="G43" s="136"/>
      <c r="H43" s="136">
        <v>866.0</v>
      </c>
      <c r="I43" s="173"/>
      <c r="J43" s="155" t="s">
        <v>393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514.0</v>
      </c>
      <c r="G44" s="92"/>
      <c r="H44" s="190">
        <v>514.0</v>
      </c>
      <c r="I44" s="92"/>
      <c r="J44" s="130">
        <v>5784.0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455.0</v>
      </c>
      <c r="G45" s="93">
        <v>455.0</v>
      </c>
      <c r="H45" s="92"/>
      <c r="I45" s="92"/>
      <c r="J45" s="130">
        <v>5785.0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333.0</v>
      </c>
      <c r="G46" s="93"/>
      <c r="H46" s="190">
        <v>333.0</v>
      </c>
      <c r="I46" s="92"/>
      <c r="J46" s="130">
        <v>5786.0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50.0</v>
      </c>
      <c r="G47" s="93">
        <v>50.0</v>
      </c>
      <c r="H47" s="93"/>
      <c r="I47" s="92"/>
      <c r="J47" s="130">
        <v>5787.0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634.0</v>
      </c>
      <c r="G48" s="93"/>
      <c r="H48" s="157">
        <v>634.0</v>
      </c>
      <c r="I48" s="92"/>
      <c r="J48" s="130">
        <v>5788.0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428.0</v>
      </c>
      <c r="G49" s="92"/>
      <c r="H49" s="190">
        <v>428.0</v>
      </c>
      <c r="I49" s="92"/>
      <c r="J49" s="130">
        <v>5789.0</v>
      </c>
      <c r="K49" s="24"/>
      <c r="L49" s="249">
        <v>2138.0</v>
      </c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229.0</v>
      </c>
      <c r="G50" s="93">
        <v>229.0</v>
      </c>
      <c r="H50" s="93"/>
      <c r="I50" s="92"/>
      <c r="J50" s="130">
        <v>5790.0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88.0</v>
      </c>
      <c r="G51" s="93">
        <v>88.0</v>
      </c>
      <c r="H51" s="92"/>
      <c r="I51" s="92"/>
      <c r="J51" s="130">
        <v>5791.0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1504.0</v>
      </c>
      <c r="G52" s="93"/>
      <c r="H52" s="157">
        <v>1504.0</v>
      </c>
      <c r="I52" s="92"/>
      <c r="J52" s="130">
        <v>5792.0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399.0</v>
      </c>
      <c r="G53" s="93">
        <v>399.0</v>
      </c>
      <c r="H53" s="92"/>
      <c r="I53" s="92"/>
      <c r="J53" s="130">
        <v>5793.0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361.0</v>
      </c>
      <c r="G54" s="93">
        <v>361.0</v>
      </c>
      <c r="H54" s="92"/>
      <c r="I54" s="92"/>
      <c r="J54" s="130">
        <v>5794.0</v>
      </c>
      <c r="K54" s="24"/>
      <c r="L54" s="306" t="s">
        <v>394</v>
      </c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44.0</v>
      </c>
      <c r="G55" s="92"/>
      <c r="H55" s="190">
        <v>44.0</v>
      </c>
      <c r="I55" s="92"/>
      <c r="J55" s="130">
        <v>5795.0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210.0</v>
      </c>
      <c r="G56" s="92"/>
      <c r="H56" s="190">
        <v>210.0</v>
      </c>
      <c r="I56" s="92"/>
      <c r="J56" s="130">
        <v>5796.0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100.0</v>
      </c>
      <c r="G57" s="93">
        <v>100.0</v>
      </c>
      <c r="H57" s="92"/>
      <c r="I57" s="92"/>
      <c r="J57" s="130">
        <v>5797.0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700.0</v>
      </c>
      <c r="G58" s="93"/>
      <c r="H58" s="190">
        <v>700.0</v>
      </c>
      <c r="I58" s="92"/>
      <c r="J58" s="130">
        <v>5798.0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422.0</v>
      </c>
      <c r="G59" s="92"/>
      <c r="H59" s="190">
        <v>422.0</v>
      </c>
      <c r="I59" s="92"/>
      <c r="J59" s="130">
        <v>5799.0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233.0</v>
      </c>
      <c r="G60" s="93"/>
      <c r="H60" s="190">
        <v>233.0</v>
      </c>
      <c r="I60" s="92"/>
      <c r="J60" s="130">
        <v>5800.0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124.0</v>
      </c>
      <c r="G61" s="92"/>
      <c r="H61" s="190">
        <v>124.0</v>
      </c>
      <c r="I61" s="92"/>
      <c r="J61" s="130">
        <v>5801.0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216">
        <v>520.0</v>
      </c>
      <c r="G62" s="136"/>
      <c r="H62" s="136">
        <v>520.0</v>
      </c>
      <c r="I62" s="173"/>
      <c r="J62" s="155" t="s">
        <v>395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180.0</v>
      </c>
      <c r="G63" s="93">
        <v>30.0</v>
      </c>
      <c r="H63" s="93">
        <v>150.0</v>
      </c>
      <c r="I63" s="92"/>
      <c r="J63" s="130">
        <v>5803.0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356.0</v>
      </c>
      <c r="G64" s="93">
        <v>356.0</v>
      </c>
      <c r="H64" s="92"/>
      <c r="I64" s="92"/>
      <c r="J64" s="130">
        <v>5804.0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35.0</v>
      </c>
      <c r="G65" s="93">
        <v>35.0</v>
      </c>
      <c r="H65" s="92"/>
      <c r="I65" s="92"/>
      <c r="J65" s="130">
        <v>5805.0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216">
        <v>148.0</v>
      </c>
      <c r="G66" s="136"/>
      <c r="H66" s="136">
        <v>148.0</v>
      </c>
      <c r="I66" s="173"/>
      <c r="J66" s="155">
        <v>5806.0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214.0</v>
      </c>
      <c r="G67" s="93">
        <v>214.0</v>
      </c>
      <c r="H67" s="92"/>
      <c r="I67" s="92"/>
      <c r="J67" s="130">
        <v>5807.0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1392.0</v>
      </c>
      <c r="G68" s="93">
        <v>1392.0</v>
      </c>
      <c r="H68" s="92"/>
      <c r="I68" s="92"/>
      <c r="J68" s="130">
        <v>5808.0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741.0</v>
      </c>
      <c r="G69" s="92"/>
      <c r="H69" s="190">
        <v>741.0</v>
      </c>
      <c r="I69" s="92"/>
      <c r="J69" s="130">
        <v>5809.0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11.0</v>
      </c>
      <c r="G70" s="93">
        <v>11.0</v>
      </c>
      <c r="H70" s="92"/>
      <c r="I70" s="92"/>
      <c r="J70" s="130">
        <v>5810.0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16.0</v>
      </c>
      <c r="G71" s="93"/>
      <c r="H71" s="190">
        <v>16.0</v>
      </c>
      <c r="I71" s="92"/>
      <c r="J71" s="130">
        <v>5811.0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1422.0</v>
      </c>
      <c r="G72" s="92"/>
      <c r="H72" s="190">
        <v>1422.0</v>
      </c>
      <c r="I72" s="92"/>
      <c r="J72" s="130">
        <v>5812.0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481.0</v>
      </c>
      <c r="G73" s="93"/>
      <c r="H73" s="190">
        <v>481.0</v>
      </c>
      <c r="I73" s="92"/>
      <c r="J73" s="130">
        <v>5813.0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>
        <v>10.0</v>
      </c>
      <c r="H74" s="92"/>
      <c r="I74" s="92"/>
      <c r="J74" s="130">
        <v>5814.0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440.0</v>
      </c>
      <c r="G75" s="93">
        <v>440.0</v>
      </c>
      <c r="H75" s="92"/>
      <c r="I75" s="92"/>
      <c r="J75" s="130">
        <v>5815.0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1044.0</v>
      </c>
      <c r="G76" s="93">
        <v>1044.0</v>
      </c>
      <c r="H76" s="92"/>
      <c r="I76" s="92"/>
      <c r="J76" s="130">
        <v>5816.0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650.0</v>
      </c>
      <c r="G77" s="93">
        <v>200.0</v>
      </c>
      <c r="H77" s="190">
        <v>450.0</v>
      </c>
      <c r="I77" s="92"/>
      <c r="J77" s="130">
        <v>5817.0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200.0</v>
      </c>
      <c r="G78" s="92"/>
      <c r="H78" s="190">
        <v>200.0</v>
      </c>
      <c r="I78" s="92"/>
      <c r="J78" s="130">
        <v>5818.0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216">
        <v>544.0</v>
      </c>
      <c r="G79" s="136"/>
      <c r="H79" s="136">
        <v>544.0</v>
      </c>
      <c r="I79" s="173"/>
      <c r="J79" s="155">
        <v>5819.0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527.0</v>
      </c>
      <c r="G80" s="93">
        <v>527.0</v>
      </c>
      <c r="H80" s="92"/>
      <c r="I80" s="92"/>
      <c r="J80" s="130">
        <v>5820.0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160.0</v>
      </c>
      <c r="G81" s="93">
        <v>60.0</v>
      </c>
      <c r="H81" s="190">
        <v>100.0</v>
      </c>
      <c r="I81" s="92"/>
      <c r="J81" s="130">
        <v>5821.0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18.0</v>
      </c>
      <c r="G82" s="54">
        <v>18.0</v>
      </c>
      <c r="H82" s="61"/>
      <c r="I82" s="61"/>
      <c r="J82" s="130">
        <v>5822.0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196.0</v>
      </c>
      <c r="G83" s="54">
        <v>196.0</v>
      </c>
      <c r="H83" s="61"/>
      <c r="I83" s="61"/>
      <c r="J83" s="130">
        <v>5823.0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256.0</v>
      </c>
      <c r="G84" s="61"/>
      <c r="H84" s="190">
        <v>256.0</v>
      </c>
      <c r="I84" s="61"/>
      <c r="J84" s="130">
        <v>5824.0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11.0</v>
      </c>
      <c r="G85" s="54">
        <v>11.0</v>
      </c>
      <c r="H85" s="61"/>
      <c r="I85" s="61"/>
      <c r="J85" s="130">
        <v>5825.0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45.0</v>
      </c>
      <c r="G86" s="61"/>
      <c r="H86" s="190">
        <v>45.0</v>
      </c>
      <c r="I86" s="61"/>
      <c r="J86" s="130">
        <v>5826.0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110.0</v>
      </c>
      <c r="G87" s="61"/>
      <c r="H87" s="190">
        <v>110.0</v>
      </c>
      <c r="I87" s="61"/>
      <c r="J87" s="130">
        <v>5827.0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626.0</v>
      </c>
      <c r="G88" s="54">
        <v>626.0</v>
      </c>
      <c r="H88" s="61"/>
      <c r="I88" s="61"/>
      <c r="J88" s="130">
        <v>5828.0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1398.0</v>
      </c>
      <c r="G89" s="54">
        <v>1398.0</v>
      </c>
      <c r="H89" s="61"/>
      <c r="I89" s="61"/>
      <c r="J89" s="130">
        <v>5829.0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113.0</v>
      </c>
      <c r="G90" s="54">
        <v>113.0</v>
      </c>
      <c r="H90" s="61"/>
      <c r="I90" s="61"/>
      <c r="J90" s="130">
        <v>5830.0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446.0</v>
      </c>
      <c r="G91" s="54">
        <v>446.0</v>
      </c>
      <c r="H91" s="61"/>
      <c r="I91" s="61"/>
      <c r="J91" s="130">
        <v>5831.0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87.0</v>
      </c>
      <c r="G92" s="54"/>
      <c r="H92" s="190">
        <v>87.0</v>
      </c>
      <c r="I92" s="61"/>
      <c r="J92" s="130">
        <v>5832.0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1465.0</v>
      </c>
      <c r="G93" s="54">
        <v>1000.0</v>
      </c>
      <c r="H93" s="190">
        <v>465.0</v>
      </c>
      <c r="I93" s="61"/>
      <c r="J93" s="130">
        <v>5833.0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155.0</v>
      </c>
      <c r="G94" s="61"/>
      <c r="H94" s="190">
        <v>155.0</v>
      </c>
      <c r="I94" s="61"/>
      <c r="J94" s="130">
        <v>5834.0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147.0</v>
      </c>
      <c r="G95" s="54">
        <v>147.0</v>
      </c>
      <c r="H95" s="61"/>
      <c r="I95" s="61"/>
      <c r="J95" s="130">
        <v>5835.0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1067.0</v>
      </c>
      <c r="G96" s="54">
        <v>1060.0</v>
      </c>
      <c r="H96" s="190">
        <v>7.0</v>
      </c>
      <c r="I96" s="61"/>
      <c r="J96" s="130">
        <v>5836.0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>
        <v>88.0</v>
      </c>
      <c r="F97" s="138">
        <v>146.0</v>
      </c>
      <c r="G97" s="54">
        <v>146.0</v>
      </c>
      <c r="H97" s="61"/>
      <c r="I97" s="61"/>
      <c r="J97" s="130">
        <v>5837.0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>
        <v>89.0</v>
      </c>
      <c r="F98" s="223">
        <v>1212.0</v>
      </c>
      <c r="G98" s="224"/>
      <c r="H98" s="232">
        <v>1212.0</v>
      </c>
      <c r="I98" s="224"/>
      <c r="J98" s="225" t="s">
        <v>396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>
        <v>90.0</v>
      </c>
      <c r="F99" s="138">
        <v>433.0</v>
      </c>
      <c r="G99" s="54">
        <v>433.0</v>
      </c>
      <c r="H99" s="61"/>
      <c r="I99" s="61"/>
      <c r="J99" s="130">
        <v>5839.0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>
        <v>91.0</v>
      </c>
      <c r="F100" s="223">
        <v>963.0</v>
      </c>
      <c r="G100" s="224"/>
      <c r="H100" s="232">
        <v>963.0</v>
      </c>
      <c r="I100" s="224"/>
      <c r="J100" s="225" t="s">
        <v>397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>
        <v>92.0</v>
      </c>
      <c r="F101" s="138">
        <v>489.0</v>
      </c>
      <c r="G101" s="54">
        <v>489.0</v>
      </c>
      <c r="H101" s="61"/>
      <c r="I101" s="61"/>
      <c r="J101" s="130">
        <v>5841.0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43">
        <v>93.0</v>
      </c>
      <c r="F102" s="138">
        <v>350.0</v>
      </c>
      <c r="G102" s="61"/>
      <c r="H102" s="190">
        <v>350.0</v>
      </c>
      <c r="I102" s="61"/>
      <c r="J102" s="130">
        <v>5842.0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43">
        <v>94.0</v>
      </c>
      <c r="F103" s="138">
        <v>146.0</v>
      </c>
      <c r="G103" s="61"/>
      <c r="H103" s="190">
        <v>146.0</v>
      </c>
      <c r="I103" s="61"/>
      <c r="J103" s="130">
        <v>5843.0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43">
        <v>95.0</v>
      </c>
      <c r="F104" s="138">
        <v>842.0</v>
      </c>
      <c r="G104" s="61"/>
      <c r="H104" s="190">
        <v>842.0</v>
      </c>
      <c r="I104" s="61"/>
      <c r="J104" s="130">
        <v>5844.0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43">
        <v>96.0</v>
      </c>
      <c r="F105" s="138">
        <v>132.0</v>
      </c>
      <c r="G105" s="54">
        <v>132.0</v>
      </c>
      <c r="H105" s="61"/>
      <c r="I105" s="61"/>
      <c r="J105" s="130">
        <v>5845.0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43">
        <v>97.0</v>
      </c>
      <c r="F106" s="138">
        <v>27.0</v>
      </c>
      <c r="G106" s="54">
        <v>87.0</v>
      </c>
      <c r="H106" s="152"/>
      <c r="I106" s="61"/>
      <c r="J106" s="130" t="s">
        <v>398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43">
        <v>98.0</v>
      </c>
      <c r="F107" s="138">
        <v>600.0</v>
      </c>
      <c r="G107" s="54"/>
      <c r="H107" s="190">
        <v>600.0</v>
      </c>
      <c r="I107" s="61"/>
      <c r="J107" s="130">
        <v>5847.0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43">
        <v>99.0</v>
      </c>
      <c r="F108" s="138">
        <v>54.0</v>
      </c>
      <c r="G108" s="54">
        <v>50.0</v>
      </c>
      <c r="H108" s="190">
        <v>4.0</v>
      </c>
      <c r="I108" s="61"/>
      <c r="J108" s="130">
        <v>5848.0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43">
        <v>100.0</v>
      </c>
      <c r="F109" s="138">
        <v>106.0</v>
      </c>
      <c r="G109" s="61"/>
      <c r="H109" s="190">
        <v>106.0</v>
      </c>
      <c r="I109" s="61"/>
      <c r="J109" s="130">
        <v>5849.0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43">
        <v>101.0</v>
      </c>
      <c r="F110" s="138">
        <v>798.0</v>
      </c>
      <c r="G110" s="54"/>
      <c r="H110" s="190">
        <v>798.0</v>
      </c>
      <c r="I110" s="61"/>
      <c r="J110" s="130">
        <v>5850.0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43">
        <v>102.0</v>
      </c>
      <c r="F111" s="138">
        <v>385.0</v>
      </c>
      <c r="G111" s="61"/>
      <c r="H111" s="190">
        <v>385.0</v>
      </c>
      <c r="I111" s="61"/>
      <c r="J111" s="130">
        <v>5851.0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43">
        <v>103.0</v>
      </c>
      <c r="F112" s="138">
        <v>125.0</v>
      </c>
      <c r="G112" s="54">
        <v>125.0</v>
      </c>
      <c r="H112" s="61"/>
      <c r="I112" s="61"/>
      <c r="J112" s="130">
        <v>5852.0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43">
        <v>104.0</v>
      </c>
      <c r="F113" s="138">
        <v>132.0</v>
      </c>
      <c r="G113" s="54">
        <v>132.0</v>
      </c>
      <c r="H113" s="61"/>
      <c r="I113" s="61"/>
      <c r="J113" s="130">
        <v>5853.0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43">
        <v>105.0</v>
      </c>
      <c r="F114" s="138">
        <v>102.0</v>
      </c>
      <c r="G114" s="54">
        <v>100.0</v>
      </c>
      <c r="H114" s="190">
        <v>2.0</v>
      </c>
      <c r="I114" s="61"/>
      <c r="J114" s="130">
        <v>5854.0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43">
        <v>106.0</v>
      </c>
      <c r="F115" s="138">
        <v>69.0</v>
      </c>
      <c r="G115" s="54">
        <v>69.0</v>
      </c>
      <c r="H115" s="61"/>
      <c r="I115" s="61"/>
      <c r="J115" s="130">
        <v>5855.0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43">
        <v>107.0</v>
      </c>
      <c r="F116" s="138">
        <v>44.0</v>
      </c>
      <c r="G116" s="54">
        <v>44.0</v>
      </c>
      <c r="H116" s="152"/>
      <c r="I116" s="61"/>
      <c r="J116" s="130">
        <v>5856.0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43">
        <v>108.0</v>
      </c>
      <c r="F117" s="138">
        <v>149.0</v>
      </c>
      <c r="G117" s="54">
        <v>149.0</v>
      </c>
      <c r="H117" s="61"/>
      <c r="I117" s="61"/>
      <c r="J117" s="130">
        <v>5857.0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43">
        <v>109.0</v>
      </c>
      <c r="F118" s="138">
        <v>97.0</v>
      </c>
      <c r="G118" s="61"/>
      <c r="H118" s="190">
        <v>97.0</v>
      </c>
      <c r="I118" s="61"/>
      <c r="J118" s="130">
        <v>5858.0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43">
        <v>110.0</v>
      </c>
      <c r="F119" s="138">
        <v>60.0</v>
      </c>
      <c r="G119" s="61"/>
      <c r="H119" s="190">
        <v>60.0</v>
      </c>
      <c r="I119" s="61"/>
      <c r="J119" s="130">
        <v>5859.0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43">
        <v>111.0</v>
      </c>
      <c r="F120" s="138">
        <v>186.0</v>
      </c>
      <c r="G120" s="54">
        <v>186.0</v>
      </c>
      <c r="H120" s="61"/>
      <c r="I120" s="61"/>
      <c r="J120" s="130">
        <v>5860.0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43">
        <v>112.0</v>
      </c>
      <c r="F121" s="138">
        <v>396.0</v>
      </c>
      <c r="G121" s="54">
        <v>396.0</v>
      </c>
      <c r="H121" s="61"/>
      <c r="I121" s="61"/>
      <c r="J121" s="130">
        <v>5861.0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43">
        <v>113.0</v>
      </c>
      <c r="F122" s="138">
        <v>134.0</v>
      </c>
      <c r="G122" s="61"/>
      <c r="H122" s="190">
        <v>134.0</v>
      </c>
      <c r="I122" s="61"/>
      <c r="J122" s="130">
        <v>5862.0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43">
        <v>114.0</v>
      </c>
      <c r="F123" s="138">
        <v>625.0</v>
      </c>
      <c r="G123" s="61"/>
      <c r="H123" s="190">
        <v>625.0</v>
      </c>
      <c r="I123" s="61"/>
      <c r="J123" s="130">
        <v>5863.0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43">
        <v>115.0</v>
      </c>
      <c r="F124" s="138">
        <v>608.0</v>
      </c>
      <c r="G124" s="61"/>
      <c r="H124" s="190">
        <v>608.0</v>
      </c>
      <c r="I124" s="61"/>
      <c r="J124" s="130">
        <v>5864.0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43">
        <v>116.0</v>
      </c>
      <c r="F125" s="138">
        <v>554.0</v>
      </c>
      <c r="G125" s="61"/>
      <c r="H125" s="190">
        <v>554.0</v>
      </c>
      <c r="I125" s="61"/>
      <c r="J125" s="130">
        <v>5865.0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43">
        <v>117.0</v>
      </c>
      <c r="F126" s="138">
        <v>329.0</v>
      </c>
      <c r="G126" s="61"/>
      <c r="H126" s="190">
        <v>329.0</v>
      </c>
      <c r="I126" s="61"/>
      <c r="J126" s="130">
        <v>5866.0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43">
        <v>118.0</v>
      </c>
      <c r="F127" s="138">
        <v>629.0</v>
      </c>
      <c r="G127" s="54">
        <v>500.0</v>
      </c>
      <c r="H127" s="190">
        <v>129.0</v>
      </c>
      <c r="I127" s="61"/>
      <c r="J127" s="130">
        <v>5867.0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43">
        <v>119.0</v>
      </c>
      <c r="F128" s="138">
        <v>40.0</v>
      </c>
      <c r="G128" s="54">
        <v>40.0</v>
      </c>
      <c r="H128" s="61"/>
      <c r="I128" s="61"/>
      <c r="J128" s="130">
        <v>5868.0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43">
        <v>120.0</v>
      </c>
      <c r="F129" s="138">
        <v>442.0</v>
      </c>
      <c r="G129" s="61"/>
      <c r="H129" s="190">
        <v>442.0</v>
      </c>
      <c r="I129" s="61"/>
      <c r="J129" s="130">
        <v>5869.0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43">
        <v>121.0</v>
      </c>
      <c r="F130" s="138">
        <v>855.0</v>
      </c>
      <c r="G130" s="61"/>
      <c r="H130" s="190">
        <v>855.0</v>
      </c>
      <c r="I130" s="61"/>
      <c r="J130" s="130">
        <v>5870.0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43">
        <v>122.0</v>
      </c>
      <c r="F131" s="138">
        <v>200.0</v>
      </c>
      <c r="G131" s="61"/>
      <c r="H131" s="190">
        <v>200.0</v>
      </c>
      <c r="I131" s="61"/>
      <c r="J131" s="130">
        <v>5871.0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43">
        <v>123.0</v>
      </c>
      <c r="F132" s="138">
        <v>170.0</v>
      </c>
      <c r="G132" s="61"/>
      <c r="H132" s="190">
        <v>170.0</v>
      </c>
      <c r="I132" s="61"/>
      <c r="J132" s="130">
        <v>5872.0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43">
        <v>124.0</v>
      </c>
      <c r="F133" s="138">
        <v>50.0</v>
      </c>
      <c r="G133" s="61"/>
      <c r="H133" s="190">
        <v>50.0</v>
      </c>
      <c r="I133" s="61"/>
      <c r="J133" s="130">
        <v>5873.0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43">
        <v>125.0</v>
      </c>
      <c r="F134" s="138">
        <v>822.0</v>
      </c>
      <c r="G134" s="54">
        <v>800.0</v>
      </c>
      <c r="H134" s="190">
        <v>22.0</v>
      </c>
      <c r="I134" s="61"/>
      <c r="J134" s="130">
        <v>5874.0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43">
        <v>126.0</v>
      </c>
      <c r="F135" s="138">
        <v>33.0</v>
      </c>
      <c r="G135" s="61"/>
      <c r="H135" s="190">
        <v>33.0</v>
      </c>
      <c r="I135" s="61"/>
      <c r="J135" s="130">
        <v>5875.0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43">
        <v>127.0</v>
      </c>
      <c r="F136" s="138">
        <v>50.0</v>
      </c>
      <c r="G136" s="54">
        <v>50.0</v>
      </c>
      <c r="H136" s="61"/>
      <c r="I136" s="61"/>
      <c r="J136" s="130">
        <v>5876.0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43">
        <v>128.0</v>
      </c>
      <c r="F137" s="138">
        <v>102.0</v>
      </c>
      <c r="G137" s="61"/>
      <c r="H137" s="190">
        <v>102.0</v>
      </c>
      <c r="I137" s="61"/>
      <c r="J137" s="130">
        <v>5877.0</v>
      </c>
    </row>
    <row r="138" ht="14.25" customHeight="1">
      <c r="E138" s="43">
        <v>129.0</v>
      </c>
      <c r="F138" s="138">
        <v>10.0</v>
      </c>
      <c r="G138" s="54"/>
      <c r="H138" s="190">
        <v>10.0</v>
      </c>
      <c r="I138" s="61"/>
      <c r="J138" s="130">
        <v>5878.0</v>
      </c>
    </row>
    <row r="139" ht="14.25" customHeight="1">
      <c r="E139" s="43">
        <v>130.0</v>
      </c>
      <c r="F139" s="138">
        <v>90.0</v>
      </c>
      <c r="G139" s="54">
        <v>90.0</v>
      </c>
      <c r="H139" s="61"/>
      <c r="I139" s="61"/>
      <c r="J139" s="130">
        <v>5879.0</v>
      </c>
    </row>
    <row r="140" ht="14.25" customHeight="1">
      <c r="E140" s="43">
        <v>131.0</v>
      </c>
      <c r="F140" s="138">
        <v>238.0</v>
      </c>
      <c r="G140" s="54">
        <v>238.0</v>
      </c>
      <c r="H140" s="61"/>
      <c r="I140" s="61"/>
      <c r="J140" s="130">
        <v>5880.0</v>
      </c>
    </row>
    <row r="141" ht="14.25" customHeight="1">
      <c r="E141" s="43">
        <v>132.0</v>
      </c>
      <c r="F141" s="138">
        <v>461.0</v>
      </c>
      <c r="G141" s="61"/>
      <c r="H141" s="190">
        <v>461.0</v>
      </c>
      <c r="I141" s="61"/>
      <c r="J141" s="130">
        <v>5881.0</v>
      </c>
    </row>
    <row r="142" ht="14.25" customHeight="1">
      <c r="E142" s="43">
        <v>133.0</v>
      </c>
      <c r="F142" s="138">
        <v>50.0</v>
      </c>
      <c r="G142" s="54"/>
      <c r="H142" s="152"/>
      <c r="I142" s="54">
        <v>50.0</v>
      </c>
      <c r="J142" s="130" t="s">
        <v>399</v>
      </c>
    </row>
    <row r="143" ht="14.25" customHeight="1">
      <c r="E143" s="43">
        <v>134.0</v>
      </c>
      <c r="F143" s="138">
        <v>1460.0</v>
      </c>
      <c r="G143" s="61"/>
      <c r="H143" s="190">
        <v>1460.0</v>
      </c>
      <c r="I143" s="61"/>
      <c r="J143" s="130">
        <v>5883.0</v>
      </c>
    </row>
    <row r="144" ht="14.25" customHeight="1">
      <c r="E144" s="43">
        <v>135.0</v>
      </c>
      <c r="F144" s="138">
        <v>260.0</v>
      </c>
      <c r="G144" s="61"/>
      <c r="H144" s="190">
        <v>260.0</v>
      </c>
      <c r="I144" s="61"/>
      <c r="J144" s="130">
        <v>5884.0</v>
      </c>
    </row>
    <row r="145" ht="14.25" customHeight="1">
      <c r="E145" s="43">
        <v>136.0</v>
      </c>
      <c r="F145" s="138">
        <v>19.0</v>
      </c>
      <c r="G145" s="54">
        <v>19.0</v>
      </c>
      <c r="H145" s="61"/>
      <c r="I145" s="61"/>
      <c r="J145" s="130">
        <v>5885.0</v>
      </c>
    </row>
    <row r="146" ht="14.25" customHeight="1">
      <c r="E146" s="43">
        <v>137.0</v>
      </c>
      <c r="F146" s="138">
        <v>99.0</v>
      </c>
      <c r="G146" s="54">
        <v>99.0</v>
      </c>
      <c r="H146" s="61"/>
      <c r="I146" s="61"/>
      <c r="J146" s="130">
        <v>5886.0</v>
      </c>
    </row>
    <row r="147" ht="14.25" customHeight="1">
      <c r="E147" s="43">
        <v>138.0</v>
      </c>
      <c r="F147" s="138">
        <v>70.0</v>
      </c>
      <c r="G147" s="61"/>
      <c r="H147" s="190">
        <v>70.0</v>
      </c>
      <c r="I147" s="61"/>
      <c r="J147" s="130">
        <v>5887.0</v>
      </c>
    </row>
    <row r="148" ht="14.25" customHeight="1">
      <c r="E148" s="43">
        <v>139.0</v>
      </c>
      <c r="F148" s="138">
        <v>816.0</v>
      </c>
      <c r="G148" s="61"/>
      <c r="H148" s="190">
        <v>816.0</v>
      </c>
      <c r="I148" s="61"/>
      <c r="J148" s="130">
        <v>5888.0</v>
      </c>
    </row>
    <row r="149" ht="14.25" customHeight="1">
      <c r="E149" s="43">
        <v>140.0</v>
      </c>
      <c r="F149" s="138">
        <v>238.0</v>
      </c>
      <c r="G149" s="54">
        <v>238.0</v>
      </c>
      <c r="H149" s="61"/>
      <c r="I149" s="61"/>
      <c r="J149" s="130">
        <v>5889.0</v>
      </c>
    </row>
    <row r="150" ht="14.25" customHeight="1">
      <c r="E150" s="43">
        <v>141.0</v>
      </c>
      <c r="F150" s="138">
        <v>147.0</v>
      </c>
      <c r="G150" s="61"/>
      <c r="H150" s="190">
        <v>147.0</v>
      </c>
      <c r="I150" s="61"/>
      <c r="J150" s="130">
        <v>5890.0</v>
      </c>
    </row>
    <row r="151" ht="14.25" customHeight="1">
      <c r="E151" s="43">
        <v>142.0</v>
      </c>
      <c r="F151" s="138">
        <v>105.0</v>
      </c>
      <c r="G151" s="54">
        <v>105.0</v>
      </c>
      <c r="H151" s="61"/>
      <c r="I151" s="61"/>
      <c r="J151" s="130">
        <v>5891.0</v>
      </c>
    </row>
    <row r="152" ht="14.25" customHeight="1">
      <c r="E152" s="43">
        <v>143.0</v>
      </c>
      <c r="F152" s="138">
        <v>185.0</v>
      </c>
      <c r="G152" s="61"/>
      <c r="H152" s="190">
        <v>185.0</v>
      </c>
      <c r="I152" s="61"/>
      <c r="J152" s="130">
        <v>5892.0</v>
      </c>
    </row>
    <row r="153" ht="14.25" customHeight="1">
      <c r="E153" s="43">
        <v>144.0</v>
      </c>
      <c r="F153" s="138">
        <v>10.0</v>
      </c>
      <c r="G153" s="54">
        <v>10.0</v>
      </c>
      <c r="H153" s="61"/>
      <c r="I153" s="61"/>
      <c r="J153" s="130">
        <v>5893.0</v>
      </c>
    </row>
    <row r="154" ht="14.25" customHeight="1">
      <c r="E154" s="43">
        <v>145.0</v>
      </c>
      <c r="F154" s="138">
        <v>265.0</v>
      </c>
      <c r="G154" s="54">
        <v>265.0</v>
      </c>
      <c r="H154" s="61"/>
      <c r="I154" s="61"/>
      <c r="J154" s="130">
        <v>5894.0</v>
      </c>
    </row>
    <row r="155" ht="14.25" customHeight="1">
      <c r="E155" s="43">
        <v>146.0</v>
      </c>
      <c r="F155" s="138">
        <v>35.0</v>
      </c>
      <c r="G155" s="61"/>
      <c r="H155" s="190">
        <v>35.0</v>
      </c>
      <c r="I155" s="61"/>
      <c r="J155" s="130">
        <v>5895.0</v>
      </c>
    </row>
    <row r="156" ht="14.25" customHeight="1">
      <c r="E156" s="43">
        <v>147.0</v>
      </c>
      <c r="F156" s="138">
        <v>149.0</v>
      </c>
      <c r="G156" s="54">
        <v>149.0</v>
      </c>
      <c r="H156" s="61"/>
      <c r="I156" s="61"/>
      <c r="J156" s="130">
        <v>5896.0</v>
      </c>
    </row>
    <row r="157" ht="14.25" customHeight="1">
      <c r="E157" s="43">
        <v>148.0</v>
      </c>
      <c r="F157" s="138">
        <v>130.0</v>
      </c>
      <c r="G157" s="61"/>
      <c r="H157" s="190">
        <v>130.0</v>
      </c>
      <c r="I157" s="61"/>
      <c r="J157" s="130">
        <v>5897.0</v>
      </c>
    </row>
    <row r="158" ht="14.25" customHeight="1">
      <c r="E158" s="43">
        <v>149.0</v>
      </c>
      <c r="F158" s="216">
        <v>36.0</v>
      </c>
      <c r="G158" s="173"/>
      <c r="H158" s="136">
        <v>36.0</v>
      </c>
      <c r="I158" s="173"/>
      <c r="J158" s="155" t="s">
        <v>400</v>
      </c>
    </row>
    <row r="159" ht="14.25" customHeight="1">
      <c r="E159" s="43">
        <v>150.0</v>
      </c>
      <c r="F159" s="138">
        <v>418.0</v>
      </c>
      <c r="G159" s="61"/>
      <c r="H159" s="190">
        <v>418.0</v>
      </c>
      <c r="I159" s="61"/>
      <c r="J159" s="130">
        <v>5899.0</v>
      </c>
    </row>
    <row r="160" ht="14.25" customHeight="1">
      <c r="E160" s="43">
        <v>151.0</v>
      </c>
      <c r="F160" s="138">
        <v>717.0</v>
      </c>
      <c r="G160" s="61"/>
      <c r="H160" s="190">
        <v>717.0</v>
      </c>
      <c r="I160" s="61"/>
      <c r="J160" s="130">
        <v>5900.0</v>
      </c>
    </row>
    <row r="161" ht="14.25" customHeight="1">
      <c r="E161" s="43">
        <v>152.0</v>
      </c>
      <c r="F161" s="138">
        <v>232.0</v>
      </c>
      <c r="G161" s="54">
        <v>232.0</v>
      </c>
      <c r="H161" s="61"/>
      <c r="I161" s="61"/>
      <c r="J161" s="130">
        <v>5901.0</v>
      </c>
    </row>
    <row r="162" ht="14.25" customHeight="1">
      <c r="E162" s="43">
        <v>153.0</v>
      </c>
      <c r="F162" s="138">
        <v>58.0</v>
      </c>
      <c r="G162" s="54">
        <v>58.0</v>
      </c>
      <c r="H162" s="61"/>
      <c r="I162" s="61"/>
      <c r="J162" s="130">
        <v>5902.0</v>
      </c>
    </row>
    <row r="163" ht="14.25" customHeight="1">
      <c r="E163" s="158">
        <v>154.0</v>
      </c>
      <c r="F163" s="138">
        <v>160.0</v>
      </c>
      <c r="G163" s="54">
        <v>160.0</v>
      </c>
      <c r="H163" s="61"/>
      <c r="I163" s="61"/>
      <c r="J163" s="130">
        <v>5903.0</v>
      </c>
    </row>
    <row r="164" ht="14.25" customHeight="1">
      <c r="E164" s="158">
        <v>155.0</v>
      </c>
      <c r="F164" s="138">
        <v>1300.0</v>
      </c>
      <c r="G164" s="61"/>
      <c r="H164" s="61"/>
      <c r="I164" s="54">
        <v>1300.0</v>
      </c>
      <c r="J164" s="130">
        <v>5904.0</v>
      </c>
    </row>
    <row r="165" ht="14.25" customHeight="1">
      <c r="E165" s="158"/>
      <c r="F165" s="121"/>
      <c r="G165" s="61"/>
      <c r="H165" s="61"/>
      <c r="I165" s="61"/>
      <c r="J165" s="130"/>
    </row>
    <row r="166" ht="14.25" customHeight="1">
      <c r="E166" s="43"/>
      <c r="F166" s="121"/>
      <c r="G166" s="61"/>
      <c r="H166" s="61"/>
      <c r="I166" s="61"/>
      <c r="J166" s="130"/>
    </row>
    <row r="167" ht="14.25" customHeight="1">
      <c r="E167" s="43"/>
      <c r="F167" s="121"/>
      <c r="G167" s="61"/>
      <c r="H167" s="61"/>
      <c r="I167" s="61"/>
      <c r="J167" s="130"/>
    </row>
    <row r="168" ht="14.25" customHeight="1">
      <c r="E168" s="43"/>
      <c r="F168" s="121"/>
      <c r="G168" s="61"/>
      <c r="H168" s="152"/>
      <c r="I168" s="61"/>
      <c r="J168" s="130"/>
    </row>
    <row r="169" ht="14.25" customHeight="1">
      <c r="E169" s="43"/>
      <c r="F169" s="121"/>
      <c r="G169" s="61"/>
      <c r="H169" s="153"/>
      <c r="I169" s="61"/>
      <c r="J169" s="130"/>
    </row>
    <row r="170" ht="14.25" customHeight="1">
      <c r="E170" s="43"/>
      <c r="F170" s="121"/>
      <c r="G170" s="61"/>
      <c r="H170" s="61"/>
      <c r="I170" s="61"/>
      <c r="J170" s="130"/>
    </row>
    <row r="171" ht="14.25" customHeight="1">
      <c r="E171" s="43"/>
      <c r="F171" s="121"/>
      <c r="G171" s="61"/>
      <c r="H171" s="61"/>
      <c r="I171" s="61"/>
      <c r="J171" s="46"/>
    </row>
    <row r="172" ht="14.25" customHeight="1">
      <c r="E172" s="122"/>
      <c r="F172" s="123">
        <f t="shared" ref="F172:I172" si="4">SUM(F10:F171)</f>
        <v>70863</v>
      </c>
      <c r="G172" s="123">
        <f t="shared" si="4"/>
        <v>22214</v>
      </c>
      <c r="H172" s="123">
        <f t="shared" si="4"/>
        <v>42568</v>
      </c>
      <c r="I172" s="123">
        <f t="shared" si="4"/>
        <v>6141</v>
      </c>
      <c r="J172" s="1"/>
    </row>
    <row r="173" ht="14.25" customHeight="1">
      <c r="E173" s="124"/>
      <c r="F173" s="124"/>
      <c r="G173" s="124"/>
      <c r="H173" s="124"/>
      <c r="I173" s="125"/>
      <c r="J173" s="1"/>
    </row>
    <row r="174" ht="14.25" customHeight="1">
      <c r="E174" s="8"/>
      <c r="F174" s="8"/>
      <c r="G174" s="8"/>
      <c r="H174" s="8"/>
      <c r="I174" s="8"/>
      <c r="J174" s="1"/>
    </row>
    <row r="175" ht="14.25" customHeight="1">
      <c r="E175" s="8"/>
      <c r="F175" s="8"/>
      <c r="G175" s="8"/>
      <c r="H175" s="8"/>
      <c r="I175" s="8"/>
      <c r="J175" s="1"/>
    </row>
    <row r="176" ht="14.25" customHeight="1">
      <c r="E176" s="8"/>
      <c r="F176" s="8"/>
      <c r="G176" s="8"/>
      <c r="H176" s="8"/>
      <c r="I176" s="8"/>
      <c r="J176" s="1"/>
    </row>
    <row r="177" ht="14.25" customHeight="1">
      <c r="E177" s="8"/>
      <c r="F177" s="8"/>
      <c r="G177" s="8"/>
      <c r="H177" s="8"/>
      <c r="I177" s="8"/>
      <c r="J177" s="1"/>
    </row>
    <row r="178" ht="14.25" customHeight="1">
      <c r="E178" s="8"/>
      <c r="F178" s="8"/>
      <c r="G178" s="8"/>
      <c r="H178" s="8"/>
      <c r="I178" s="8"/>
      <c r="J178" s="1"/>
    </row>
    <row r="179" ht="14.25" customHeight="1">
      <c r="E179" s="1"/>
      <c r="F179" s="1"/>
      <c r="G179" s="1"/>
      <c r="H179" s="1"/>
      <c r="I179" s="1"/>
      <c r="J179" s="1"/>
    </row>
    <row r="180" ht="14.25" customHeight="1">
      <c r="E180" s="1"/>
      <c r="F180" s="1"/>
      <c r="G180" s="1"/>
      <c r="H180" s="1"/>
      <c r="I180" s="1"/>
      <c r="J180" s="1"/>
    </row>
    <row r="181" ht="14.25" customHeight="1">
      <c r="E181" s="1"/>
      <c r="F181" s="1"/>
      <c r="G181" s="1"/>
      <c r="H181" s="1"/>
      <c r="I181" s="1"/>
      <c r="J181" s="1"/>
    </row>
    <row r="182" ht="14.25" customHeight="1">
      <c r="E182" s="1"/>
      <c r="F182" s="1"/>
      <c r="G182" s="1"/>
      <c r="H182" s="1"/>
      <c r="I182" s="1"/>
      <c r="J182" s="1"/>
    </row>
    <row r="183" ht="14.25" customHeight="1">
      <c r="E183" s="1"/>
      <c r="F183" s="1"/>
      <c r="G183" s="1"/>
      <c r="H183" s="1"/>
      <c r="I183" s="1"/>
      <c r="J183" s="1"/>
    </row>
    <row r="184" ht="14.25" customHeight="1">
      <c r="E184" s="1"/>
      <c r="F184" s="1"/>
      <c r="G184" s="1"/>
      <c r="H184" s="1"/>
      <c r="I184" s="1"/>
      <c r="J184" s="1"/>
    </row>
    <row r="185" ht="14.25" customHeight="1">
      <c r="E185" s="1"/>
      <c r="F185" s="1"/>
      <c r="G185" s="126"/>
      <c r="H185" s="127"/>
      <c r="I185" s="1"/>
      <c r="J185" s="1"/>
    </row>
    <row r="186" ht="14.25" customHeight="1">
      <c r="E186" s="1"/>
      <c r="F186" s="1"/>
      <c r="G186" s="1"/>
      <c r="H186" s="1"/>
      <c r="I186" s="1"/>
      <c r="J186" s="1"/>
    </row>
    <row r="187" ht="14.25" customHeight="1">
      <c r="E187" s="1"/>
      <c r="F187" s="1"/>
      <c r="G187" s="1"/>
      <c r="H187" s="1"/>
      <c r="I187" s="1"/>
      <c r="J187" s="1"/>
    </row>
    <row r="188" ht="14.25" customHeight="1">
      <c r="E188" s="1"/>
      <c r="F188" s="1"/>
      <c r="G188" s="1"/>
      <c r="H188" s="1"/>
      <c r="I188" s="1"/>
      <c r="J188" s="1"/>
    </row>
    <row r="189" ht="14.25" customHeight="1">
      <c r="E189" s="1"/>
      <c r="F189" s="1"/>
      <c r="G189" s="1"/>
      <c r="H189" s="1"/>
      <c r="I189" s="1"/>
      <c r="J189" s="1"/>
    </row>
    <row r="190" ht="14.25" customHeight="1">
      <c r="E190" s="1"/>
      <c r="F190" s="1"/>
      <c r="G190" s="1"/>
      <c r="H190" s="1"/>
      <c r="I190" s="1"/>
      <c r="J190" s="1"/>
    </row>
    <row r="191" ht="14.25" customHeight="1">
      <c r="E191" s="1"/>
      <c r="F191" s="1"/>
      <c r="G191" s="1"/>
      <c r="H191" s="1"/>
      <c r="I191" s="1"/>
      <c r="J191" s="1"/>
    </row>
    <row r="192" ht="14.25" customHeight="1">
      <c r="E192" s="1"/>
      <c r="F192" s="1"/>
      <c r="G192" s="1"/>
      <c r="H192" s="1"/>
      <c r="I192" s="1"/>
      <c r="J192" s="1"/>
    </row>
    <row r="193" ht="14.25" customHeight="1">
      <c r="E193" s="1"/>
      <c r="F193" s="1"/>
      <c r="G193" s="1"/>
      <c r="H193" s="1"/>
      <c r="I193" s="1"/>
      <c r="J193" s="1"/>
    </row>
    <row r="194" ht="14.25" customHeight="1">
      <c r="E194" s="1"/>
      <c r="F194" s="1"/>
      <c r="G194" s="1"/>
      <c r="H194" s="1"/>
      <c r="I194" s="1"/>
      <c r="J194" s="1"/>
    </row>
    <row r="195" ht="14.25" customHeight="1">
      <c r="E195" s="1"/>
      <c r="F195" s="1"/>
      <c r="G195" s="1"/>
      <c r="H195" s="1"/>
      <c r="I195" s="1"/>
      <c r="J195" s="1"/>
    </row>
    <row r="196" ht="14.25" customHeight="1">
      <c r="E196" s="1"/>
      <c r="F196" s="1"/>
      <c r="G196" s="1"/>
      <c r="H196" s="1"/>
      <c r="I196" s="1"/>
      <c r="J196" s="1"/>
    </row>
    <row r="197" ht="14.25" customHeight="1">
      <c r="E197" s="1"/>
      <c r="F197" s="1"/>
      <c r="G197" s="1"/>
      <c r="H197" s="1"/>
      <c r="I197" s="1"/>
      <c r="J197" s="1"/>
    </row>
    <row r="198" ht="14.25" customHeight="1">
      <c r="E198" s="1"/>
      <c r="F198" s="1"/>
      <c r="G198" s="1"/>
      <c r="H198" s="1"/>
      <c r="I198" s="1"/>
      <c r="J198" s="1"/>
    </row>
    <row r="199" ht="14.25" customHeight="1">
      <c r="E199" s="1"/>
      <c r="F199" s="1"/>
      <c r="G199" s="1"/>
      <c r="H199" s="1"/>
      <c r="I199" s="1"/>
      <c r="J199" s="1"/>
    </row>
    <row r="200" ht="14.25" customHeight="1">
      <c r="E200" s="1"/>
      <c r="F200" s="1"/>
      <c r="G200" s="1"/>
      <c r="H200" s="1"/>
      <c r="I200" s="1"/>
      <c r="J200" s="1"/>
    </row>
    <row r="201" ht="14.25" customHeight="1">
      <c r="E201" s="1"/>
      <c r="F201" s="1"/>
      <c r="G201" s="1"/>
      <c r="H201" s="1"/>
      <c r="I201" s="1"/>
      <c r="J201" s="1"/>
    </row>
    <row r="202" ht="14.25" customHeight="1">
      <c r="E202" s="1"/>
      <c r="F202" s="1"/>
      <c r="G202" s="1"/>
      <c r="H202" s="1"/>
      <c r="I202" s="1"/>
      <c r="J202" s="1"/>
    </row>
    <row r="203" ht="14.25" customHeight="1">
      <c r="E203" s="1"/>
      <c r="F203" s="1"/>
      <c r="G203" s="1"/>
      <c r="H203" s="1"/>
      <c r="I203" s="1"/>
      <c r="J203" s="1"/>
    </row>
    <row r="204" ht="14.25" customHeight="1">
      <c r="E204" s="1"/>
      <c r="F204" s="1"/>
      <c r="G204" s="1"/>
      <c r="H204" s="1"/>
      <c r="I204" s="1"/>
      <c r="J204" s="1"/>
    </row>
    <row r="205" ht="14.25" customHeight="1">
      <c r="E205" s="1"/>
      <c r="F205" s="1"/>
      <c r="G205" s="1"/>
      <c r="H205" s="1"/>
      <c r="I205" s="1"/>
      <c r="J205" s="1"/>
    </row>
    <row r="206" ht="14.25" customHeight="1">
      <c r="E206" s="1"/>
      <c r="F206" s="1"/>
      <c r="G206" s="1"/>
      <c r="H206" s="1"/>
      <c r="I206" s="1"/>
      <c r="J206" s="1"/>
    </row>
    <row r="207" ht="14.25" customHeight="1">
      <c r="E207" s="1"/>
      <c r="F207" s="1"/>
      <c r="G207" s="1"/>
      <c r="H207" s="1"/>
      <c r="I207" s="1"/>
      <c r="J207" s="1"/>
    </row>
    <row r="208" ht="14.25" customHeight="1">
      <c r="E208" s="1"/>
      <c r="F208" s="1"/>
      <c r="G208" s="1"/>
      <c r="H208" s="1"/>
      <c r="I208" s="1"/>
      <c r="J208" s="1"/>
    </row>
    <row r="209" ht="14.25" customHeight="1">
      <c r="E209" s="1"/>
      <c r="F209" s="1"/>
      <c r="G209" s="1"/>
      <c r="H209" s="1"/>
      <c r="I209" s="1"/>
      <c r="J209" s="1"/>
    </row>
    <row r="210" ht="14.25" customHeight="1">
      <c r="E210" s="1"/>
      <c r="F210" s="1"/>
      <c r="G210" s="1"/>
      <c r="H210" s="1"/>
      <c r="I210" s="1"/>
      <c r="J210" s="1"/>
    </row>
    <row r="211" ht="14.25" customHeight="1">
      <c r="E211" s="1"/>
      <c r="F211" s="1"/>
      <c r="G211" s="1"/>
      <c r="H211" s="1"/>
      <c r="I211" s="1"/>
      <c r="J211" s="1"/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53055.0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109707.0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59055.0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F154-C15</f>
        <v>41869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G154-W33</f>
        <v>21047</v>
      </c>
      <c r="D10" s="24"/>
      <c r="E10" s="43">
        <v>1.0</v>
      </c>
      <c r="F10" s="44">
        <v>530.0</v>
      </c>
      <c r="G10" s="45">
        <v>500.0</v>
      </c>
      <c r="H10" s="298">
        <v>30.0</v>
      </c>
      <c r="I10" s="45"/>
      <c r="J10" s="130">
        <v>5905.0</v>
      </c>
      <c r="K10" s="24"/>
      <c r="L10" s="47">
        <v>50.0</v>
      </c>
      <c r="M10" s="47"/>
      <c r="N10" s="47">
        <v>5882.0</v>
      </c>
      <c r="O10" s="49"/>
      <c r="P10" s="85" t="s">
        <v>401</v>
      </c>
      <c r="Q10" s="51"/>
      <c r="R10" s="52">
        <v>370.0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H154-X33</f>
        <v>21560</v>
      </c>
      <c r="D11" s="24"/>
      <c r="E11" s="43">
        <v>2.0</v>
      </c>
      <c r="F11" s="56">
        <v>81.0</v>
      </c>
      <c r="G11" s="57">
        <v>81.0</v>
      </c>
      <c r="H11" s="58"/>
      <c r="I11" s="59"/>
      <c r="J11" s="130">
        <v>5906.0</v>
      </c>
      <c r="K11" s="24"/>
      <c r="L11" s="48"/>
      <c r="M11" s="196">
        <v>2250.0</v>
      </c>
      <c r="N11" s="47">
        <v>5738.0</v>
      </c>
      <c r="O11" s="49"/>
      <c r="P11" s="72" t="s">
        <v>402</v>
      </c>
      <c r="Q11" s="51"/>
      <c r="R11" s="52">
        <v>40.0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I154</f>
        <v>0</v>
      </c>
      <c r="D12" s="24"/>
      <c r="E12" s="43">
        <v>3.0</v>
      </c>
      <c r="F12" s="63">
        <v>25.0</v>
      </c>
      <c r="G12" s="64">
        <v>25.0</v>
      </c>
      <c r="H12" s="64"/>
      <c r="I12" s="65"/>
      <c r="J12" s="130">
        <v>5907.0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50</v>
      </c>
      <c r="D13" s="24"/>
      <c r="E13" s="43">
        <v>4.0</v>
      </c>
      <c r="F13" s="56">
        <v>80.0</v>
      </c>
      <c r="G13" s="64">
        <v>80.0</v>
      </c>
      <c r="H13" s="65"/>
      <c r="I13" s="64" t="s">
        <v>403</v>
      </c>
      <c r="J13" s="130">
        <v>5908.0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2250</v>
      </c>
      <c r="D14" s="24"/>
      <c r="E14" s="43">
        <v>5.0</v>
      </c>
      <c r="F14" s="56">
        <v>334.0</v>
      </c>
      <c r="G14" s="64"/>
      <c r="H14" s="189">
        <v>334.0</v>
      </c>
      <c r="I14" s="65"/>
      <c r="J14" s="130">
        <v>5909.0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49.0</v>
      </c>
      <c r="G15" s="64">
        <v>49.0</v>
      </c>
      <c r="H15" s="64"/>
      <c r="I15" s="65"/>
      <c r="J15" s="130">
        <v>5910.0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410</v>
      </c>
      <c r="D16" s="24"/>
      <c r="E16" s="43">
        <v>7.0</v>
      </c>
      <c r="F16" s="56">
        <v>399.0</v>
      </c>
      <c r="G16" s="64">
        <v>399.0</v>
      </c>
      <c r="H16" s="64"/>
      <c r="I16" s="65"/>
      <c r="J16" s="130">
        <v>5911.0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410</v>
      </c>
      <c r="D17" s="24"/>
      <c r="E17" s="43">
        <v>8.0</v>
      </c>
      <c r="F17" s="56">
        <v>199.0</v>
      </c>
      <c r="G17" s="64">
        <v>199.0</v>
      </c>
      <c r="H17" s="64"/>
      <c r="I17" s="65"/>
      <c r="J17" s="130">
        <v>5912.0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42.0</v>
      </c>
      <c r="G18" s="64"/>
      <c r="H18" s="189">
        <v>42.0</v>
      </c>
      <c r="I18" s="65"/>
      <c r="J18" s="130">
        <v>5913.0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20.0</v>
      </c>
      <c r="G19" s="64"/>
      <c r="H19" s="189">
        <v>20.0</v>
      </c>
      <c r="I19" s="65"/>
      <c r="J19" s="130">
        <v>5914.0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56755</v>
      </c>
      <c r="D20" s="24"/>
      <c r="E20" s="43">
        <v>11.0</v>
      </c>
      <c r="F20" s="56">
        <v>198.0</v>
      </c>
      <c r="G20" s="65"/>
      <c r="H20" s="189">
        <v>198.0</v>
      </c>
      <c r="I20" s="65"/>
      <c r="J20" s="130">
        <v>5915.0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133517</v>
      </c>
      <c r="D21" s="24"/>
      <c r="E21" s="254">
        <v>12.0</v>
      </c>
      <c r="F21" s="216">
        <v>253.0</v>
      </c>
      <c r="G21" s="169"/>
      <c r="H21" s="182">
        <v>253.0</v>
      </c>
      <c r="I21" s="169"/>
      <c r="J21" s="155" t="s">
        <v>404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73742</v>
      </c>
      <c r="D22" s="24"/>
      <c r="E22" s="43">
        <v>13.0</v>
      </c>
      <c r="F22" s="56">
        <v>276.0</v>
      </c>
      <c r="G22" s="64"/>
      <c r="H22" s="189">
        <v>276.0</v>
      </c>
      <c r="I22" s="65"/>
      <c r="J22" s="130">
        <v>5917.0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73700.0</v>
      </c>
      <c r="D23" s="24"/>
      <c r="E23" s="43">
        <v>14.0</v>
      </c>
      <c r="F23" s="56">
        <v>231.0</v>
      </c>
      <c r="G23" s="64">
        <v>231.0</v>
      </c>
      <c r="H23" s="65"/>
      <c r="I23" s="65"/>
      <c r="J23" s="130">
        <v>5918.0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307" t="s">
        <v>405</v>
      </c>
      <c r="D24" s="24"/>
      <c r="E24" s="43">
        <v>15.0</v>
      </c>
      <c r="F24" s="56">
        <v>121.0</v>
      </c>
      <c r="G24" s="64"/>
      <c r="H24" s="189">
        <v>121.0</v>
      </c>
      <c r="I24" s="65"/>
      <c r="J24" s="130">
        <v>5919.0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1961.0</v>
      </c>
      <c r="G25" s="64">
        <v>1961.0</v>
      </c>
      <c r="H25" s="65"/>
      <c r="I25" s="65"/>
      <c r="J25" s="130">
        <v>5920.0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F154</f>
        <v>41869</v>
      </c>
      <c r="D26" s="24"/>
      <c r="E26" s="43">
        <v>17.0</v>
      </c>
      <c r="F26" s="56">
        <v>549.0</v>
      </c>
      <c r="G26" s="64"/>
      <c r="H26" s="189">
        <v>549.0</v>
      </c>
      <c r="I26" s="65"/>
      <c r="J26" s="130">
        <v>5921.0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130.0</v>
      </c>
      <c r="D27" s="24"/>
      <c r="E27" s="43">
        <v>18.0</v>
      </c>
      <c r="F27" s="56">
        <v>159.0</v>
      </c>
      <c r="G27" s="64">
        <v>159.0</v>
      </c>
      <c r="H27" s="65"/>
      <c r="I27" s="65"/>
      <c r="J27" s="130">
        <v>5922.0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322.0692308</v>
      </c>
      <c r="D28" s="24"/>
      <c r="E28" s="43">
        <v>19.0</v>
      </c>
      <c r="F28" s="56">
        <v>89.0</v>
      </c>
      <c r="G28" s="64">
        <v>89.0</v>
      </c>
      <c r="H28" s="65"/>
      <c r="I28" s="65"/>
      <c r="J28" s="130">
        <v>5923.0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112.0</v>
      </c>
      <c r="G29" s="64">
        <v>112.0</v>
      </c>
      <c r="H29" s="65"/>
      <c r="I29" s="65"/>
      <c r="J29" s="130">
        <v>5924.0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140.0</v>
      </c>
      <c r="G30" s="92"/>
      <c r="H30" s="190">
        <v>140.0</v>
      </c>
      <c r="I30" s="93"/>
      <c r="J30" s="130">
        <v>5925.0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182.0</v>
      </c>
      <c r="G31" s="93">
        <v>182.0</v>
      </c>
      <c r="H31" s="92"/>
      <c r="I31" s="92"/>
      <c r="J31" s="130">
        <v>5926.0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221.0</v>
      </c>
      <c r="G32" s="93">
        <v>221.0</v>
      </c>
      <c r="H32" s="92"/>
      <c r="I32" s="92"/>
      <c r="J32" s="130">
        <v>5927.0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709.0</v>
      </c>
      <c r="G33" s="93">
        <v>709.0</v>
      </c>
      <c r="H33" s="92"/>
      <c r="I33" s="92"/>
      <c r="J33" s="130">
        <v>5928.0</v>
      </c>
      <c r="K33" s="24"/>
      <c r="L33" s="104">
        <f t="shared" ref="L33:M33" si="2">sum(L10:L32)</f>
        <v>50</v>
      </c>
      <c r="M33" s="104">
        <f t="shared" si="2"/>
        <v>2250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617.0</v>
      </c>
      <c r="G34" s="93">
        <v>500.0</v>
      </c>
      <c r="H34" s="190">
        <v>117.0</v>
      </c>
      <c r="I34" s="92"/>
      <c r="J34" s="130">
        <v>5929.0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51.0</v>
      </c>
      <c r="G35" s="93">
        <v>51.0</v>
      </c>
      <c r="H35" s="93"/>
      <c r="I35" s="92"/>
      <c r="J35" s="130">
        <v>5930.0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275.0</v>
      </c>
      <c r="G36" s="93"/>
      <c r="H36" s="190">
        <v>275.0</v>
      </c>
      <c r="I36" s="92"/>
      <c r="J36" s="130">
        <v>5931.0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457.0</v>
      </c>
      <c r="G37" s="93"/>
      <c r="H37" s="190">
        <v>457.0</v>
      </c>
      <c r="I37" s="92"/>
      <c r="J37" s="130">
        <v>5932.0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11.0</v>
      </c>
      <c r="G38" s="93">
        <v>11.0</v>
      </c>
      <c r="H38" s="92"/>
      <c r="I38" s="92"/>
      <c r="J38" s="130">
        <v>5933.0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254">
        <v>30.0</v>
      </c>
      <c r="F39" s="216">
        <v>618.0</v>
      </c>
      <c r="G39" s="136"/>
      <c r="H39" s="136">
        <v>618.0</v>
      </c>
      <c r="I39" s="173"/>
      <c r="J39" s="155" t="s">
        <v>406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556.0</v>
      </c>
      <c r="G40" s="92"/>
      <c r="H40" s="190">
        <v>556.0</v>
      </c>
      <c r="I40" s="92"/>
      <c r="J40" s="130">
        <v>5935.0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396.0</v>
      </c>
      <c r="G41" s="92"/>
      <c r="H41" s="190">
        <v>396.0</v>
      </c>
      <c r="I41" s="92"/>
      <c r="J41" s="130">
        <v>5936.0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97.0</v>
      </c>
      <c r="G42" s="93">
        <v>97.0</v>
      </c>
      <c r="H42" s="93"/>
      <c r="I42" s="92"/>
      <c r="J42" s="130">
        <v>5937.0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14.0</v>
      </c>
      <c r="G43" s="93"/>
      <c r="H43" s="190">
        <v>14.0</v>
      </c>
      <c r="I43" s="92"/>
      <c r="J43" s="130">
        <v>5938.0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140.0</v>
      </c>
      <c r="G44" s="92"/>
      <c r="H44" s="190">
        <v>140.0</v>
      </c>
      <c r="I44" s="92"/>
      <c r="J44" s="130">
        <v>5939.0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101.0</v>
      </c>
      <c r="G45" s="93"/>
      <c r="H45" s="190">
        <v>101.0</v>
      </c>
      <c r="I45" s="92"/>
      <c r="J45" s="130">
        <v>5940.0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194.0</v>
      </c>
      <c r="G46" s="93">
        <v>194.0</v>
      </c>
      <c r="H46" s="92"/>
      <c r="I46" s="92"/>
      <c r="J46" s="130">
        <v>5941.0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55.0</v>
      </c>
      <c r="G47" s="93">
        <v>55.0</v>
      </c>
      <c r="H47" s="93"/>
      <c r="I47" s="92"/>
      <c r="J47" s="130">
        <v>5942.0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298.0</v>
      </c>
      <c r="G48" s="92"/>
      <c r="H48" s="190">
        <v>298.0</v>
      </c>
      <c r="I48" s="92"/>
      <c r="J48" s="130">
        <v>5943.0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471.0</v>
      </c>
      <c r="G49" s="92"/>
      <c r="H49" s="190">
        <v>471.0</v>
      </c>
      <c r="I49" s="92"/>
      <c r="J49" s="130">
        <v>5944.0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94.0</v>
      </c>
      <c r="G50" s="93">
        <v>94.0</v>
      </c>
      <c r="H50" s="93"/>
      <c r="I50" s="92"/>
      <c r="J50" s="130">
        <v>5945.0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118.0</v>
      </c>
      <c r="G51" s="93">
        <v>118.0</v>
      </c>
      <c r="H51" s="92"/>
      <c r="I51" s="92"/>
      <c r="J51" s="130">
        <v>5946.0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330.0</v>
      </c>
      <c r="G52" s="93">
        <v>330.0</v>
      </c>
      <c r="H52" s="92"/>
      <c r="I52" s="92"/>
      <c r="J52" s="130">
        <v>5947.0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90.0</v>
      </c>
      <c r="G53" s="93">
        <v>90.0</v>
      </c>
      <c r="H53" s="92"/>
      <c r="I53" s="92"/>
      <c r="J53" s="130">
        <v>5948.0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304">
        <v>45.0</v>
      </c>
      <c r="F54" s="220">
        <v>189.0</v>
      </c>
      <c r="G54" s="152">
        <v>189.0</v>
      </c>
      <c r="H54" s="152"/>
      <c r="I54" s="153"/>
      <c r="J54" s="213">
        <v>5949.0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449.0</v>
      </c>
      <c r="G55" s="93">
        <v>449.0</v>
      </c>
      <c r="H55" s="92"/>
      <c r="I55" s="92"/>
      <c r="J55" s="130">
        <v>5950.0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790.0</v>
      </c>
      <c r="G56" s="92"/>
      <c r="H56" s="190">
        <v>790.0</v>
      </c>
      <c r="I56" s="93"/>
      <c r="J56" s="130">
        <v>5951.0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304">
        <v>48.0</v>
      </c>
      <c r="F57" s="220">
        <v>728.0</v>
      </c>
      <c r="G57" s="152">
        <v>728.0</v>
      </c>
      <c r="H57" s="152"/>
      <c r="I57" s="153"/>
      <c r="J57" s="213">
        <v>5952.0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1219.0</v>
      </c>
      <c r="G58" s="93">
        <v>1219.0</v>
      </c>
      <c r="H58" s="92"/>
      <c r="I58" s="92"/>
      <c r="J58" s="130">
        <v>5953.0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254">
        <v>50.0</v>
      </c>
      <c r="F59" s="216">
        <v>1089.0</v>
      </c>
      <c r="G59" s="136"/>
      <c r="H59" s="136">
        <v>1089.0</v>
      </c>
      <c r="I59" s="173"/>
      <c r="J59" s="155" t="s">
        <v>407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356.0</v>
      </c>
      <c r="G60" s="93">
        <v>356.0</v>
      </c>
      <c r="H60" s="92"/>
      <c r="I60" s="92"/>
      <c r="J60" s="130">
        <v>5955.0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408.0</v>
      </c>
      <c r="G61" s="92"/>
      <c r="H61" s="190">
        <v>408.0</v>
      </c>
      <c r="I61" s="92"/>
      <c r="J61" s="130">
        <v>5956.0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256.0</v>
      </c>
      <c r="G62" s="93">
        <v>256.0</v>
      </c>
      <c r="H62" s="92"/>
      <c r="I62" s="92"/>
      <c r="J62" s="130">
        <v>5957.0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899.0</v>
      </c>
      <c r="G63" s="92"/>
      <c r="H63" s="190">
        <v>899.0</v>
      </c>
      <c r="I63" s="92"/>
      <c r="J63" s="130">
        <v>5958.0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655.0</v>
      </c>
      <c r="G64" s="92"/>
      <c r="H64" s="190">
        <v>655.0</v>
      </c>
      <c r="I64" s="92"/>
      <c r="J64" s="130">
        <v>5959.0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1527.0</v>
      </c>
      <c r="G65" s="93">
        <v>1527.0</v>
      </c>
      <c r="H65" s="92"/>
      <c r="I65" s="92"/>
      <c r="J65" s="130">
        <v>5960.0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3.0</v>
      </c>
      <c r="G66" s="93">
        <v>3.0</v>
      </c>
      <c r="H66" s="92"/>
      <c r="I66" s="92"/>
      <c r="J66" s="130">
        <v>5961.0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230.0</v>
      </c>
      <c r="G67" s="92"/>
      <c r="H67" s="190">
        <v>230.0</v>
      </c>
      <c r="I67" s="92"/>
      <c r="J67" s="130">
        <v>5962.0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313.0</v>
      </c>
      <c r="G68" s="93">
        <v>313.0</v>
      </c>
      <c r="H68" s="92"/>
      <c r="I68" s="92"/>
      <c r="J68" s="130">
        <v>5963.0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51.0</v>
      </c>
      <c r="G69" s="92"/>
      <c r="H69" s="190">
        <v>51.0</v>
      </c>
      <c r="I69" s="92"/>
      <c r="J69" s="130">
        <v>5964.0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148.0</v>
      </c>
      <c r="G70" s="92"/>
      <c r="H70" s="190">
        <v>148.0</v>
      </c>
      <c r="I70" s="92"/>
      <c r="J70" s="130">
        <v>5965.0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597.0</v>
      </c>
      <c r="G71" s="92"/>
      <c r="H71" s="190">
        <v>597.0</v>
      </c>
      <c r="I71" s="92"/>
      <c r="J71" s="130">
        <v>5966.0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275.0</v>
      </c>
      <c r="G72" s="92"/>
      <c r="H72" s="190">
        <v>275.0</v>
      </c>
      <c r="I72" s="92"/>
      <c r="J72" s="130">
        <v>5967.0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233.0</v>
      </c>
      <c r="G73" s="93">
        <v>233.0</v>
      </c>
      <c r="H73" s="92"/>
      <c r="I73" s="92"/>
      <c r="J73" s="130">
        <v>5968.0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237.0</v>
      </c>
      <c r="G74" s="92"/>
      <c r="H74" s="190">
        <v>237.0</v>
      </c>
      <c r="I74" s="92"/>
      <c r="J74" s="130">
        <v>5969.0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116.0</v>
      </c>
      <c r="G75" s="93">
        <v>116.0</v>
      </c>
      <c r="H75" s="92"/>
      <c r="I75" s="92"/>
      <c r="J75" s="130">
        <v>5970.0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147.0</v>
      </c>
      <c r="G76" s="93">
        <v>147.0</v>
      </c>
      <c r="H76" s="92"/>
      <c r="I76" s="92"/>
      <c r="J76" s="130">
        <v>5971.0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731.0</v>
      </c>
      <c r="G77" s="93">
        <v>731.0</v>
      </c>
      <c r="H77" s="92"/>
      <c r="I77" s="92"/>
      <c r="J77" s="130">
        <v>5972.0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445.0</v>
      </c>
      <c r="G78" s="93">
        <v>445.0</v>
      </c>
      <c r="H78" s="92"/>
      <c r="I78" s="92"/>
      <c r="J78" s="130">
        <v>5973.0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109.0</v>
      </c>
      <c r="G79" s="93">
        <v>109.0</v>
      </c>
      <c r="H79" s="92"/>
      <c r="I79" s="92"/>
      <c r="J79" s="130">
        <v>5974.0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45.0</v>
      </c>
      <c r="G80" s="92"/>
      <c r="H80" s="190">
        <v>45.0</v>
      </c>
      <c r="I80" s="92"/>
      <c r="J80" s="130">
        <v>5975.0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9.0</v>
      </c>
      <c r="G81" s="93">
        <v>9.0</v>
      </c>
      <c r="H81" s="92"/>
      <c r="I81" s="92"/>
      <c r="J81" s="130">
        <v>5976.0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717.0</v>
      </c>
      <c r="G82" s="61"/>
      <c r="H82" s="190">
        <v>717.0</v>
      </c>
      <c r="I82" s="61"/>
      <c r="J82" s="130">
        <v>5977.0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159.0</v>
      </c>
      <c r="G83" s="61"/>
      <c r="H83" s="177">
        <v>159.0</v>
      </c>
      <c r="I83" s="61"/>
      <c r="J83" s="130">
        <v>5978.0</v>
      </c>
      <c r="K83" s="24"/>
      <c r="L83" s="112"/>
      <c r="M83" s="297">
        <v>119.0</v>
      </c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1260.0</v>
      </c>
      <c r="G84" s="54">
        <v>1100.0</v>
      </c>
      <c r="H84" s="190">
        <v>160.0</v>
      </c>
      <c r="I84" s="61"/>
      <c r="J84" s="130">
        <v>5979.0</v>
      </c>
      <c r="K84" s="24"/>
      <c r="L84" s="112"/>
      <c r="M84" s="297">
        <v>40.0</v>
      </c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125.0</v>
      </c>
      <c r="G85" s="54">
        <v>125.0</v>
      </c>
      <c r="H85" s="61"/>
      <c r="I85" s="61"/>
      <c r="J85" s="130">
        <v>5980.0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115.0</v>
      </c>
      <c r="G86" s="61"/>
      <c r="H86" s="190">
        <v>115.0</v>
      </c>
      <c r="I86" s="61"/>
      <c r="J86" s="130">
        <v>5981.0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636.0</v>
      </c>
      <c r="G87" s="54">
        <v>636.0</v>
      </c>
      <c r="H87" s="61"/>
      <c r="I87" s="61"/>
      <c r="J87" s="130">
        <v>5982.0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254">
        <v>79.0</v>
      </c>
      <c r="F88" s="216">
        <v>1141.0</v>
      </c>
      <c r="G88" s="173"/>
      <c r="H88" s="136">
        <v>1141.0</v>
      </c>
      <c r="I88" s="173"/>
      <c r="J88" s="155" t="s">
        <v>408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264.0</v>
      </c>
      <c r="G89" s="54">
        <v>264.0</v>
      </c>
      <c r="H89" s="61"/>
      <c r="I89" s="61"/>
      <c r="J89" s="130">
        <v>5984.0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114.0</v>
      </c>
      <c r="G90" s="54">
        <v>114.0</v>
      </c>
      <c r="H90" s="61"/>
      <c r="I90" s="61"/>
      <c r="J90" s="130">
        <v>5985.0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1026.0</v>
      </c>
      <c r="G91" s="61"/>
      <c r="H91" s="190">
        <v>1026.0</v>
      </c>
      <c r="I91" s="61"/>
      <c r="J91" s="130">
        <v>5986.0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299.0</v>
      </c>
      <c r="G92" s="54">
        <v>299.0</v>
      </c>
      <c r="H92" s="61"/>
      <c r="I92" s="61"/>
      <c r="J92" s="130">
        <v>5987.0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7.0</v>
      </c>
      <c r="G93" s="61"/>
      <c r="H93" s="190">
        <v>7.0</v>
      </c>
      <c r="I93" s="61"/>
      <c r="J93" s="130">
        <v>5988.0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101.0</v>
      </c>
      <c r="G94" s="61"/>
      <c r="H94" s="190">
        <v>101.0</v>
      </c>
      <c r="I94" s="61"/>
      <c r="J94" s="130">
        <v>5989.0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756.0</v>
      </c>
      <c r="G95" s="54">
        <v>89.0</v>
      </c>
      <c r="H95" s="190">
        <v>667.0</v>
      </c>
      <c r="I95" s="61"/>
      <c r="J95" s="130">
        <v>5990.0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78.0</v>
      </c>
      <c r="G96" s="61"/>
      <c r="H96" s="190">
        <v>78.0</v>
      </c>
      <c r="I96" s="61"/>
      <c r="J96" s="130">
        <v>5991.0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107.0</v>
      </c>
      <c r="G97" s="61"/>
      <c r="H97" s="190">
        <v>107.0</v>
      </c>
      <c r="I97" s="61"/>
      <c r="J97" s="130">
        <v>5992.0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320.0</v>
      </c>
      <c r="G98" s="54">
        <v>320.0</v>
      </c>
      <c r="H98" s="61"/>
      <c r="I98" s="61"/>
      <c r="J98" s="130">
        <v>5993.0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189.0</v>
      </c>
      <c r="G99" s="61"/>
      <c r="H99" s="190">
        <v>189.0</v>
      </c>
      <c r="I99" s="61"/>
      <c r="J99" s="130">
        <v>5994.0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215.0</v>
      </c>
      <c r="G100" s="61"/>
      <c r="H100" s="190">
        <v>215.0</v>
      </c>
      <c r="I100" s="61"/>
      <c r="J100" s="130">
        <v>5995.0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100.0</v>
      </c>
      <c r="G101" s="54">
        <v>100.0</v>
      </c>
      <c r="H101" s="61"/>
      <c r="I101" s="61"/>
      <c r="J101" s="130">
        <v>5996.0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913.0</v>
      </c>
      <c r="G102" s="61"/>
      <c r="H102" s="190">
        <v>913.0</v>
      </c>
      <c r="I102" s="61"/>
      <c r="J102" s="130">
        <v>5997.0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145.0</v>
      </c>
      <c r="G103" s="54">
        <v>100.0</v>
      </c>
      <c r="H103" s="190">
        <v>45.0</v>
      </c>
      <c r="I103" s="61"/>
      <c r="J103" s="130">
        <v>5998.0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204.0</v>
      </c>
      <c r="G104" s="61"/>
      <c r="H104" s="190">
        <v>204.0</v>
      </c>
      <c r="I104" s="61"/>
      <c r="J104" s="130">
        <v>5999.0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1535.0</v>
      </c>
      <c r="G105" s="61"/>
      <c r="H105" s="190">
        <v>1535.0</v>
      </c>
      <c r="I105" s="61"/>
      <c r="J105" s="130">
        <v>6000.0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369.0</v>
      </c>
      <c r="G106" s="54">
        <v>369.0</v>
      </c>
      <c r="H106" s="61"/>
      <c r="I106" s="61"/>
      <c r="J106" s="130">
        <v>6001.0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445.0</v>
      </c>
      <c r="G107" s="61"/>
      <c r="H107" s="190">
        <v>445.0</v>
      </c>
      <c r="I107" s="61"/>
      <c r="J107" s="130">
        <v>6002.0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9.0</v>
      </c>
      <c r="G108" s="54">
        <v>9.0</v>
      </c>
      <c r="H108" s="61"/>
      <c r="I108" s="61"/>
      <c r="J108" s="130">
        <v>6003.0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107.0</v>
      </c>
      <c r="G109" s="61"/>
      <c r="H109" s="308">
        <v>107.0</v>
      </c>
      <c r="I109" s="61"/>
      <c r="J109" s="130" t="s">
        <v>409</v>
      </c>
      <c r="K109" s="24"/>
      <c r="M109" s="117" t="s">
        <v>410</v>
      </c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347.0</v>
      </c>
      <c r="G110" s="61"/>
      <c r="H110" s="190">
        <v>347.0</v>
      </c>
      <c r="I110" s="61"/>
      <c r="J110" s="130">
        <v>6005.0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115.0</v>
      </c>
      <c r="G111" s="61"/>
      <c r="H111" s="190">
        <v>115.0</v>
      </c>
      <c r="I111" s="61"/>
      <c r="J111" s="130">
        <v>6006.0</v>
      </c>
      <c r="K111" s="24"/>
      <c r="L111" s="112"/>
      <c r="M111" s="309">
        <v>167.0</v>
      </c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141.0</v>
      </c>
      <c r="G112" s="61"/>
      <c r="H112" s="190">
        <v>141.0</v>
      </c>
      <c r="I112" s="61"/>
      <c r="J112" s="130">
        <v>6007.0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236.0</v>
      </c>
      <c r="G113" s="61"/>
      <c r="H113" s="310">
        <v>236.0</v>
      </c>
      <c r="I113" s="61"/>
      <c r="J113" s="130" t="s">
        <v>411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251.0</v>
      </c>
      <c r="G114" s="61"/>
      <c r="H114" s="190">
        <v>251.0</v>
      </c>
      <c r="I114" s="61"/>
      <c r="J114" s="130">
        <v>6009.0</v>
      </c>
      <c r="K114" s="24"/>
      <c r="L114" s="112"/>
      <c r="M114" s="311">
        <v>360.0</v>
      </c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470.0</v>
      </c>
      <c r="G115" s="54">
        <v>470.0</v>
      </c>
      <c r="H115" s="61"/>
      <c r="I115" s="61"/>
      <c r="J115" s="130">
        <v>6010.0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389.0</v>
      </c>
      <c r="G116" s="54">
        <v>389.0</v>
      </c>
      <c r="H116" s="61"/>
      <c r="I116" s="61"/>
      <c r="J116" s="130">
        <v>6011.0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150.0</v>
      </c>
      <c r="G117" s="61"/>
      <c r="H117" s="190">
        <v>150.0</v>
      </c>
      <c r="I117" s="61"/>
      <c r="J117" s="130">
        <v>6012.0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40.0</v>
      </c>
      <c r="G118" s="61"/>
      <c r="H118" s="190">
        <v>40.0</v>
      </c>
      <c r="I118" s="61"/>
      <c r="J118" s="130">
        <v>6013.0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468.0</v>
      </c>
      <c r="G119" s="61"/>
      <c r="H119" s="190">
        <v>468.0</v>
      </c>
      <c r="I119" s="61"/>
      <c r="J119" s="130">
        <v>6014.0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100.0</v>
      </c>
      <c r="G120" s="54">
        <v>100.0</v>
      </c>
      <c r="H120" s="61"/>
      <c r="I120" s="61"/>
      <c r="J120" s="130">
        <v>6015.0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89.0</v>
      </c>
      <c r="G121" s="61"/>
      <c r="H121" s="190">
        <v>89.0</v>
      </c>
      <c r="I121" s="61"/>
      <c r="J121" s="130">
        <v>6016.0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118.0</v>
      </c>
      <c r="G122" s="54">
        <v>118.0</v>
      </c>
      <c r="H122" s="61"/>
      <c r="I122" s="61"/>
      <c r="J122" s="130">
        <v>6017.0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527.0</v>
      </c>
      <c r="G123" s="54">
        <v>527.0</v>
      </c>
      <c r="H123" s="54"/>
      <c r="I123" s="61"/>
      <c r="J123" s="130">
        <v>6018.0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127.0</v>
      </c>
      <c r="G124" s="54">
        <v>127.0</v>
      </c>
      <c r="H124" s="61"/>
      <c r="I124" s="61"/>
      <c r="J124" s="130">
        <v>6019.0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319.0</v>
      </c>
      <c r="G125" s="54">
        <v>319.0</v>
      </c>
      <c r="H125" s="61"/>
      <c r="I125" s="61"/>
      <c r="J125" s="130">
        <v>6020.0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406.0</v>
      </c>
      <c r="G126" s="54">
        <v>400.0</v>
      </c>
      <c r="H126" s="190">
        <v>6.0</v>
      </c>
      <c r="I126" s="61"/>
      <c r="J126" s="130">
        <v>6021.0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200.0</v>
      </c>
      <c r="G127" s="54">
        <v>200.0</v>
      </c>
      <c r="H127" s="61"/>
      <c r="I127" s="61"/>
      <c r="J127" s="130">
        <v>6022.0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90.0</v>
      </c>
      <c r="G128" s="54">
        <v>90.0</v>
      </c>
      <c r="H128" s="61"/>
      <c r="I128" s="61"/>
      <c r="J128" s="130">
        <v>6023.0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38">
        <v>11.0</v>
      </c>
      <c r="G129" s="54">
        <v>11.0</v>
      </c>
      <c r="H129" s="61"/>
      <c r="I129" s="61"/>
      <c r="J129" s="130">
        <v>6024.0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38">
        <v>250.0</v>
      </c>
      <c r="G130" s="61"/>
      <c r="H130" s="190">
        <v>250.0</v>
      </c>
      <c r="I130" s="61"/>
      <c r="J130" s="130">
        <v>6025.0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38">
        <v>13.0</v>
      </c>
      <c r="G131" s="61"/>
      <c r="H131" s="190">
        <v>13.0</v>
      </c>
      <c r="I131" s="61"/>
      <c r="J131" s="130">
        <v>6026.0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38">
        <v>20.0</v>
      </c>
      <c r="G132" s="61"/>
      <c r="H132" s="190">
        <v>20.0</v>
      </c>
      <c r="I132" s="61"/>
      <c r="J132" s="130">
        <v>6027.0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38">
        <v>84.0</v>
      </c>
      <c r="G133" s="61"/>
      <c r="H133" s="190">
        <v>84.0</v>
      </c>
      <c r="I133" s="61"/>
      <c r="J133" s="130">
        <v>6028.0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24"/>
      <c r="E134" s="43">
        <v>125.0</v>
      </c>
      <c r="F134" s="138">
        <v>82.0</v>
      </c>
      <c r="G134" s="54">
        <v>82.0</v>
      </c>
      <c r="H134" s="61"/>
      <c r="I134" s="61"/>
      <c r="J134" s="130">
        <v>6029.0</v>
      </c>
      <c r="K134" s="24"/>
      <c r="L134" s="112"/>
      <c r="M134" s="112"/>
      <c r="N134" s="112"/>
      <c r="O134" s="112"/>
      <c r="P134" s="112"/>
      <c r="Q134" s="113"/>
      <c r="R134" s="114"/>
      <c r="S134" s="114"/>
      <c r="T134" s="114"/>
      <c r="U134" s="115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4.25" customHeight="1">
      <c r="A135" s="1"/>
      <c r="B135" s="1"/>
      <c r="C135" s="1"/>
      <c r="D135" s="24"/>
      <c r="E135" s="43">
        <v>126.0</v>
      </c>
      <c r="F135" s="138">
        <v>260.0</v>
      </c>
      <c r="G135" s="61"/>
      <c r="H135" s="190">
        <v>260.0</v>
      </c>
      <c r="I135" s="61"/>
      <c r="J135" s="130">
        <v>6030.0</v>
      </c>
      <c r="K135" s="24"/>
      <c r="L135" s="112"/>
      <c r="M135" s="112"/>
      <c r="N135" s="112"/>
      <c r="O135" s="112"/>
      <c r="P135" s="112"/>
      <c r="Q135" s="113"/>
      <c r="R135" s="114"/>
      <c r="S135" s="114"/>
      <c r="T135" s="114"/>
      <c r="U135" s="115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4.25" customHeight="1">
      <c r="A136" s="1"/>
      <c r="B136" s="1"/>
      <c r="C136" s="1"/>
      <c r="D136" s="24"/>
      <c r="E136" s="43">
        <v>127.0</v>
      </c>
      <c r="F136" s="138">
        <v>90.0</v>
      </c>
      <c r="G136" s="61"/>
      <c r="H136" s="190">
        <v>90.0</v>
      </c>
      <c r="I136" s="61"/>
      <c r="J136" s="130">
        <v>6031.0</v>
      </c>
      <c r="K136" s="24"/>
      <c r="L136" s="112"/>
      <c r="M136" s="112"/>
      <c r="N136" s="112"/>
      <c r="O136" s="112"/>
      <c r="P136" s="112"/>
      <c r="Q136" s="113"/>
      <c r="R136" s="114"/>
      <c r="S136" s="114"/>
      <c r="T136" s="114"/>
      <c r="U136" s="115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4.25" customHeight="1">
      <c r="A137" s="1"/>
      <c r="B137" s="1"/>
      <c r="C137" s="1"/>
      <c r="D137" s="24"/>
      <c r="E137" s="43">
        <v>128.0</v>
      </c>
      <c r="F137" s="138">
        <v>55.0</v>
      </c>
      <c r="G137" s="61"/>
      <c r="H137" s="190">
        <v>55.0</v>
      </c>
      <c r="I137" s="61"/>
      <c r="J137" s="130">
        <v>6032.0</v>
      </c>
      <c r="K137" s="24"/>
      <c r="L137" s="112"/>
      <c r="M137" s="112"/>
      <c r="N137" s="112"/>
      <c r="O137" s="112"/>
      <c r="P137" s="112"/>
      <c r="Q137" s="113"/>
      <c r="R137" s="114"/>
      <c r="S137" s="114"/>
      <c r="T137" s="114"/>
      <c r="U137" s="115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4.25" customHeight="1">
      <c r="A138" s="1"/>
      <c r="B138" s="1"/>
      <c r="C138" s="1"/>
      <c r="D138" s="24"/>
      <c r="E138" s="43">
        <v>129.0</v>
      </c>
      <c r="F138" s="138">
        <v>68.0</v>
      </c>
      <c r="G138" s="54">
        <v>68.0</v>
      </c>
      <c r="H138" s="61"/>
      <c r="I138" s="61"/>
      <c r="J138" s="130">
        <v>6033.0</v>
      </c>
      <c r="K138" s="24"/>
      <c r="L138" s="112"/>
      <c r="M138" s="112"/>
      <c r="N138" s="112"/>
      <c r="O138" s="112"/>
      <c r="P138" s="112"/>
      <c r="Q138" s="113"/>
      <c r="R138" s="114"/>
      <c r="S138" s="114"/>
      <c r="T138" s="114"/>
      <c r="U138" s="115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4.25" customHeight="1">
      <c r="A139" s="1"/>
      <c r="B139" s="1"/>
      <c r="C139" s="1"/>
      <c r="D139" s="24"/>
      <c r="E139" s="43">
        <v>130.0</v>
      </c>
      <c r="F139" s="138">
        <v>700.0</v>
      </c>
      <c r="G139" s="54">
        <v>700.0</v>
      </c>
      <c r="H139" s="61"/>
      <c r="I139" s="61"/>
      <c r="J139" s="130">
        <v>6034.0</v>
      </c>
      <c r="K139" s="24"/>
      <c r="L139" s="112"/>
      <c r="M139" s="112"/>
      <c r="N139" s="112"/>
      <c r="O139" s="112"/>
      <c r="P139" s="112"/>
      <c r="Q139" s="113"/>
      <c r="R139" s="114"/>
      <c r="S139" s="114"/>
      <c r="T139" s="114"/>
      <c r="U139" s="115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4.25" customHeight="1">
      <c r="A140" s="1"/>
      <c r="B140" s="1"/>
      <c r="C140" s="1"/>
      <c r="D140" s="24"/>
      <c r="E140" s="43"/>
      <c r="F140" s="121"/>
      <c r="G140" s="61"/>
      <c r="H140" s="61"/>
      <c r="I140" s="61"/>
      <c r="J140" s="130"/>
      <c r="K140" s="24"/>
      <c r="L140" s="112"/>
      <c r="M140" s="112"/>
      <c r="N140" s="112"/>
      <c r="O140" s="112"/>
      <c r="P140" s="112"/>
      <c r="Q140" s="113"/>
      <c r="R140" s="114"/>
      <c r="S140" s="114"/>
      <c r="T140" s="114"/>
      <c r="U140" s="115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4.25" customHeight="1">
      <c r="A141" s="1"/>
      <c r="B141" s="1"/>
      <c r="C141" s="1"/>
      <c r="D141" s="24"/>
      <c r="E141" s="43"/>
      <c r="F141" s="121"/>
      <c r="G141" s="61"/>
      <c r="H141" s="61"/>
      <c r="I141" s="61"/>
      <c r="J141" s="130"/>
      <c r="K141" s="24"/>
      <c r="L141" s="112"/>
      <c r="M141" s="112"/>
      <c r="N141" s="112"/>
      <c r="O141" s="112"/>
      <c r="P141" s="112"/>
      <c r="Q141" s="113"/>
      <c r="R141" s="114"/>
      <c r="S141" s="114"/>
      <c r="T141" s="114"/>
      <c r="U141" s="115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4.25" customHeight="1">
      <c r="A142" s="1"/>
      <c r="B142" s="1"/>
      <c r="C142" s="1"/>
      <c r="D142" s="24"/>
      <c r="E142" s="43"/>
      <c r="F142" s="121"/>
      <c r="G142" s="61"/>
      <c r="H142" s="61"/>
      <c r="I142" s="61"/>
      <c r="J142" s="46"/>
      <c r="K142" s="24"/>
      <c r="L142" s="112"/>
      <c r="M142" s="112"/>
      <c r="N142" s="112"/>
      <c r="O142" s="112"/>
      <c r="P142" s="112"/>
      <c r="Q142" s="113"/>
      <c r="R142" s="114"/>
      <c r="S142" s="114"/>
      <c r="T142" s="114"/>
      <c r="U142" s="115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4.25" customHeight="1">
      <c r="A143" s="1"/>
      <c r="B143" s="1"/>
      <c r="C143" s="1"/>
      <c r="D143" s="24"/>
      <c r="E143" s="43"/>
      <c r="F143" s="121"/>
      <c r="G143" s="61"/>
      <c r="H143" s="61"/>
      <c r="I143" s="61"/>
      <c r="J143" s="46"/>
      <c r="K143" s="24"/>
      <c r="L143" s="112"/>
      <c r="M143" s="112"/>
      <c r="N143" s="112"/>
      <c r="O143" s="112"/>
      <c r="P143" s="112"/>
      <c r="Q143" s="113"/>
      <c r="R143" s="114"/>
      <c r="S143" s="114"/>
      <c r="T143" s="114"/>
      <c r="U143" s="115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4.25" customHeight="1">
      <c r="A144" s="1"/>
      <c r="B144" s="1"/>
      <c r="C144" s="1"/>
      <c r="D144" s="24"/>
      <c r="E144" s="43"/>
      <c r="F144" s="121"/>
      <c r="G144" s="61"/>
      <c r="H144" s="61"/>
      <c r="I144" s="61"/>
      <c r="J144" s="46"/>
      <c r="K144" s="24"/>
      <c r="L144" s="112"/>
      <c r="M144" s="112"/>
      <c r="N144" s="112"/>
      <c r="O144" s="112"/>
      <c r="P144" s="112"/>
      <c r="Q144" s="113"/>
      <c r="R144" s="114"/>
      <c r="S144" s="114"/>
      <c r="T144" s="114"/>
      <c r="U144" s="115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4.25" customHeight="1">
      <c r="A145" s="1"/>
      <c r="B145" s="1"/>
      <c r="C145" s="1"/>
      <c r="D145" s="24"/>
      <c r="E145" s="43"/>
      <c r="F145" s="121"/>
      <c r="G145" s="61"/>
      <c r="H145" s="61"/>
      <c r="I145" s="61"/>
      <c r="J145" s="46"/>
      <c r="K145" s="24"/>
      <c r="L145" s="112"/>
      <c r="M145" s="112"/>
      <c r="N145" s="112"/>
      <c r="O145" s="112"/>
      <c r="P145" s="112"/>
      <c r="Q145" s="113"/>
      <c r="R145" s="114"/>
      <c r="S145" s="114"/>
      <c r="T145" s="114"/>
      <c r="U145" s="115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4.25" customHeight="1">
      <c r="A146" s="1"/>
      <c r="B146" s="1"/>
      <c r="C146" s="1"/>
      <c r="D146" s="24"/>
      <c r="E146" s="43"/>
      <c r="F146" s="121"/>
      <c r="G146" s="61"/>
      <c r="H146" s="61"/>
      <c r="I146" s="61"/>
      <c r="J146" s="46"/>
      <c r="K146" s="24"/>
      <c r="L146" s="112"/>
      <c r="M146" s="112"/>
      <c r="N146" s="112"/>
      <c r="O146" s="112"/>
      <c r="P146" s="112"/>
      <c r="Q146" s="113"/>
      <c r="R146" s="114"/>
      <c r="S146" s="114"/>
      <c r="T146" s="114"/>
      <c r="U146" s="115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4.25" customHeight="1">
      <c r="A147" s="1"/>
      <c r="B147" s="1"/>
      <c r="C147" s="1"/>
      <c r="D147" s="24"/>
      <c r="E147" s="43"/>
      <c r="F147" s="121"/>
      <c r="G147" s="61"/>
      <c r="H147" s="61"/>
      <c r="I147" s="61"/>
      <c r="J147" s="46"/>
      <c r="K147" s="24"/>
      <c r="L147" s="112"/>
      <c r="M147" s="112"/>
      <c r="N147" s="112"/>
      <c r="O147" s="112"/>
      <c r="P147" s="112"/>
      <c r="Q147" s="113"/>
      <c r="R147" s="114"/>
      <c r="S147" s="114"/>
      <c r="T147" s="114"/>
      <c r="U147" s="115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4.25" customHeight="1">
      <c r="A148" s="1"/>
      <c r="B148" s="1"/>
      <c r="C148" s="1"/>
      <c r="D148" s="24"/>
      <c r="E148" s="43"/>
      <c r="F148" s="121"/>
      <c r="G148" s="61"/>
      <c r="H148" s="61"/>
      <c r="I148" s="61"/>
      <c r="J148" s="46"/>
      <c r="K148" s="24"/>
      <c r="L148" s="112"/>
      <c r="M148" s="112"/>
      <c r="N148" s="112"/>
      <c r="O148" s="112"/>
      <c r="P148" s="112"/>
      <c r="Q148" s="113"/>
      <c r="R148" s="114"/>
      <c r="S148" s="114"/>
      <c r="T148" s="114"/>
      <c r="U148" s="115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4.25" customHeight="1">
      <c r="A149" s="1"/>
      <c r="B149" s="1"/>
      <c r="C149" s="1"/>
      <c r="D149" s="24"/>
      <c r="E149" s="43"/>
      <c r="F149" s="121"/>
      <c r="G149" s="61"/>
      <c r="H149" s="61"/>
      <c r="I149" s="61"/>
      <c r="J149" s="46"/>
      <c r="K149" s="24"/>
      <c r="L149" s="112"/>
      <c r="M149" s="112"/>
      <c r="N149" s="112"/>
      <c r="O149" s="112"/>
      <c r="P149" s="112"/>
      <c r="Q149" s="113"/>
      <c r="R149" s="114"/>
      <c r="S149" s="114"/>
      <c r="T149" s="114"/>
      <c r="U149" s="115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4.25" customHeight="1">
      <c r="A150" s="1"/>
      <c r="B150" s="1"/>
      <c r="C150" s="1"/>
      <c r="D150" s="24"/>
      <c r="E150" s="43"/>
      <c r="F150" s="121"/>
      <c r="G150" s="61"/>
      <c r="H150" s="308">
        <v>60.0</v>
      </c>
      <c r="I150" s="61"/>
      <c r="J150" s="130" t="s">
        <v>412</v>
      </c>
      <c r="K150" s="24"/>
      <c r="L150" s="117" t="s">
        <v>410</v>
      </c>
      <c r="M150" s="112"/>
      <c r="N150" s="112"/>
      <c r="O150" s="112"/>
      <c r="P150" s="112"/>
      <c r="Q150" s="113"/>
      <c r="R150" s="114"/>
      <c r="S150" s="114"/>
      <c r="T150" s="114"/>
      <c r="U150" s="115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4.25" customHeight="1">
      <c r="A151" s="1"/>
      <c r="B151" s="1"/>
      <c r="C151" s="1"/>
      <c r="D151" s="24"/>
      <c r="E151" s="43"/>
      <c r="F151" s="121"/>
      <c r="G151" s="61"/>
      <c r="H151" s="310">
        <v>124.0</v>
      </c>
      <c r="I151" s="61"/>
      <c r="J151" s="130" t="s">
        <v>413</v>
      </c>
      <c r="K151" s="24"/>
      <c r="L151" s="112"/>
      <c r="M151" s="112"/>
      <c r="N151" s="112"/>
      <c r="O151" s="112"/>
      <c r="P151" s="112"/>
      <c r="Q151" s="113"/>
      <c r="R151" s="114"/>
      <c r="S151" s="114"/>
      <c r="T151" s="114"/>
      <c r="U151" s="115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4.25" customHeight="1">
      <c r="A152" s="1"/>
      <c r="B152" s="1"/>
      <c r="C152" s="1"/>
      <c r="D152" s="24"/>
      <c r="E152" s="43"/>
      <c r="F152" s="121"/>
      <c r="G152" s="54">
        <v>80.0</v>
      </c>
      <c r="H152" s="61"/>
      <c r="I152" s="61"/>
      <c r="J152" s="130" t="s">
        <v>414</v>
      </c>
      <c r="K152" s="24"/>
      <c r="L152" s="112"/>
      <c r="M152" s="112"/>
      <c r="N152" s="112"/>
      <c r="O152" s="112"/>
      <c r="P152" s="112"/>
      <c r="Q152" s="113"/>
      <c r="R152" s="114"/>
      <c r="S152" s="114"/>
      <c r="T152" s="114"/>
      <c r="U152" s="115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4.25" customHeight="1">
      <c r="A153" s="1"/>
      <c r="B153" s="1"/>
      <c r="C153" s="1"/>
      <c r="D153" s="24"/>
      <c r="E153" s="43"/>
      <c r="F153" s="121"/>
      <c r="G153" s="54">
        <v>474.0</v>
      </c>
      <c r="H153" s="61"/>
      <c r="I153" s="61"/>
      <c r="J153" s="130" t="s">
        <v>415</v>
      </c>
      <c r="K153" s="24"/>
      <c r="L153" s="112"/>
      <c r="M153" s="112"/>
      <c r="N153" s="112"/>
      <c r="O153" s="112"/>
      <c r="P153" s="112"/>
      <c r="Q153" s="113"/>
      <c r="R153" s="114"/>
      <c r="S153" s="114"/>
      <c r="T153" s="114"/>
      <c r="U153" s="115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4.25" customHeight="1">
      <c r="A154" s="1"/>
      <c r="B154" s="1"/>
      <c r="C154" s="1"/>
      <c r="D154" s="1"/>
      <c r="E154" s="122"/>
      <c r="F154" s="123">
        <f t="shared" ref="F154:I154" si="4">SUM(F10:F153)</f>
        <v>41869</v>
      </c>
      <c r="G154" s="123">
        <f t="shared" si="4"/>
        <v>21047</v>
      </c>
      <c r="H154" s="123">
        <f t="shared" si="4"/>
        <v>21560</v>
      </c>
      <c r="I154" s="123">
        <f t="shared" si="4"/>
        <v>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18"/>
      <c r="C155" s="118"/>
      <c r="D155" s="1"/>
      <c r="E155" s="124"/>
      <c r="F155" s="124"/>
      <c r="G155" s="124"/>
      <c r="H155" s="124"/>
      <c r="I155" s="12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18"/>
      <c r="C156" s="1"/>
      <c r="D156" s="1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26"/>
      <c r="H167" s="12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73700.0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133517.0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56755.0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13474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8082</v>
      </c>
      <c r="D10" s="24"/>
      <c r="E10" s="43">
        <v>1.0</v>
      </c>
      <c r="F10" s="44">
        <v>59.0</v>
      </c>
      <c r="G10" s="45">
        <v>59.0</v>
      </c>
      <c r="H10" s="45"/>
      <c r="I10" s="45"/>
      <c r="J10" s="130">
        <v>6035.0</v>
      </c>
      <c r="K10" s="24"/>
      <c r="L10" s="47"/>
      <c r="M10" s="47"/>
      <c r="N10" s="48"/>
      <c r="O10" s="49"/>
      <c r="P10" s="85" t="s">
        <v>44</v>
      </c>
      <c r="Q10" s="51"/>
      <c r="R10" s="52">
        <v>456.0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3346</v>
      </c>
      <c r="D11" s="24"/>
      <c r="E11" s="43">
        <v>2.0</v>
      </c>
      <c r="F11" s="56">
        <v>5.0</v>
      </c>
      <c r="G11" s="57"/>
      <c r="H11" s="58">
        <v>5.0</v>
      </c>
      <c r="I11" s="59"/>
      <c r="J11" s="130">
        <v>6036.0</v>
      </c>
      <c r="K11" s="24"/>
      <c r="L11" s="48"/>
      <c r="M11" s="48"/>
      <c r="N11" s="48"/>
      <c r="O11" s="49"/>
      <c r="P11" s="72" t="s">
        <v>44</v>
      </c>
      <c r="Q11" s="51"/>
      <c r="R11" s="52">
        <v>258.0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299</v>
      </c>
      <c r="D12" s="24"/>
      <c r="E12" s="43">
        <v>3.0</v>
      </c>
      <c r="F12" s="63">
        <v>209.0</v>
      </c>
      <c r="G12" s="64">
        <v>209.0</v>
      </c>
      <c r="H12" s="64"/>
      <c r="I12" s="65"/>
      <c r="J12" s="130">
        <v>6037.0</v>
      </c>
      <c r="K12" s="24"/>
      <c r="L12" s="48"/>
      <c r="M12" s="48"/>
      <c r="N12" s="48"/>
      <c r="O12" s="49"/>
      <c r="P12" s="72" t="s">
        <v>44</v>
      </c>
      <c r="Q12" s="51"/>
      <c r="R12" s="52">
        <v>815.0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10.0</v>
      </c>
      <c r="G13" s="64"/>
      <c r="H13" s="64">
        <v>10.0</v>
      </c>
      <c r="I13" s="65"/>
      <c r="J13" s="130">
        <v>6038.0</v>
      </c>
      <c r="K13" s="24"/>
      <c r="L13" s="48"/>
      <c r="M13" s="48"/>
      <c r="N13" s="48"/>
      <c r="O13" s="49"/>
      <c r="P13" s="72" t="s">
        <v>416</v>
      </c>
      <c r="Q13" s="51"/>
      <c r="R13" s="52">
        <v>749.0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258">
        <v>348.0</v>
      </c>
      <c r="G14" s="64">
        <v>338.0</v>
      </c>
      <c r="H14" s="64">
        <v>10.0</v>
      </c>
      <c r="I14" s="149"/>
      <c r="J14" s="130">
        <v>6039.0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312">
        <v>341.0</v>
      </c>
      <c r="D15" s="24"/>
      <c r="E15" s="43">
        <v>6.0</v>
      </c>
      <c r="F15" s="56">
        <v>20.0</v>
      </c>
      <c r="G15" s="64">
        <v>20.0</v>
      </c>
      <c r="H15" s="64"/>
      <c r="I15" s="65"/>
      <c r="J15" s="130">
        <v>6040.0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2278</v>
      </c>
      <c r="D16" s="24"/>
      <c r="E16" s="43">
        <v>7.0</v>
      </c>
      <c r="F16" s="56">
        <v>18.0</v>
      </c>
      <c r="G16" s="64"/>
      <c r="H16" s="64">
        <v>18.0</v>
      </c>
      <c r="I16" s="65"/>
      <c r="J16" s="130">
        <v>6041.0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2278</v>
      </c>
      <c r="D17" s="24"/>
      <c r="E17" s="43">
        <v>8.0</v>
      </c>
      <c r="F17" s="56">
        <v>515.0</v>
      </c>
      <c r="G17" s="64">
        <v>515.0</v>
      </c>
      <c r="H17" s="64"/>
      <c r="I17" s="65"/>
      <c r="J17" s="130">
        <v>6042.0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10.0</v>
      </c>
      <c r="G18" s="64"/>
      <c r="H18" s="64">
        <v>10.0</v>
      </c>
      <c r="I18" s="65"/>
      <c r="J18" s="130">
        <v>6043.0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105.0</v>
      </c>
      <c r="G19" s="64">
        <v>105.0</v>
      </c>
      <c r="H19" s="65"/>
      <c r="I19" s="65"/>
      <c r="J19" s="130">
        <v>6044.0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57054</v>
      </c>
      <c r="D20" s="24"/>
      <c r="E20" s="43">
        <v>11.0</v>
      </c>
      <c r="F20" s="56">
        <v>65.0</v>
      </c>
      <c r="G20" s="64">
        <v>65.0</v>
      </c>
      <c r="H20" s="64"/>
      <c r="I20" s="65"/>
      <c r="J20" s="130">
        <v>6045.0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136863</v>
      </c>
      <c r="D21" s="24"/>
      <c r="E21" s="43">
        <v>12.0</v>
      </c>
      <c r="F21" s="56">
        <v>825.0</v>
      </c>
      <c r="G21" s="64">
        <v>500.0</v>
      </c>
      <c r="H21" s="64">
        <v>325.0</v>
      </c>
      <c r="I21" s="65"/>
      <c r="J21" s="130">
        <v>6046.0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79504</v>
      </c>
      <c r="D22" s="24"/>
      <c r="E22" s="43">
        <v>13.0</v>
      </c>
      <c r="F22" s="56">
        <v>88.0</v>
      </c>
      <c r="G22" s="64">
        <v>88.0</v>
      </c>
      <c r="H22" s="64"/>
      <c r="I22" s="65"/>
      <c r="J22" s="130">
        <v>6047.0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778.0</v>
      </c>
      <c r="G23" s="64">
        <v>778.0</v>
      </c>
      <c r="H23" s="65"/>
      <c r="I23" s="65"/>
      <c r="J23" s="130">
        <v>6048.0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79504</v>
      </c>
      <c r="D24" s="24"/>
      <c r="E24" s="43">
        <v>15.0</v>
      </c>
      <c r="F24" s="258">
        <v>299.0</v>
      </c>
      <c r="G24" s="64"/>
      <c r="H24" s="65"/>
      <c r="I24" s="150">
        <v>299.0</v>
      </c>
      <c r="J24" s="130" t="s">
        <v>417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44.0</v>
      </c>
      <c r="G25" s="64"/>
      <c r="H25" s="64">
        <v>44.0</v>
      </c>
      <c r="I25" s="65"/>
      <c r="J25" s="130">
        <v>6050.0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13815</v>
      </c>
      <c r="D26" s="24"/>
      <c r="E26" s="43">
        <v>17.0</v>
      </c>
      <c r="F26" s="258">
        <v>910.0</v>
      </c>
      <c r="G26" s="64"/>
      <c r="H26" s="64">
        <v>910.0</v>
      </c>
      <c r="I26" s="149"/>
      <c r="J26" s="130">
        <v>6051.0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36.0</v>
      </c>
      <c r="G27" s="64"/>
      <c r="H27" s="64">
        <v>36.0</v>
      </c>
      <c r="I27" s="65"/>
      <c r="J27" s="130">
        <v>6052.0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270.0</v>
      </c>
      <c r="G28" s="64">
        <v>270.0</v>
      </c>
      <c r="H28" s="65"/>
      <c r="I28" s="65"/>
      <c r="J28" s="130">
        <v>6053.0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171.0</v>
      </c>
      <c r="G29" s="64">
        <v>171.0</v>
      </c>
      <c r="H29" s="65"/>
      <c r="I29" s="65"/>
      <c r="J29" s="130">
        <v>6054.0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560.0</v>
      </c>
      <c r="G30" s="93">
        <v>560.0</v>
      </c>
      <c r="H30" s="92"/>
      <c r="I30" s="93"/>
      <c r="J30" s="130">
        <v>6055.0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1476.0</v>
      </c>
      <c r="G31" s="93">
        <v>1476.0</v>
      </c>
      <c r="H31" s="92"/>
      <c r="I31" s="92"/>
      <c r="J31" s="130">
        <v>6056.0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2278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159.0</v>
      </c>
      <c r="G32" s="93">
        <v>159.0</v>
      </c>
      <c r="H32" s="92"/>
      <c r="I32" s="92"/>
      <c r="J32" s="130">
        <v>6057.0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560.0</v>
      </c>
      <c r="G33" s="93">
        <v>560.0</v>
      </c>
      <c r="H33" s="92"/>
      <c r="I33" s="92"/>
      <c r="J33" s="130">
        <v>6058.0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244.0</v>
      </c>
      <c r="G34" s="93">
        <v>244.0</v>
      </c>
      <c r="H34" s="92"/>
      <c r="I34" s="92"/>
      <c r="J34" s="130">
        <v>6059.0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887.0</v>
      </c>
      <c r="G35" s="92"/>
      <c r="H35" s="93"/>
      <c r="I35" s="92"/>
      <c r="J35" s="130">
        <v>6060.0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160.0</v>
      </c>
      <c r="G36" s="92"/>
      <c r="H36" s="93">
        <v>160.0</v>
      </c>
      <c r="I36" s="92"/>
      <c r="J36" s="130">
        <v>6061.0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706.0</v>
      </c>
      <c r="G37" s="93"/>
      <c r="H37" s="93">
        <v>706.0</v>
      </c>
      <c r="I37" s="92"/>
      <c r="J37" s="130">
        <v>6062.0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139">
        <v>378.0</v>
      </c>
      <c r="G38" s="93"/>
      <c r="H38" s="92"/>
      <c r="I38" s="92"/>
      <c r="J38" s="130">
        <v>6063.0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232.0</v>
      </c>
      <c r="G39" s="93"/>
      <c r="H39" s="93"/>
      <c r="I39" s="92"/>
      <c r="J39" s="130">
        <v>6064.0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65.0</v>
      </c>
      <c r="G40" s="92"/>
      <c r="H40" s="93"/>
      <c r="I40" s="92"/>
      <c r="J40" s="130">
        <v>6065.0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284.0</v>
      </c>
      <c r="G41" s="92"/>
      <c r="H41" s="93"/>
      <c r="I41" s="92"/>
      <c r="J41" s="130">
        <v>6066.0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208.0</v>
      </c>
      <c r="G42" s="93">
        <v>208.0</v>
      </c>
      <c r="H42" s="93"/>
      <c r="I42" s="92"/>
      <c r="J42" s="130">
        <v>6067.0</v>
      </c>
      <c r="K42" s="24"/>
      <c r="L42" s="112"/>
      <c r="M42" s="313" t="s">
        <v>418</v>
      </c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139.0</v>
      </c>
      <c r="G43" s="93">
        <v>139.0</v>
      </c>
      <c r="H43" s="92"/>
      <c r="I43" s="92"/>
      <c r="J43" s="130">
        <v>6068.0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169.0</v>
      </c>
      <c r="G44" s="93">
        <v>169.0</v>
      </c>
      <c r="H44" s="93"/>
      <c r="I44" s="92"/>
      <c r="J44" s="130">
        <v>6069.0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195.0</v>
      </c>
      <c r="G45" s="93"/>
      <c r="H45" s="92"/>
      <c r="I45" s="92"/>
      <c r="J45" s="130">
        <v>6070.0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1022.0</v>
      </c>
      <c r="G46" s="93"/>
      <c r="H46" s="93">
        <v>1022.0</v>
      </c>
      <c r="I46" s="92"/>
      <c r="J46" s="130">
        <v>6071.0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1285.0</v>
      </c>
      <c r="G47" s="93">
        <v>1285.0</v>
      </c>
      <c r="H47" s="93"/>
      <c r="I47" s="92"/>
      <c r="J47" s="130">
        <v>6072.0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73.0</v>
      </c>
      <c r="G48" s="93">
        <v>73.0</v>
      </c>
      <c r="H48" s="92"/>
      <c r="I48" s="92"/>
      <c r="J48" s="130">
        <v>6073.0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20.0</v>
      </c>
      <c r="G49" s="93">
        <v>20.0</v>
      </c>
      <c r="H49" s="92"/>
      <c r="I49" s="92"/>
      <c r="J49" s="130">
        <v>6074.0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118.0</v>
      </c>
      <c r="G50" s="93">
        <v>11.0</v>
      </c>
      <c r="H50" s="93"/>
      <c r="I50" s="92"/>
      <c r="J50" s="130">
        <v>6075.0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90.0</v>
      </c>
      <c r="G51" s="92"/>
      <c r="H51" s="93">
        <v>90.0</v>
      </c>
      <c r="I51" s="92"/>
      <c r="J51" s="130">
        <v>6076.0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130">
        <v>6077.0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130">
        <v>6078.0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130">
        <v>6079.0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130">
        <v>6080.0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130">
        <v>6081.0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130">
        <v>6082.0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130">
        <v>6083.0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130">
        <v>6084.0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130">
        <v>6085.0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30">
        <v>6086.0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30">
        <v>6087.0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30">
        <v>6088.0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30">
        <v>6089.0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0">
        <v>6090.0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0">
        <v>6091.0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0">
        <v>6092.0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0">
        <v>6093.0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0">
        <v>6094.0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0">
        <v>6095.0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54">
        <v>60.0</v>
      </c>
      <c r="H93" s="61"/>
      <c r="I93" s="54" t="s">
        <v>419</v>
      </c>
      <c r="J93" s="130" t="s">
        <v>420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13815</v>
      </c>
      <c r="G97" s="123">
        <f t="shared" si="4"/>
        <v>8082</v>
      </c>
      <c r="H97" s="123">
        <f t="shared" si="4"/>
        <v>3346</v>
      </c>
      <c r="I97" s="123">
        <f t="shared" si="4"/>
        <v>299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5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F103-C15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G103-W33</f>
        <v>0</v>
      </c>
      <c r="D10" s="24"/>
      <c r="E10" s="43">
        <v>1.0</v>
      </c>
      <c r="F10" s="44"/>
      <c r="G10" s="45"/>
      <c r="H10" s="45"/>
      <c r="I10" s="45"/>
      <c r="J10" s="130">
        <v>5350.0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H103-X33</f>
        <v>0</v>
      </c>
      <c r="D11" s="24"/>
      <c r="E11" s="43">
        <v>2.0</v>
      </c>
      <c r="F11" s="56"/>
      <c r="G11" s="57"/>
      <c r="H11" s="58"/>
      <c r="I11" s="59"/>
      <c r="J11" s="130">
        <v>5351.0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I103</f>
        <v>0</v>
      </c>
      <c r="D12" s="24"/>
      <c r="E12" s="43">
        <v>3.0</v>
      </c>
      <c r="F12" s="63"/>
      <c r="G12" s="64"/>
      <c r="H12" s="64"/>
      <c r="I12" s="65"/>
      <c r="J12" s="130">
        <v>5352.0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130">
        <v>5353.0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130">
        <v>5354.0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130">
        <v>5355.0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130">
        <v>5356.0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130">
        <v>5357.0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130">
        <v>5358.0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130">
        <v>5359.0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130">
        <v>5360.0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130">
        <v>5361.0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130">
        <v>5362.0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130">
        <v>5363.0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130">
        <v>5364.0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C25" s="1"/>
      <c r="D25" s="24"/>
      <c r="E25" s="43">
        <v>16.0</v>
      </c>
      <c r="F25" s="56"/>
      <c r="G25" s="64"/>
      <c r="H25" s="65"/>
      <c r="I25" s="65"/>
      <c r="J25" s="130">
        <v>5365.0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F103</f>
        <v>0</v>
      </c>
      <c r="D26" s="24"/>
      <c r="E26" s="43">
        <v>17.0</v>
      </c>
      <c r="F26" s="56"/>
      <c r="G26" s="64"/>
      <c r="H26" s="65"/>
      <c r="I26" s="65"/>
      <c r="J26" s="130">
        <v>5366.0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130">
        <v>5367.0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130">
        <v>5368.0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C29" s="1"/>
      <c r="D29" s="24"/>
      <c r="E29" s="43">
        <v>20.0</v>
      </c>
      <c r="F29" s="56"/>
      <c r="G29" s="64"/>
      <c r="H29" s="65"/>
      <c r="I29" s="65"/>
      <c r="J29" s="130">
        <v>5369.0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130">
        <v>5370.0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130">
        <v>5371.0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130">
        <v>5372.0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C33" s="103"/>
      <c r="D33" s="24"/>
      <c r="E33" s="43">
        <v>24.0</v>
      </c>
      <c r="F33" s="56"/>
      <c r="G33" s="93"/>
      <c r="H33" s="92"/>
      <c r="I33" s="92"/>
      <c r="J33" s="130">
        <v>5373.0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C34" s="9"/>
      <c r="D34" s="24"/>
      <c r="E34" s="43">
        <v>25.0</v>
      </c>
      <c r="F34" s="56"/>
      <c r="G34" s="93"/>
      <c r="H34" s="92"/>
      <c r="I34" s="92"/>
      <c r="J34" s="130">
        <v>5374.0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C35" s="1"/>
      <c r="D35" s="24"/>
      <c r="E35" s="43">
        <v>26.0</v>
      </c>
      <c r="F35" s="56"/>
      <c r="G35" s="92"/>
      <c r="H35" s="93"/>
      <c r="I35" s="92"/>
      <c r="J35" s="130">
        <v>5375.0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C36" s="116"/>
      <c r="D36" s="24"/>
      <c r="E36" s="43">
        <v>27.0</v>
      </c>
      <c r="F36" s="56"/>
      <c r="G36" s="92"/>
      <c r="H36" s="93"/>
      <c r="I36" s="92"/>
      <c r="J36" s="130">
        <v>5376.0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C37" s="116"/>
      <c r="D37" s="24"/>
      <c r="E37" s="43">
        <v>28.0</v>
      </c>
      <c r="F37" s="56"/>
      <c r="G37" s="93"/>
      <c r="H37" s="92"/>
      <c r="I37" s="92"/>
      <c r="J37" s="130">
        <v>5377.0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C38" s="118"/>
      <c r="D38" s="24"/>
      <c r="E38" s="43">
        <v>29.0</v>
      </c>
      <c r="F38" s="56"/>
      <c r="G38" s="93"/>
      <c r="H38" s="92"/>
      <c r="I38" s="92"/>
      <c r="J38" s="130">
        <v>5378.0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C39" s="1"/>
      <c r="D39" s="24"/>
      <c r="E39" s="43">
        <v>30.0</v>
      </c>
      <c r="F39" s="56"/>
      <c r="G39" s="93"/>
      <c r="H39" s="93"/>
      <c r="I39" s="92"/>
      <c r="J39" s="130">
        <v>5379.0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C40" s="1"/>
      <c r="D40" s="24"/>
      <c r="E40" s="43">
        <v>31.0</v>
      </c>
      <c r="F40" s="56"/>
      <c r="G40" s="92"/>
      <c r="H40" s="93"/>
      <c r="I40" s="92"/>
      <c r="J40" s="130">
        <v>5380.0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C41" s="1"/>
      <c r="D41" s="24"/>
      <c r="E41" s="43">
        <v>32.0</v>
      </c>
      <c r="F41" s="56"/>
      <c r="G41" s="92"/>
      <c r="H41" s="93"/>
      <c r="I41" s="92"/>
      <c r="J41" s="130">
        <v>5381.0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C42" s="1"/>
      <c r="D42" s="24"/>
      <c r="E42" s="43">
        <v>33.0</v>
      </c>
      <c r="F42" s="56"/>
      <c r="G42" s="93"/>
      <c r="H42" s="93"/>
      <c r="I42" s="92"/>
      <c r="J42" s="130">
        <v>5382.0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C43" s="1"/>
      <c r="D43" s="24"/>
      <c r="E43" s="43">
        <v>34.0</v>
      </c>
      <c r="F43" s="56"/>
      <c r="G43" s="93"/>
      <c r="H43" s="92"/>
      <c r="I43" s="92"/>
      <c r="J43" s="130">
        <v>5383.0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C44" s="1"/>
      <c r="D44" s="24"/>
      <c r="E44" s="43">
        <v>35.0</v>
      </c>
      <c r="F44" s="56"/>
      <c r="G44" s="92"/>
      <c r="H44" s="93"/>
      <c r="I44" s="92"/>
      <c r="J44" s="130">
        <v>5384.0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C45" s="1"/>
      <c r="D45" s="24"/>
      <c r="E45" s="43">
        <v>36.0</v>
      </c>
      <c r="F45" s="56"/>
      <c r="G45" s="93"/>
      <c r="H45" s="92"/>
      <c r="I45" s="92"/>
      <c r="J45" s="130">
        <v>5385.0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C46" s="1"/>
      <c r="D46" s="24"/>
      <c r="E46" s="43">
        <v>37.0</v>
      </c>
      <c r="F46" s="56"/>
      <c r="G46" s="93"/>
      <c r="H46" s="92"/>
      <c r="I46" s="92"/>
      <c r="J46" s="130">
        <v>5386.0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C47" s="1"/>
      <c r="D47" s="24"/>
      <c r="E47" s="43">
        <v>38.0</v>
      </c>
      <c r="F47" s="56"/>
      <c r="G47" s="92"/>
      <c r="H47" s="93"/>
      <c r="I47" s="92"/>
      <c r="J47" s="130">
        <v>5387.0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C48" s="1"/>
      <c r="D48" s="24"/>
      <c r="E48" s="43">
        <v>39.0</v>
      </c>
      <c r="F48" s="120"/>
      <c r="G48" s="92"/>
      <c r="H48" s="92"/>
      <c r="I48" s="92"/>
      <c r="J48" s="130">
        <v>5388.0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C49" s="1"/>
      <c r="D49" s="24"/>
      <c r="E49" s="43">
        <v>40.0</v>
      </c>
      <c r="F49" s="120"/>
      <c r="G49" s="92"/>
      <c r="H49" s="92"/>
      <c r="I49" s="92"/>
      <c r="J49" s="130">
        <v>5389.0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C50" s="1"/>
      <c r="D50" s="24"/>
      <c r="E50" s="43">
        <v>41.0</v>
      </c>
      <c r="F50" s="120"/>
      <c r="G50" s="92"/>
      <c r="H50" s="93"/>
      <c r="I50" s="92"/>
      <c r="J50" s="130">
        <v>5390.0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C51" s="1"/>
      <c r="D51" s="24"/>
      <c r="E51" s="43">
        <v>42.0</v>
      </c>
      <c r="F51" s="120"/>
      <c r="G51" s="92"/>
      <c r="H51" s="92"/>
      <c r="I51" s="92"/>
      <c r="J51" s="130">
        <v>5391.0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C52" s="1"/>
      <c r="D52" s="24"/>
      <c r="E52" s="43">
        <v>43.0</v>
      </c>
      <c r="F52" s="120"/>
      <c r="G52" s="92"/>
      <c r="H52" s="92"/>
      <c r="I52" s="92"/>
      <c r="J52" s="130">
        <v>5392.0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C53" s="1"/>
      <c r="D53" s="24"/>
      <c r="E53" s="43">
        <v>44.0</v>
      </c>
      <c r="F53" s="120"/>
      <c r="G53" s="92"/>
      <c r="H53" s="92"/>
      <c r="I53" s="92"/>
      <c r="J53" s="130">
        <v>5393.0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C54" s="1"/>
      <c r="D54" s="24"/>
      <c r="E54" s="43">
        <v>45.0</v>
      </c>
      <c r="F54" s="120"/>
      <c r="G54" s="92"/>
      <c r="H54" s="92"/>
      <c r="I54" s="92"/>
      <c r="J54" s="130">
        <v>5394.0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C55" s="1"/>
      <c r="D55" s="24"/>
      <c r="E55" s="43">
        <v>46.0</v>
      </c>
      <c r="F55" s="120"/>
      <c r="G55" s="92"/>
      <c r="H55" s="92"/>
      <c r="I55" s="92"/>
      <c r="J55" s="130">
        <v>5395.0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C56" s="1"/>
      <c r="D56" s="24"/>
      <c r="E56" s="43">
        <v>47.0</v>
      </c>
      <c r="F56" s="120"/>
      <c r="G56" s="92"/>
      <c r="H56" s="92"/>
      <c r="I56" s="92"/>
      <c r="J56" s="130">
        <v>5396.0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C57" s="1"/>
      <c r="D57" s="24"/>
      <c r="E57" s="43">
        <v>48.0</v>
      </c>
      <c r="F57" s="120"/>
      <c r="G57" s="92"/>
      <c r="H57" s="92"/>
      <c r="I57" s="92"/>
      <c r="J57" s="130">
        <v>5397.0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C58" s="1"/>
      <c r="D58" s="24"/>
      <c r="E58" s="43">
        <v>49.0</v>
      </c>
      <c r="F58" s="120"/>
      <c r="G58" s="92"/>
      <c r="H58" s="92"/>
      <c r="I58" s="92"/>
      <c r="J58" s="130">
        <v>5398.0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C59" s="1"/>
      <c r="D59" s="24"/>
      <c r="E59" s="43">
        <v>50.0</v>
      </c>
      <c r="F59" s="120"/>
      <c r="G59" s="92"/>
      <c r="H59" s="92"/>
      <c r="I59" s="92"/>
      <c r="J59" s="130">
        <v>5399.0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C60" s="1"/>
      <c r="D60" s="24"/>
      <c r="E60" s="43">
        <v>51.0</v>
      </c>
      <c r="F60" s="120"/>
      <c r="G60" s="92"/>
      <c r="H60" s="92"/>
      <c r="I60" s="92"/>
      <c r="J60" s="130">
        <v>5400.0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C61" s="1"/>
      <c r="D61" s="24"/>
      <c r="E61" s="43">
        <v>52.0</v>
      </c>
      <c r="F61" s="120"/>
      <c r="G61" s="92"/>
      <c r="H61" s="92"/>
      <c r="I61" s="92"/>
      <c r="J61" s="130">
        <v>5401.0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C62" s="1"/>
      <c r="D62" s="24"/>
      <c r="E62" s="43">
        <v>53.0</v>
      </c>
      <c r="F62" s="120"/>
      <c r="G62" s="92"/>
      <c r="H62" s="92"/>
      <c r="I62" s="92"/>
      <c r="J62" s="130">
        <v>5402.0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C63" s="1"/>
      <c r="D63" s="24"/>
      <c r="E63" s="43">
        <v>54.0</v>
      </c>
      <c r="F63" s="120"/>
      <c r="G63" s="92"/>
      <c r="H63" s="92"/>
      <c r="I63" s="92"/>
      <c r="J63" s="130">
        <v>5403.0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C64" s="1"/>
      <c r="D64" s="24"/>
      <c r="E64" s="43">
        <v>55.0</v>
      </c>
      <c r="F64" s="120"/>
      <c r="G64" s="92"/>
      <c r="H64" s="92"/>
      <c r="I64" s="92"/>
      <c r="J64" s="130">
        <v>5404.0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C65" s="1"/>
      <c r="D65" s="24"/>
      <c r="E65" s="43">
        <v>56.0</v>
      </c>
      <c r="F65" s="120"/>
      <c r="G65" s="92"/>
      <c r="H65" s="92"/>
      <c r="I65" s="92"/>
      <c r="J65" s="130">
        <v>5405.0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C66" s="1"/>
      <c r="D66" s="24"/>
      <c r="E66" s="43">
        <v>57.0</v>
      </c>
      <c r="F66" s="120"/>
      <c r="G66" s="92"/>
      <c r="H66" s="92"/>
      <c r="I66" s="92"/>
      <c r="J66" s="130">
        <v>5406.0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C67" s="1"/>
      <c r="D67" s="24"/>
      <c r="E67" s="43">
        <v>58.0</v>
      </c>
      <c r="F67" s="120"/>
      <c r="G67" s="92"/>
      <c r="H67" s="92"/>
      <c r="I67" s="92"/>
      <c r="J67" s="130">
        <v>5407.0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C68" s="1"/>
      <c r="D68" s="24"/>
      <c r="E68" s="43">
        <v>59.0</v>
      </c>
      <c r="F68" s="120"/>
      <c r="G68" s="92"/>
      <c r="H68" s="92"/>
      <c r="I68" s="92"/>
      <c r="J68" s="130">
        <v>5408.0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C69" s="1"/>
      <c r="D69" s="24"/>
      <c r="E69" s="43">
        <v>60.0</v>
      </c>
      <c r="F69" s="120"/>
      <c r="G69" s="92"/>
      <c r="H69" s="92"/>
      <c r="I69" s="92"/>
      <c r="J69" s="130">
        <v>5409.0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C70" s="1"/>
      <c r="D70" s="24"/>
      <c r="E70" s="43">
        <v>61.0</v>
      </c>
      <c r="F70" s="120"/>
      <c r="G70" s="92"/>
      <c r="H70" s="92"/>
      <c r="I70" s="92"/>
      <c r="J70" s="130">
        <v>5410.0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C71" s="1"/>
      <c r="D71" s="24"/>
      <c r="E71" s="43">
        <v>62.0</v>
      </c>
      <c r="F71" s="120"/>
      <c r="G71" s="92"/>
      <c r="H71" s="92"/>
      <c r="I71" s="92"/>
      <c r="J71" s="130">
        <v>5411.0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C72" s="1"/>
      <c r="D72" s="24"/>
      <c r="E72" s="43">
        <v>63.0</v>
      </c>
      <c r="F72" s="120"/>
      <c r="G72" s="92"/>
      <c r="H72" s="92"/>
      <c r="I72" s="92"/>
      <c r="J72" s="130">
        <v>5412.0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C73" s="1"/>
      <c r="D73" s="24"/>
      <c r="E73" s="43">
        <v>64.0</v>
      </c>
      <c r="F73" s="120"/>
      <c r="G73" s="92"/>
      <c r="H73" s="92"/>
      <c r="I73" s="92"/>
      <c r="J73" s="130">
        <v>5413.0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C74" s="1"/>
      <c r="D74" s="24"/>
      <c r="E74" s="43">
        <v>65.0</v>
      </c>
      <c r="F74" s="120"/>
      <c r="G74" s="92"/>
      <c r="H74" s="92"/>
      <c r="I74" s="92"/>
      <c r="J74" s="130">
        <v>5414.0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C75" s="1"/>
      <c r="D75" s="24"/>
      <c r="E75" s="43">
        <v>66.0</v>
      </c>
      <c r="F75" s="120"/>
      <c r="G75" s="92"/>
      <c r="H75" s="92"/>
      <c r="I75" s="92"/>
      <c r="J75" s="130">
        <v>5415.0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C76" s="1"/>
      <c r="D76" s="24"/>
      <c r="E76" s="43">
        <v>67.0</v>
      </c>
      <c r="F76" s="120"/>
      <c r="G76" s="92"/>
      <c r="H76" s="92"/>
      <c r="I76" s="92"/>
      <c r="J76" s="130">
        <v>5416.0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C77" s="1"/>
      <c r="D77" s="24"/>
      <c r="E77" s="43">
        <v>68.0</v>
      </c>
      <c r="F77" s="120"/>
      <c r="G77" s="92"/>
      <c r="H77" s="92"/>
      <c r="I77" s="92"/>
      <c r="J77" s="130">
        <v>5417.0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C78" s="1"/>
      <c r="D78" s="24"/>
      <c r="E78" s="43">
        <v>69.0</v>
      </c>
      <c r="F78" s="120"/>
      <c r="G78" s="92"/>
      <c r="H78" s="92"/>
      <c r="I78" s="92"/>
      <c r="J78" s="130">
        <v>5418.0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C79" s="1"/>
      <c r="D79" s="24"/>
      <c r="E79" s="43">
        <v>70.0</v>
      </c>
      <c r="F79" s="120"/>
      <c r="G79" s="92"/>
      <c r="H79" s="92"/>
      <c r="I79" s="92"/>
      <c r="J79" s="130">
        <v>5419.0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C80" s="1"/>
      <c r="D80" s="24"/>
      <c r="E80" s="43">
        <v>71.0</v>
      </c>
      <c r="F80" s="120"/>
      <c r="G80" s="92"/>
      <c r="H80" s="92"/>
      <c r="I80" s="92"/>
      <c r="J80" s="130">
        <v>5420.0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C81" s="1"/>
      <c r="D81" s="24"/>
      <c r="E81" s="43">
        <v>72.0</v>
      </c>
      <c r="F81" s="120"/>
      <c r="G81" s="92"/>
      <c r="H81" s="92"/>
      <c r="I81" s="92"/>
      <c r="J81" s="130">
        <v>5421.0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C82" s="1"/>
      <c r="D82" s="24"/>
      <c r="E82" s="43">
        <v>73.0</v>
      </c>
      <c r="F82" s="121"/>
      <c r="G82" s="61"/>
      <c r="H82" s="61"/>
      <c r="I82" s="61"/>
      <c r="J82" s="130">
        <v>5422.0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C83" s="1"/>
      <c r="D83" s="24"/>
      <c r="E83" s="43">
        <v>74.0</v>
      </c>
      <c r="F83" s="121"/>
      <c r="G83" s="61"/>
      <c r="H83" s="61"/>
      <c r="I83" s="61"/>
      <c r="J83" s="130">
        <v>5423.0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C84" s="1"/>
      <c r="D84" s="24"/>
      <c r="E84" s="43">
        <v>75.0</v>
      </c>
      <c r="F84" s="121"/>
      <c r="G84" s="61"/>
      <c r="H84" s="61"/>
      <c r="I84" s="61"/>
      <c r="J84" s="130">
        <v>5424.0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C85" s="1"/>
      <c r="D85" s="24"/>
      <c r="E85" s="43">
        <v>76.0</v>
      </c>
      <c r="F85" s="121"/>
      <c r="G85" s="61"/>
      <c r="H85" s="61"/>
      <c r="I85" s="61"/>
      <c r="J85" s="130">
        <v>5425.0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C86" s="1"/>
      <c r="D86" s="24"/>
      <c r="E86" s="43">
        <v>77.0</v>
      </c>
      <c r="F86" s="121"/>
      <c r="G86" s="61"/>
      <c r="H86" s="61"/>
      <c r="I86" s="61"/>
      <c r="J86" s="130">
        <v>5426.0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C87" s="1"/>
      <c r="D87" s="24"/>
      <c r="E87" s="43">
        <v>78.0</v>
      </c>
      <c r="F87" s="121"/>
      <c r="G87" s="61"/>
      <c r="H87" s="61"/>
      <c r="I87" s="61"/>
      <c r="J87" s="130">
        <v>5427.0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C88" s="1"/>
      <c r="D88" s="24"/>
      <c r="E88" s="43">
        <v>79.0</v>
      </c>
      <c r="F88" s="121"/>
      <c r="G88" s="61"/>
      <c r="H88" s="61"/>
      <c r="I88" s="61"/>
      <c r="J88" s="130">
        <v>5428.0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C89" s="1"/>
      <c r="D89" s="24"/>
      <c r="E89" s="43">
        <v>80.0</v>
      </c>
      <c r="F89" s="121"/>
      <c r="G89" s="61"/>
      <c r="H89" s="61"/>
      <c r="I89" s="61"/>
      <c r="J89" s="130">
        <v>5429.0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C90" s="1"/>
      <c r="D90" s="24"/>
      <c r="E90" s="43"/>
      <c r="F90" s="121"/>
      <c r="G90" s="61"/>
      <c r="H90" s="61"/>
      <c r="I90" s="61"/>
      <c r="J90" s="130">
        <v>5430.0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C91" s="1"/>
      <c r="D91" s="24"/>
      <c r="E91" s="43"/>
      <c r="F91" s="121"/>
      <c r="G91" s="61"/>
      <c r="H91" s="61"/>
      <c r="I91" s="61"/>
      <c r="J91" s="130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C92" s="1"/>
      <c r="D92" s="24"/>
      <c r="E92" s="43"/>
      <c r="F92" s="121"/>
      <c r="G92" s="61"/>
      <c r="H92" s="61"/>
      <c r="I92" s="61"/>
      <c r="J92" s="130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C93" s="1"/>
      <c r="D93" s="24"/>
      <c r="E93" s="43"/>
      <c r="F93" s="121"/>
      <c r="G93" s="61"/>
      <c r="H93" s="61"/>
      <c r="I93" s="61"/>
      <c r="J93" s="130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C94" s="1"/>
      <c r="D94" s="24"/>
      <c r="E94" s="43"/>
      <c r="F94" s="121"/>
      <c r="G94" s="61"/>
      <c r="H94" s="61"/>
      <c r="I94" s="61"/>
      <c r="J94" s="130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C95" s="1"/>
      <c r="D95" s="24"/>
      <c r="E95" s="43"/>
      <c r="F95" s="121"/>
      <c r="G95" s="61"/>
      <c r="H95" s="61"/>
      <c r="I95" s="61"/>
      <c r="J95" s="130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/>
      <c r="F96" s="121"/>
      <c r="G96" s="61"/>
      <c r="H96" s="61"/>
      <c r="I96" s="61"/>
      <c r="J96" s="130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43"/>
      <c r="F97" s="121"/>
      <c r="G97" s="61"/>
      <c r="H97" s="61"/>
      <c r="I97" s="61"/>
      <c r="J97" s="1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43"/>
      <c r="F98" s="121"/>
      <c r="G98" s="61"/>
      <c r="H98" s="61"/>
      <c r="I98" s="61"/>
      <c r="J98" s="1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43"/>
      <c r="F99" s="121"/>
      <c r="G99" s="61"/>
      <c r="H99" s="61"/>
      <c r="I99" s="61"/>
      <c r="J99" s="1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43"/>
      <c r="F100" s="121"/>
      <c r="G100" s="61"/>
      <c r="H100" s="61"/>
      <c r="I100" s="61"/>
      <c r="J100" s="1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43"/>
      <c r="F101" s="121"/>
      <c r="G101" s="61"/>
      <c r="H101" s="61"/>
      <c r="I101" s="61"/>
      <c r="J101" s="1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122"/>
      <c r="F102" s="121"/>
      <c r="G102" s="61"/>
      <c r="H102" s="61"/>
      <c r="I102" s="6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124"/>
      <c r="F103" s="123">
        <f t="shared" ref="F103:I103" si="4">SUM(F10:F102)</f>
        <v>0</v>
      </c>
      <c r="G103" s="123">
        <f t="shared" si="4"/>
        <v>0</v>
      </c>
      <c r="H103" s="123">
        <f t="shared" si="4"/>
        <v>0</v>
      </c>
      <c r="I103" s="123">
        <f t="shared" si="4"/>
        <v>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8"/>
      <c r="F104" s="124"/>
      <c r="G104" s="124"/>
      <c r="H104" s="124"/>
      <c r="I104" s="12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26"/>
      <c r="H116" s="12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E137" s="1"/>
      <c r="F137" s="1"/>
      <c r="G137" s="1"/>
      <c r="H137" s="1"/>
      <c r="I137" s="1"/>
    </row>
    <row r="138" ht="14.25" customHeight="1">
      <c r="E138" s="1"/>
      <c r="F138" s="1"/>
      <c r="G138" s="1"/>
      <c r="H138" s="1"/>
      <c r="I138" s="1"/>
    </row>
    <row r="139" ht="14.25" customHeight="1">
      <c r="E139" s="1"/>
      <c r="F139" s="1"/>
      <c r="G139" s="1"/>
      <c r="H139" s="1"/>
      <c r="I139" s="1"/>
    </row>
    <row r="140" ht="14.25" customHeight="1">
      <c r="E140" s="1"/>
      <c r="F140" s="1"/>
      <c r="G140" s="1"/>
      <c r="H140" s="1"/>
      <c r="I140" s="1"/>
    </row>
    <row r="141" ht="14.25" customHeight="1">
      <c r="E141" s="1"/>
      <c r="F141" s="1"/>
      <c r="G141" s="1"/>
      <c r="H141" s="1"/>
      <c r="I141" s="1"/>
    </row>
    <row r="142" ht="14.25" customHeight="1">
      <c r="F142" s="1"/>
      <c r="G142" s="1"/>
      <c r="H142" s="1"/>
      <c r="I142" s="1"/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3">
    <mergeCell ref="H8:H9"/>
    <mergeCell ref="I8:I9"/>
    <mergeCell ref="J8:J9"/>
    <mergeCell ref="L8:L9"/>
    <mergeCell ref="M8:M9"/>
    <mergeCell ref="N8:N9"/>
    <mergeCell ref="P8:P9"/>
    <mergeCell ref="Q8:Q9"/>
    <mergeCell ref="P31:Q31"/>
    <mergeCell ref="R8:R9"/>
    <mergeCell ref="S8:S9"/>
    <mergeCell ref="T8:T9"/>
    <mergeCell ref="U8:U9"/>
    <mergeCell ref="W8:W9"/>
    <mergeCell ref="X8:X9"/>
    <mergeCell ref="E5:J7"/>
    <mergeCell ref="L5:N7"/>
    <mergeCell ref="P5:U7"/>
    <mergeCell ref="W5:Y7"/>
    <mergeCell ref="E8:E9"/>
    <mergeCell ref="F8:F9"/>
    <mergeCell ref="G8:G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