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TEMPLATE" sheetId="1" r:id="rId4"/>
    <sheet state="hidden" name="Meta" sheetId="2" r:id="rId5"/>
    <sheet state="hidden" name="Summary" sheetId="3" r:id="rId6"/>
    <sheet state="visible" name="011125" sheetId="4" r:id="rId7"/>
    <sheet state="visible" name="031125" sheetId="5" r:id="rId8"/>
    <sheet state="visible" name="021125" sheetId="6" r:id="rId9"/>
    <sheet state="visible" name="04112025" sheetId="7" r:id="rId10"/>
    <sheet state="visible" name="051125" sheetId="8" r:id="rId11"/>
    <sheet state="visible" name="061125" sheetId="9" r:id="rId12"/>
    <sheet state="visible" name="071125" sheetId="10" r:id="rId13"/>
    <sheet state="visible" name="081125" sheetId="11" r:id="rId14"/>
    <sheet state="visible" name="091125" sheetId="12" r:id="rId15"/>
    <sheet state="visible" name="101102025" sheetId="13" r:id="rId16"/>
    <sheet state="visible" name="11102025" sheetId="14" r:id="rId17"/>
    <sheet state="visible" name="121125" sheetId="15" r:id="rId18"/>
    <sheet state="visible" name="131125" sheetId="16" r:id="rId19"/>
    <sheet state="visible" name="141125" sheetId="17" r:id="rId20"/>
    <sheet state="visible" name="151125" sheetId="18" r:id="rId21"/>
    <sheet state="visible" name="161125" sheetId="19" r:id="rId22"/>
    <sheet state="visible" name="171125" sheetId="20" r:id="rId23"/>
    <sheet state="visible" name="181125" sheetId="21" r:id="rId24"/>
    <sheet state="visible" name="191125" sheetId="22" r:id="rId25"/>
    <sheet state="visible" name="201125" sheetId="23" r:id="rId26"/>
    <sheet state="visible" name="211125" sheetId="24" r:id="rId27"/>
    <sheet state="visible" name="221125" sheetId="25" r:id="rId28"/>
    <sheet state="visible" name="231125" sheetId="26" r:id="rId29"/>
    <sheet state="visible" name="241125" sheetId="27" r:id="rId30"/>
    <sheet state="visible" name="251125" sheetId="28" r:id="rId31"/>
    <sheet state="visible" name="261125" sheetId="29" r:id="rId32"/>
    <sheet state="visible" name="271125" sheetId="30" r:id="rId33"/>
    <sheet state="visible" name="281125" sheetId="31" r:id="rId34"/>
    <sheet state="visible" name="291125" sheetId="32" r:id="rId35"/>
    <sheet state="visible" name="301125" sheetId="33" r:id="rId36"/>
  </sheets>
  <definedNames/>
  <calcPr/>
</workbook>
</file>

<file path=xl/sharedStrings.xml><?xml version="1.0" encoding="utf-8"?>
<sst xmlns="http://schemas.openxmlformats.org/spreadsheetml/2006/main" count="1935" uniqueCount="271">
  <si>
    <t>Date</t>
  </si>
  <si>
    <t>SM FLAGSHIP STORE MELATTUR</t>
  </si>
  <si>
    <t>Opening Cash</t>
  </si>
  <si>
    <t>SALE</t>
  </si>
  <si>
    <t>CREDIT AMOUNT RECIEVED</t>
  </si>
  <si>
    <t>PURCHASE</t>
  </si>
  <si>
    <t>Sales Return</t>
  </si>
  <si>
    <t>Opening UPI Balance</t>
  </si>
  <si>
    <t>OPENING CREDIT BALANCE</t>
  </si>
  <si>
    <t>CASH FROM HEAD OFFICE</t>
  </si>
  <si>
    <t>No.</t>
  </si>
  <si>
    <t>Sales</t>
  </si>
  <si>
    <t>Cash</t>
  </si>
  <si>
    <t>UPI</t>
  </si>
  <si>
    <t>Credit</t>
  </si>
  <si>
    <t>Remarks</t>
  </si>
  <si>
    <t>Particulars</t>
  </si>
  <si>
    <t>Voucher</t>
  </si>
  <si>
    <t>Total Sale</t>
  </si>
  <si>
    <t>Cash Sale</t>
  </si>
  <si>
    <t>UPI Sale</t>
  </si>
  <si>
    <t>Credit Sale</t>
  </si>
  <si>
    <t>Cash From Credit Sale</t>
  </si>
  <si>
    <t>UPI From Credit Sale</t>
  </si>
  <si>
    <t>SALES RETURN</t>
  </si>
  <si>
    <t>Total Expenses</t>
  </si>
  <si>
    <t>Cash Expenses</t>
  </si>
  <si>
    <t>Upi Expenses</t>
  </si>
  <si>
    <t>Credit Expenses</t>
  </si>
  <si>
    <t>Closing Credit Balance</t>
  </si>
  <si>
    <t>Closing UPI Balance</t>
  </si>
  <si>
    <t>Closing Cash</t>
  </si>
  <si>
    <t>Physical Cash</t>
  </si>
  <si>
    <t>Difference</t>
  </si>
  <si>
    <t>TOTAL BILL AMOUNT</t>
  </si>
  <si>
    <t>NUMBER OF BILLS</t>
  </si>
  <si>
    <t>AVERAGE BILL AMOUNT</t>
  </si>
  <si>
    <t>CASH Deposit</t>
  </si>
  <si>
    <t>UPI SETTLEMENT</t>
  </si>
  <si>
    <t>Total Outfow</t>
  </si>
  <si>
    <t>DAILY DEPOSIT</t>
  </si>
  <si>
    <t>Key</t>
  </si>
  <si>
    <t>Value</t>
  </si>
  <si>
    <t>Report Title</t>
  </si>
  <si>
    <t>SAHAKAR HYPER PHARMACY ACCOUNTS REPORT</t>
  </si>
  <si>
    <t>Month (Upper)</t>
  </si>
  <si>
    <t>NOVEMBER</t>
  </si>
  <si>
    <t>Year</t>
  </si>
  <si>
    <t>Outlet</t>
  </si>
  <si>
    <t>MELATTUR</t>
  </si>
  <si>
    <t>Locale</t>
  </si>
  <si>
    <t>en-IN</t>
  </si>
  <si>
    <t>Timezone</t>
  </si>
  <si>
    <t>Asia/Kolkata</t>
  </si>
  <si>
    <t>Date Format (Cells)</t>
  </si>
  <si>
    <t>dd/mm/yy</t>
  </si>
  <si>
    <t>Date Format (Names)</t>
  </si>
  <si>
    <t>dd/MM/yy</t>
  </si>
  <si>
    <t>Created At</t>
  </si>
  <si>
    <t>Template File ID</t>
  </si>
  <si>
    <t>1mA_aPQuVrBDtC_DUihDGp7BMgONZKdQI_18Ri2QbKO8</t>
  </si>
  <si>
    <t>Daily Template Tab</t>
  </si>
  <si>
    <t>TEMPLATE</t>
  </si>
  <si>
    <t>Metric</t>
  </si>
  <si>
    <t>Days in Month</t>
  </si>
  <si>
    <t>Generated At</t>
  </si>
  <si>
    <t xml:space="preserve">PETROL  </t>
  </si>
  <si>
    <t>clinic test</t>
  </si>
  <si>
    <t>toilet key</t>
  </si>
  <si>
    <t xml:space="preserve">       CARD    8680</t>
  </si>
  <si>
    <t>DELIV shibili  8681</t>
  </si>
  <si>
    <t>SHIBI  ASSINAR8704</t>
  </si>
  <si>
    <t>abdul ka shibi deli8719</t>
  </si>
  <si>
    <t>sabith     8729</t>
  </si>
  <si>
    <t>jinshad     8733</t>
  </si>
  <si>
    <t>SANJU</t>
  </si>
  <si>
    <t xml:space="preserve">SBILI </t>
  </si>
  <si>
    <t>old</t>
  </si>
  <si>
    <t>JINSHAD</t>
  </si>
  <si>
    <t>SHIBILI</t>
  </si>
  <si>
    <t>fathima sahra   8826</t>
  </si>
  <si>
    <t>hydroskutty    8845</t>
  </si>
  <si>
    <t xml:space="preserve"> </t>
  </si>
  <si>
    <t>SUBRAMANIYAN 8864</t>
  </si>
  <si>
    <t>narayanakutti   8879</t>
  </si>
  <si>
    <t>petrol</t>
  </si>
  <si>
    <t>V CARE</t>
  </si>
  <si>
    <t>card                 8744</t>
  </si>
  <si>
    <t>rasheed klp deli 8760</t>
  </si>
  <si>
    <t>SANJID     8773</t>
  </si>
  <si>
    <t>rasheeq          8790</t>
  </si>
  <si>
    <t>majeed kalam 8794</t>
  </si>
  <si>
    <t xml:space="preserve">petrol </t>
  </si>
  <si>
    <t xml:space="preserve">sithara </t>
  </si>
  <si>
    <t xml:space="preserve"> CARD  8887</t>
  </si>
  <si>
    <t xml:space="preserve">shibili </t>
  </si>
  <si>
    <t>sanju</t>
  </si>
  <si>
    <t>ramees</t>
  </si>
  <si>
    <t>CARD   8891</t>
  </si>
  <si>
    <t>abdul kareem 8898</t>
  </si>
  <si>
    <t>mujeeb vettathur 8904</t>
  </si>
  <si>
    <t>card   8930</t>
  </si>
  <si>
    <t>rafi sir 8932</t>
  </si>
  <si>
    <t>ambili    8935</t>
  </si>
  <si>
    <t xml:space="preserve">clinic </t>
  </si>
  <si>
    <t>CARD     8983</t>
  </si>
  <si>
    <t>ramees 9032</t>
  </si>
  <si>
    <t>subin salary</t>
  </si>
  <si>
    <t>ashik  strlex      9063</t>
  </si>
  <si>
    <t>PETROL</t>
  </si>
  <si>
    <t>LOCAL PURCHASE</t>
  </si>
  <si>
    <t>CARD    9156</t>
  </si>
  <si>
    <t>CARD     9165</t>
  </si>
  <si>
    <t>SHIBILI KLP  9169</t>
  </si>
  <si>
    <t>ANSAR SIR  9183</t>
  </si>
  <si>
    <t>JINSHAD   9185</t>
  </si>
  <si>
    <t>PRINTER</t>
  </si>
  <si>
    <t>RENT</t>
  </si>
  <si>
    <t xml:space="preserve">PETROL </t>
  </si>
  <si>
    <t>FOOD</t>
  </si>
  <si>
    <t>CARD      9240</t>
  </si>
  <si>
    <t>RAFI SIR         9254</t>
  </si>
  <si>
    <t>JINSHAD        9261</t>
  </si>
  <si>
    <t>CARD          9279</t>
  </si>
  <si>
    <t>CARD       9294</t>
  </si>
  <si>
    <t>SABITH      9306</t>
  </si>
  <si>
    <t>USMAN P      9380</t>
  </si>
  <si>
    <t>SHIBILI     9386</t>
  </si>
  <si>
    <t>ADVANCE SANJU</t>
  </si>
  <si>
    <t xml:space="preserve"> mhd salih      9394</t>
  </si>
  <si>
    <t>saidalavi    9398</t>
  </si>
  <si>
    <t>ashik starlex  9454</t>
  </si>
  <si>
    <t>vahid starlex   9485</t>
  </si>
  <si>
    <t>vahid starlex   9487</t>
  </si>
  <si>
    <t xml:space="preserve">  CARD  9491</t>
  </si>
  <si>
    <t>FUEL</t>
  </si>
  <si>
    <t xml:space="preserve">SHIBILI ADV </t>
  </si>
  <si>
    <t xml:space="preserve"> abdul kareem  9577</t>
  </si>
  <si>
    <t>print</t>
  </si>
  <si>
    <t>KSEB</t>
  </si>
  <si>
    <t xml:space="preserve">print </t>
  </si>
  <si>
    <t>ramdas sir       9661</t>
  </si>
  <si>
    <t>saidalavi kk    9672</t>
  </si>
  <si>
    <t>noushadu sir   9676</t>
  </si>
  <si>
    <t>CARD              9698</t>
  </si>
  <si>
    <t>CARD            9703</t>
  </si>
  <si>
    <t>shihab  9712</t>
  </si>
  <si>
    <t>rasheed     9723</t>
  </si>
  <si>
    <t>shibili staff  2797</t>
  </si>
  <si>
    <t xml:space="preserve">shibili adv </t>
  </si>
  <si>
    <t>vahid starlex    9747</t>
  </si>
  <si>
    <t>CARD              9753</t>
  </si>
  <si>
    <t>fasna mam    9758</t>
  </si>
  <si>
    <t>shreejith starlex 9784</t>
  </si>
  <si>
    <t>rafi sir starlex  9786</t>
  </si>
  <si>
    <t>subin9807</t>
  </si>
  <si>
    <t>card    9809</t>
  </si>
  <si>
    <t>saufunee 9810</t>
  </si>
  <si>
    <t>shihab klp     9811</t>
  </si>
  <si>
    <t>mhd shabeeb  9814</t>
  </si>
  <si>
    <t>shabeeb       9817</t>
  </si>
  <si>
    <t>shabeeb       9823</t>
  </si>
  <si>
    <t>shabeeb         9826</t>
  </si>
  <si>
    <t>shabeeb       9827</t>
  </si>
  <si>
    <t>shabeeb        9828</t>
  </si>
  <si>
    <t>shabeeeb      9829</t>
  </si>
  <si>
    <t>sanju      9830</t>
  </si>
  <si>
    <t>sanju          9832</t>
  </si>
  <si>
    <t>CARD              9853</t>
  </si>
  <si>
    <t>CARD              9859</t>
  </si>
  <si>
    <t>CARD               9863</t>
  </si>
  <si>
    <t>mhd shabeeb  9884</t>
  </si>
  <si>
    <t>shabeeb    9886</t>
  </si>
  <si>
    <t>basheer chemma9887</t>
  </si>
  <si>
    <t>ali favas     9894</t>
  </si>
  <si>
    <t>sudhakaran    9902</t>
  </si>
  <si>
    <t>rashi thatha    9918</t>
  </si>
  <si>
    <t>shameer sir   9926</t>
  </si>
  <si>
    <t>shabnath starlex 9928</t>
  </si>
  <si>
    <t>shabnath starlex 9929</t>
  </si>
  <si>
    <t>shabnath strlex 9930</t>
  </si>
  <si>
    <t>soumya       9941</t>
  </si>
  <si>
    <t>shamseena starlex 9950</t>
  </si>
  <si>
    <t>dheeru      9953</t>
  </si>
  <si>
    <t>rahul lab    9954</t>
  </si>
  <si>
    <t>FAVAS SIR      9971</t>
  </si>
  <si>
    <t>CARD               9980</t>
  </si>
  <si>
    <t>shabeeb 10041</t>
  </si>
  <si>
    <t>shabeeb   10048</t>
  </si>
  <si>
    <t>10065 CARD</t>
  </si>
  <si>
    <t>10066  CARD</t>
  </si>
  <si>
    <t>CAMB EXP</t>
  </si>
  <si>
    <t xml:space="preserve">scooty </t>
  </si>
  <si>
    <t>ashik salary</t>
  </si>
  <si>
    <t>mhd shabeeb 10100</t>
  </si>
  <si>
    <t>CARD           10141</t>
  </si>
  <si>
    <t>SHIBILI ADV</t>
  </si>
  <si>
    <t>MHD SHABEEB10175</t>
  </si>
  <si>
    <t>mishal eppikad10223</t>
  </si>
  <si>
    <t>CARD         10224</t>
  </si>
  <si>
    <t>mishal eppikad10225</t>
  </si>
  <si>
    <t>sithara salary</t>
  </si>
  <si>
    <t xml:space="preserve">subin </t>
  </si>
  <si>
    <t>sanju adv</t>
  </si>
  <si>
    <t>shibili adv</t>
  </si>
  <si>
    <t>check upi       10260</t>
  </si>
  <si>
    <t>check upi       10261</t>
  </si>
  <si>
    <t>check upi      10266</t>
  </si>
  <si>
    <t>card          10278</t>
  </si>
  <si>
    <t>mhd shabeb 10284</t>
  </si>
  <si>
    <t>chek upi         10287</t>
  </si>
  <si>
    <t>sanju      10332</t>
  </si>
  <si>
    <t>irfan dr  sir    10333</t>
  </si>
  <si>
    <t>sanju       10334</t>
  </si>
  <si>
    <t>shibili        10335</t>
  </si>
  <si>
    <t>sabith starlex 10336</t>
  </si>
  <si>
    <t>rashi thatha  10337</t>
  </si>
  <si>
    <t>medicine</t>
  </si>
  <si>
    <t>CARD           10453</t>
  </si>
  <si>
    <t>RAFI SIR       10456</t>
  </si>
  <si>
    <t>CARD            10465</t>
  </si>
  <si>
    <t>saidalavi cust 10468</t>
  </si>
  <si>
    <t>CARD            10482</t>
  </si>
  <si>
    <t>SANJU ADV</t>
  </si>
  <si>
    <t>arun dr           10520</t>
  </si>
  <si>
    <t>arif starlex      10527</t>
  </si>
  <si>
    <t>manaf klp       10559</t>
  </si>
  <si>
    <t>manaf klp       10560</t>
  </si>
  <si>
    <t>jahana            10563</t>
  </si>
  <si>
    <t>RASHEEQ10585</t>
  </si>
  <si>
    <t>kseb</t>
  </si>
  <si>
    <t>shihab klp     10671</t>
  </si>
  <si>
    <t>CARD             10682</t>
  </si>
  <si>
    <t>arun dr           10690</t>
  </si>
  <si>
    <t>assainar        10692</t>
  </si>
  <si>
    <t>soumya         10695</t>
  </si>
  <si>
    <t>CARD            10721</t>
  </si>
  <si>
    <t>arif starlex     10728</t>
  </si>
  <si>
    <t>jamshela epkd 10730</t>
  </si>
  <si>
    <t>insulation tap</t>
  </si>
  <si>
    <t>courier charge</t>
  </si>
  <si>
    <t>drinking water</t>
  </si>
  <si>
    <t>CARD            10753</t>
  </si>
  <si>
    <t>sunil ottapalam 10760</t>
  </si>
  <si>
    <t>rafi sir            10764</t>
  </si>
  <si>
    <t>FAVAS SIR    10807</t>
  </si>
  <si>
    <t>SABITH         10830</t>
  </si>
  <si>
    <t>muhammed    10832</t>
  </si>
  <si>
    <t>sabith            10835</t>
  </si>
  <si>
    <t>shabin sir       10836</t>
  </si>
  <si>
    <t>shibili klp        10837</t>
  </si>
  <si>
    <t>WASTE</t>
  </si>
  <si>
    <t>fuel</t>
  </si>
  <si>
    <t>ashiq sir adv</t>
  </si>
  <si>
    <t>mltr sir           10908</t>
  </si>
  <si>
    <t>sabith             10929</t>
  </si>
  <si>
    <t>sanju add</t>
  </si>
  <si>
    <t xml:space="preserve">ol </t>
  </si>
  <si>
    <t>saidalavi        10950</t>
  </si>
  <si>
    <t>rahul lab10992</t>
  </si>
  <si>
    <t>sanju 10994</t>
  </si>
  <si>
    <t xml:space="preserve">  rafi sir</t>
  </si>
  <si>
    <t>10835 (pending amt )</t>
  </si>
  <si>
    <t>fakrudheen (invester)11034</t>
  </si>
  <si>
    <t>sanju dlry       11053</t>
  </si>
  <si>
    <t>CARD             11056</t>
  </si>
  <si>
    <t>raveedran       11063</t>
  </si>
  <si>
    <t>CARD             11067</t>
  </si>
  <si>
    <t>ASHIQ          11075</t>
  </si>
  <si>
    <t>CARD             11090</t>
  </si>
  <si>
    <t>rashi thatha    11091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</si>
</sst>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&quot;/&quot;mm&quot;/&quot;yy"/>
    <numFmt numFmtId="165" formatCode="dd/mm/yy hh:mm"/>
    <numFmt numFmtId="166" formatCode="dd/mm/yy hh:mm:ss"/>
    <numFmt numFmtId="167" formatCode="dd/mm/yy"/>
    <numFmt numFmtId="168" formatCode="d/m/yyyy"/>
  </numFmts>
  <fonts count="32">
    <font>
      <sz val="11.0"/>
      <color theme="1"/>
      <name val="Calibri"/>
      <scheme val="minor"/>
    </font>
    <font>
      <sz val="11.0"/>
      <color rgb="FF000000"/>
      <name val="Calibri"/>
    </font>
    <font>
      <b/>
      <sz val="13.0"/>
      <color theme="1"/>
      <name val="Calibri"/>
    </font>
    <font>
      <b/>
      <sz val="17.0"/>
      <color theme="1"/>
      <name val="Calibri"/>
    </font>
    <font/>
    <font>
      <b/>
      <sz val="11.0"/>
      <color rgb="FF000000"/>
      <name val="&quot;Calibri Light&quot;"/>
    </font>
    <font>
      <b/>
      <sz val="11.0"/>
      <color rgb="FF000000"/>
      <name val="Arial"/>
    </font>
    <font>
      <b/>
      <sz val="32.0"/>
      <color rgb="FF000000"/>
      <name val="Arial"/>
    </font>
    <font>
      <b/>
      <sz val="16.0"/>
      <color rgb="FF000000"/>
      <name val="Arial"/>
    </font>
    <font>
      <b/>
      <sz val="12.0"/>
      <color rgb="FF000000"/>
      <name val="&quot;Calibri Light&quot;"/>
    </font>
    <font>
      <b/>
      <sz val="19.0"/>
      <color rgb="FF000000"/>
      <name val="Arial"/>
    </font>
    <font>
      <color rgb="FF000000"/>
      <name val="&quot;Calibri Light&quot;"/>
    </font>
    <font>
      <b/>
      <sz val="10.0"/>
      <color rgb="FF000000"/>
      <name val="Arial"/>
    </font>
    <font>
      <b/>
      <color rgb="FF000000"/>
      <name val="&quot;Calibri Light&quot;"/>
    </font>
    <font>
      <b/>
      <color rgb="FF000000"/>
      <name val="Arial"/>
    </font>
    <font>
      <b/>
      <sz val="12.0"/>
      <color rgb="FF000000"/>
      <name val="Arial"/>
    </font>
    <font>
      <sz val="11.0"/>
      <color rgb="FF000000"/>
      <name val="&quot;Calibri Light&quot;"/>
    </font>
    <font>
      <color rgb="FF000000"/>
      <name val="Arial"/>
    </font>
    <font>
      <color theme="1"/>
      <name val="Arial"/>
    </font>
    <font>
      <color theme="1"/>
      <name val="&quot;Calibri Light&quot;"/>
    </font>
    <font>
      <sz val="9.0"/>
      <color rgb="FF000000"/>
      <name val="&quot;Calibri Light&quot;"/>
    </font>
    <font>
      <sz val="11.0"/>
      <color rgb="FF000000"/>
      <name val="Arial"/>
    </font>
    <font>
      <sz val="11.0"/>
      <color theme="0"/>
      <name val="Arial"/>
    </font>
    <font>
      <sz val="11.0"/>
      <color theme="0"/>
      <name val="Calibri"/>
    </font>
    <font>
      <b/>
      <sz val="11.0"/>
      <color rgb="FFFF0000"/>
      <name val="&quot;Calibri Light&quot;"/>
    </font>
    <font>
      <b/>
      <color rgb="FFFF0000"/>
      <name val="&quot;Calibri Light&quot;"/>
    </font>
    <font>
      <b/>
      <sz val="11.0"/>
      <color rgb="FF000000"/>
      <name val="Calibri"/>
    </font>
    <font>
      <b/>
      <sz val="18.0"/>
      <color rgb="FF000000"/>
      <name val="Calibri"/>
    </font>
    <font>
      <color rgb="FF000000"/>
      <name val="&quot;Times New Roman&quot;"/>
    </font>
    <font>
      <sz val="12.0"/>
      <color rgb="FF000000"/>
      <name val="&quot;Times New Roman&quot;"/>
    </font>
    <font>
      <b/>
      <sz val="11.0"/>
      <color rgb="FF666666"/>
      <name val="Arial"/>
    </font>
    <font>
      <color theme="1"/>
      <name val="Calibri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EDEDED"/>
        <bgColor rgb="FFEDEDED"/>
      </patternFill>
    </fill>
    <fill>
      <patternFill patternType="solid">
        <fgColor rgb="FFFFD966"/>
        <bgColor rgb="FFFFD966"/>
      </patternFill>
    </fill>
    <fill>
      <patternFill patternType="solid">
        <fgColor rgb="FFD9D9D9"/>
        <bgColor rgb="FFD9D9D9"/>
      </patternFill>
    </fill>
    <fill>
      <patternFill patternType="solid">
        <fgColor theme="4"/>
        <bgColor theme="4"/>
      </patternFill>
    </fill>
    <fill>
      <patternFill patternType="solid">
        <fgColor rgb="FF000000"/>
        <bgColor rgb="FF0000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</fills>
  <borders count="1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  <border>
      <right style="thin">
        <color rgb="FFDEE2E6"/>
      </right>
      <top style="thin">
        <color rgb="FFDEE2E6"/>
      </top>
      <bottom style="thin">
        <color rgb="FFDEE2E6"/>
      </bottom>
    </border>
  </borders>
  <cellStyleXfs count="1">
    <xf borderId="0" fillId="0" fontId="0" numFmtId="0" applyAlignment="1" applyFont="1"/>
  </cellStyleXfs>
  <cellXfs count="17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0" fontId="2" numFmtId="0" xfId="0" applyAlignment="1" applyBorder="1" applyFont="1">
      <alignment horizontal="center" readingOrder="0" shrinkToFit="0" wrapText="0"/>
    </xf>
    <xf borderId="2" fillId="0" fontId="2" numFmtId="164" xfId="0" applyAlignment="1" applyBorder="1" applyFont="1" applyNumberFormat="1">
      <alignment horizontal="center" readingOrder="0" shrinkToFit="0" wrapText="0"/>
    </xf>
    <xf borderId="0" fillId="0" fontId="1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readingOrder="0" shrinkToFit="0" wrapText="0"/>
    </xf>
    <xf borderId="3" fillId="0" fontId="4" numFmtId="0" xfId="0" applyBorder="1" applyFont="1"/>
    <xf borderId="4" fillId="0" fontId="4" numFmtId="0" xfId="0" applyBorder="1" applyFont="1"/>
    <xf borderId="0" fillId="3" fontId="1" numFmtId="0" xfId="0" applyAlignment="1" applyFill="1" applyFont="1">
      <alignment shrinkToFit="0" vertical="bottom" wrapText="0"/>
    </xf>
    <xf borderId="0" fillId="4" fontId="1" numFmtId="0" xfId="0" applyAlignment="1" applyFill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2" fillId="5" fontId="5" numFmtId="0" xfId="0" applyAlignment="1" applyBorder="1" applyFill="1" applyFont="1">
      <alignment horizontal="left" readingOrder="0" shrinkToFit="0" wrapText="0"/>
    </xf>
    <xf borderId="4" fillId="5" fontId="6" numFmtId="4" xfId="0" applyAlignment="1" applyBorder="1" applyFont="1" applyNumberFormat="1">
      <alignment horizontal="right" readingOrder="0" shrinkToFit="0" wrapText="0"/>
    </xf>
    <xf borderId="5" fillId="6" fontId="7" numFmtId="0" xfId="0" applyAlignment="1" applyBorder="1" applyFill="1" applyFont="1">
      <alignment horizontal="center" readingOrder="0" vertical="center"/>
    </xf>
    <xf borderId="6" fillId="0" fontId="4" numFmtId="0" xfId="0" applyBorder="1" applyFont="1"/>
    <xf borderId="7" fillId="0" fontId="4" numFmtId="0" xfId="0" applyBorder="1" applyFont="1"/>
    <xf borderId="5" fillId="6" fontId="8" numFmtId="0" xfId="0" applyAlignment="1" applyBorder="1" applyFont="1">
      <alignment horizontal="center" readingOrder="0" shrinkToFit="0" vertical="center" wrapText="0"/>
    </xf>
    <xf borderId="0" fillId="4" fontId="9" numFmtId="0" xfId="0" applyAlignment="1" applyFont="1">
      <alignment horizontal="center" readingOrder="0" shrinkToFit="0" wrapText="0"/>
    </xf>
    <xf borderId="5" fillId="6" fontId="7" numFmtId="0" xfId="0" applyAlignment="1" applyBorder="1" applyFont="1">
      <alignment horizontal="center" readingOrder="0" shrinkToFit="0" vertical="center" wrapText="0"/>
    </xf>
    <xf borderId="5" fillId="6" fontId="10" numFmtId="0" xfId="0" applyAlignment="1" applyBorder="1" applyFont="1">
      <alignment horizontal="center" readingOrder="0" shrinkToFit="0" vertical="center" wrapText="0"/>
    </xf>
    <xf borderId="8" fillId="5" fontId="5" numFmtId="0" xfId="0" applyAlignment="1" applyBorder="1" applyFont="1">
      <alignment readingOrder="0" shrinkToFit="0" wrapText="0"/>
    </xf>
    <xf borderId="9" fillId="5" fontId="6" numFmtId="4" xfId="0" applyAlignment="1" applyBorder="1" applyFont="1" applyNumberFormat="1">
      <alignment readingOrder="0" shrinkToFit="0" wrapText="0"/>
    </xf>
    <xf borderId="10" fillId="0" fontId="4" numFmtId="0" xfId="0" applyBorder="1" applyFont="1"/>
    <xf borderId="11" fillId="0" fontId="4" numFmtId="0" xfId="0" applyBorder="1" applyFont="1"/>
    <xf borderId="0" fillId="0" fontId="11" numFmtId="0" xfId="0" applyAlignment="1" applyFont="1">
      <alignment shrinkToFit="0" vertical="bottom" wrapText="0"/>
    </xf>
    <xf borderId="8" fillId="5" fontId="12" numFmtId="0" xfId="0" applyAlignment="1" applyBorder="1" applyFont="1">
      <alignment horizontal="left" readingOrder="0" shrinkToFit="0" wrapText="0"/>
    </xf>
    <xf borderId="12" fillId="0" fontId="4" numFmtId="0" xfId="0" applyBorder="1" applyFont="1"/>
    <xf borderId="13" fillId="0" fontId="4" numFmtId="0" xfId="0" applyBorder="1" applyFont="1"/>
    <xf borderId="9" fillId="0" fontId="4" numFmtId="0" xfId="0" applyBorder="1" applyFont="1"/>
    <xf borderId="14" fillId="6" fontId="13" numFmtId="0" xfId="0" applyAlignment="1" applyBorder="1" applyFont="1">
      <alignment horizontal="center" readingOrder="0"/>
    </xf>
    <xf borderId="14" fillId="6" fontId="14" numFmtId="0" xfId="0" applyAlignment="1" applyBorder="1" applyFont="1">
      <alignment horizontal="center" readingOrder="0"/>
    </xf>
    <xf borderId="14" fillId="6" fontId="14" numFmtId="0" xfId="0" applyAlignment="1" applyBorder="1" applyFont="1">
      <alignment readingOrder="0" shrinkToFit="0" vertical="bottom" wrapText="0"/>
    </xf>
    <xf borderId="14" fillId="6" fontId="15" numFmtId="0" xfId="0" applyAlignment="1" applyBorder="1" applyFont="1">
      <alignment horizontal="center" readingOrder="0" shrinkToFit="0" wrapText="0"/>
    </xf>
    <xf borderId="14" fillId="6" fontId="9" numFmtId="0" xfId="0" applyAlignment="1" applyBorder="1" applyFont="1">
      <alignment horizontal="center" readingOrder="0" shrinkToFit="0" vertical="center" wrapText="0"/>
    </xf>
    <xf borderId="14" fillId="6" fontId="9" numFmtId="0" xfId="0" applyAlignment="1" applyBorder="1" applyFont="1">
      <alignment horizontal="center" readingOrder="0" vertical="center"/>
    </xf>
    <xf borderId="14" fillId="6" fontId="9" numFmtId="0" xfId="0" applyAlignment="1" applyBorder="1" applyFont="1">
      <alignment horizontal="center" readingOrder="0" vertical="center"/>
    </xf>
    <xf borderId="14" fillId="6" fontId="15" numFmtId="0" xfId="0" applyAlignment="1" applyBorder="1" applyFont="1">
      <alignment horizontal="center" readingOrder="0" vertical="center"/>
    </xf>
    <xf borderId="8" fillId="7" fontId="5" numFmtId="0" xfId="0" applyAlignment="1" applyBorder="1" applyFill="1" applyFont="1">
      <alignment horizontal="left" readingOrder="0" shrinkToFit="0" wrapText="0"/>
    </xf>
    <xf borderId="9" fillId="7" fontId="5" numFmtId="4" xfId="0" applyAlignment="1" applyBorder="1" applyFont="1" applyNumberFormat="1">
      <alignment horizontal="right" readingOrder="0" shrinkToFit="0" wrapText="0"/>
    </xf>
    <xf borderId="8" fillId="0" fontId="4" numFmtId="0" xfId="0" applyBorder="1" applyFont="1"/>
    <xf borderId="15" fillId="0" fontId="4" numFmtId="0" xfId="0" applyBorder="1" applyFont="1"/>
    <xf borderId="8" fillId="3" fontId="16" numFmtId="0" xfId="0" applyAlignment="1" applyBorder="1" applyFont="1">
      <alignment horizontal="left" readingOrder="0" shrinkToFit="0" wrapText="0"/>
    </xf>
    <xf borderId="9" fillId="3" fontId="16" numFmtId="4" xfId="0" applyAlignment="1" applyBorder="1" applyFont="1" applyNumberFormat="1">
      <alignment horizontal="right" readingOrder="0" shrinkToFit="0" wrapText="0"/>
    </xf>
    <xf borderId="12" fillId="0" fontId="11" numFmtId="0" xfId="0" applyAlignment="1" applyBorder="1" applyFont="1">
      <alignment horizontal="center" readingOrder="0" shrinkToFit="0" wrapText="0"/>
    </xf>
    <xf borderId="2" fillId="4" fontId="17" numFmtId="4" xfId="0" applyAlignment="1" applyBorder="1" applyFont="1" applyNumberFormat="1">
      <alignment horizontal="center" readingOrder="0" shrinkToFit="0" wrapText="0"/>
    </xf>
    <xf borderId="11" fillId="4" fontId="17" numFmtId="4" xfId="0" applyAlignment="1" applyBorder="1" applyFont="1" applyNumberFormat="1">
      <alignment horizontal="center" readingOrder="0" shrinkToFit="0" vertical="bottom" wrapText="0"/>
    </xf>
    <xf borderId="2" fillId="4" fontId="11" numFmtId="0" xfId="0" applyAlignment="1" applyBorder="1" applyFont="1">
      <alignment shrinkToFit="0" vertical="bottom" wrapText="0"/>
    </xf>
    <xf borderId="2" fillId="4" fontId="15" numFmtId="0" xfId="0" applyAlignment="1" applyBorder="1" applyFont="1">
      <alignment horizontal="center" readingOrder="0" shrinkToFit="0" wrapText="0"/>
    </xf>
    <xf borderId="2" fillId="4" fontId="9" numFmtId="0" xfId="0" applyAlignment="1" applyBorder="1" applyFont="1">
      <alignment horizontal="center" readingOrder="0" shrinkToFit="0" wrapText="0"/>
    </xf>
    <xf borderId="0" fillId="4" fontId="11" numFmtId="0" xfId="0" applyAlignment="1" applyFont="1">
      <alignment horizontal="left" readingOrder="0" shrinkToFit="0" wrapText="0"/>
    </xf>
    <xf borderId="2" fillId="0" fontId="11" numFmtId="0" xfId="0" applyAlignment="1" applyBorder="1" applyFont="1">
      <alignment horizontal="left" readingOrder="0" shrinkToFit="0" wrapText="0"/>
    </xf>
    <xf borderId="9" fillId="0" fontId="11" numFmtId="0" xfId="0" applyAlignment="1" applyBorder="1" applyFont="1">
      <alignment shrinkToFit="0" vertical="bottom" wrapText="0"/>
    </xf>
    <xf borderId="9" fillId="0" fontId="17" numFmtId="4" xfId="0" applyAlignment="1" applyBorder="1" applyFont="1" applyNumberFormat="1">
      <alignment readingOrder="0" shrinkToFit="0" vertical="bottom" wrapText="0"/>
    </xf>
    <xf borderId="9" fillId="0" fontId="11" numFmtId="4" xfId="0" applyAlignment="1" applyBorder="1" applyFont="1" applyNumberFormat="1">
      <alignment shrinkToFit="0" vertical="bottom" wrapText="0"/>
    </xf>
    <xf borderId="9" fillId="0" fontId="17" numFmtId="4" xfId="0" applyAlignment="1" applyBorder="1" applyFont="1" applyNumberFormat="1">
      <alignment horizontal="center" readingOrder="0" shrinkToFit="0" wrapText="0"/>
    </xf>
    <xf borderId="9" fillId="0" fontId="11" numFmtId="0" xfId="0" applyBorder="1" applyFont="1"/>
    <xf borderId="8" fillId="4" fontId="18" numFmtId="4" xfId="0" applyAlignment="1" applyBorder="1" applyFont="1" applyNumberFormat="1">
      <alignment horizontal="center" readingOrder="0" shrinkToFit="0" wrapText="0"/>
    </xf>
    <xf borderId="4" fillId="4" fontId="18" numFmtId="4" xfId="0" applyAlignment="1" applyBorder="1" applyFont="1" applyNumberFormat="1">
      <alignment horizontal="center" readingOrder="0" shrinkToFit="0" wrapText="0"/>
    </xf>
    <xf borderId="4" fillId="4" fontId="17" numFmtId="4" xfId="0" applyAlignment="1" applyBorder="1" applyFont="1" applyNumberFormat="1">
      <alignment horizontal="center" readingOrder="0" shrinkToFit="0" wrapText="0"/>
    </xf>
    <xf borderId="4" fillId="4" fontId="19" numFmtId="4" xfId="0" applyAlignment="1" applyBorder="1" applyFont="1" applyNumberFormat="1">
      <alignment horizontal="center" shrinkToFit="0" wrapText="0"/>
    </xf>
    <xf borderId="8" fillId="0" fontId="11" numFmtId="0" xfId="0" applyAlignment="1" applyBorder="1" applyFont="1">
      <alignment horizontal="left" readingOrder="0" shrinkToFit="0" wrapText="0"/>
    </xf>
    <xf borderId="9" fillId="0" fontId="11" numFmtId="4" xfId="0" applyAlignment="1" applyBorder="1" applyFont="1" applyNumberFormat="1">
      <alignment horizontal="center" shrinkToFit="0" wrapText="0"/>
    </xf>
    <xf borderId="9" fillId="0" fontId="20" numFmtId="0" xfId="0" applyBorder="1" applyFont="1"/>
    <xf borderId="8" fillId="4" fontId="17" numFmtId="4" xfId="0" applyAlignment="1" applyBorder="1" applyFont="1" applyNumberFormat="1">
      <alignment horizontal="center" readingOrder="0" shrinkToFit="0" wrapText="0"/>
    </xf>
    <xf borderId="9" fillId="4" fontId="18" numFmtId="4" xfId="0" applyAlignment="1" applyBorder="1" applyFont="1" applyNumberFormat="1">
      <alignment horizontal="center" readingOrder="0" shrinkToFit="0" wrapText="0"/>
    </xf>
    <xf borderId="9" fillId="4" fontId="19" numFmtId="4" xfId="0" applyAlignment="1" applyBorder="1" applyFont="1" applyNumberFormat="1">
      <alignment horizontal="center" shrinkToFit="0" wrapText="0"/>
    </xf>
    <xf borderId="8" fillId="8" fontId="21" numFmtId="0" xfId="0" applyAlignment="1" applyBorder="1" applyFill="1" applyFont="1">
      <alignment horizontal="left" readingOrder="0" shrinkToFit="0" wrapText="0"/>
    </xf>
    <xf borderId="2" fillId="8" fontId="16" numFmtId="4" xfId="0" applyAlignment="1" applyBorder="1" applyFont="1" applyNumberFormat="1">
      <alignment horizontal="right" readingOrder="0" shrinkToFit="0" wrapText="0"/>
    </xf>
    <xf borderId="8" fillId="9" fontId="22" numFmtId="0" xfId="0" applyAlignment="1" applyBorder="1" applyFill="1" applyFont="1">
      <alignment horizontal="left" readingOrder="0" shrinkToFit="0" wrapText="0"/>
    </xf>
    <xf borderId="2" fillId="9" fontId="23" numFmtId="4" xfId="0" applyAlignment="1" applyBorder="1" applyFont="1" applyNumberFormat="1">
      <alignment horizontal="right" readingOrder="0" shrinkToFit="0" vertical="bottom" wrapText="0"/>
    </xf>
    <xf borderId="11" fillId="7" fontId="5" numFmtId="4" xfId="0" applyAlignment="1" applyBorder="1" applyFont="1" applyNumberFormat="1">
      <alignment horizontal="right" readingOrder="0" shrinkToFit="0" wrapText="0"/>
    </xf>
    <xf borderId="7" fillId="3" fontId="16" numFmtId="4" xfId="0" applyAlignment="1" applyBorder="1" applyFont="1" applyNumberFormat="1">
      <alignment horizontal="right" readingOrder="0" shrinkToFit="0" wrapText="0"/>
    </xf>
    <xf borderId="8" fillId="0" fontId="17" numFmtId="0" xfId="0" applyAlignment="1" applyBorder="1" applyFont="1">
      <alignment horizontal="left" readingOrder="0" shrinkToFit="0" wrapText="0"/>
    </xf>
    <xf borderId="0" fillId="4" fontId="11" numFmtId="0" xfId="0" applyAlignment="1" applyFont="1">
      <alignment horizontal="left" shrinkToFit="0" wrapText="0"/>
    </xf>
    <xf borderId="2" fillId="5" fontId="6" numFmtId="0" xfId="0" applyAlignment="1" applyBorder="1" applyFont="1">
      <alignment horizontal="left" readingOrder="0" shrinkToFit="0" wrapText="0"/>
    </xf>
    <xf borderId="7" fillId="5" fontId="16" numFmtId="4" xfId="0" applyAlignment="1" applyBorder="1" applyFont="1" applyNumberFormat="1">
      <alignment horizontal="right" readingOrder="0" shrinkToFit="0" wrapText="0"/>
    </xf>
    <xf borderId="8" fillId="0" fontId="11" numFmtId="0" xfId="0" applyAlignment="1" applyBorder="1" applyFont="1">
      <alignment horizontal="left" shrinkToFit="0" wrapText="0"/>
    </xf>
    <xf borderId="2" fillId="5" fontId="5" numFmtId="0" xfId="0" applyAlignment="1" applyBorder="1" applyFont="1">
      <alignment horizontal="left" readingOrder="0" shrinkToFit="0" wrapText="0"/>
    </xf>
    <xf borderId="4" fillId="5" fontId="16" numFmtId="4" xfId="0" applyAlignment="1" applyBorder="1" applyFont="1" applyNumberFormat="1">
      <alignment horizontal="right" readingOrder="0" shrinkToFit="0" wrapText="0"/>
    </xf>
    <xf borderId="8" fillId="5" fontId="5" numFmtId="0" xfId="0" applyAlignment="1" applyBorder="1" applyFont="1">
      <alignment horizontal="left" readingOrder="0" shrinkToFit="0" wrapText="0"/>
    </xf>
    <xf borderId="9" fillId="5" fontId="16" numFmtId="4" xfId="0" applyAlignment="1" applyBorder="1" applyFont="1" applyNumberFormat="1">
      <alignment horizontal="right" readingOrder="0" shrinkToFit="0" wrapText="0"/>
    </xf>
    <xf borderId="8" fillId="7" fontId="5" numFmtId="0" xfId="0" applyAlignment="1" applyBorder="1" applyFont="1">
      <alignment horizontal="left" readingOrder="0" shrinkToFit="0" wrapText="0"/>
    </xf>
    <xf borderId="9" fillId="7" fontId="16" numFmtId="4" xfId="0" applyAlignment="1" applyBorder="1" applyFont="1" applyNumberFormat="1">
      <alignment horizontal="right" readingOrder="0" shrinkToFit="0" wrapText="0"/>
    </xf>
    <xf borderId="8" fillId="3" fontId="24" numFmtId="0" xfId="0" applyAlignment="1" applyBorder="1" applyFont="1">
      <alignment horizontal="left" readingOrder="0" shrinkToFit="0" wrapText="0"/>
    </xf>
    <xf borderId="9" fillId="3" fontId="24" numFmtId="4" xfId="0" applyAlignment="1" applyBorder="1" applyFont="1" applyNumberFormat="1">
      <alignment horizontal="right" readingOrder="0" shrinkToFit="0" wrapText="0"/>
    </xf>
    <xf borderId="2" fillId="0" fontId="17" numFmtId="0" xfId="0" applyAlignment="1" applyBorder="1" applyFont="1">
      <alignment horizontal="left" readingOrder="0" shrinkToFit="0" wrapText="0"/>
    </xf>
    <xf borderId="2" fillId="0" fontId="1" numFmtId="4" xfId="0" applyAlignment="1" applyBorder="1" applyFont="1" applyNumberFormat="1">
      <alignment readingOrder="0" shrinkToFit="0" vertical="bottom" wrapText="0"/>
    </xf>
    <xf borderId="2" fillId="0" fontId="1" numFmtId="0" xfId="0" applyAlignment="1" applyBorder="1" applyFont="1">
      <alignment readingOrder="0" shrinkToFit="0" vertical="bottom" wrapText="0"/>
    </xf>
    <xf borderId="2" fillId="0" fontId="21" numFmtId="0" xfId="0" applyAlignment="1" applyBorder="1" applyFont="1">
      <alignment readingOrder="0" shrinkToFit="0" vertical="bottom" wrapText="0"/>
    </xf>
    <xf borderId="2" fillId="0" fontId="1" numFmtId="4" xfId="0" applyAlignment="1" applyBorder="1" applyFont="1" applyNumberFormat="1">
      <alignment shrinkToFit="0" vertical="bottom" wrapText="0"/>
    </xf>
    <xf borderId="14" fillId="0" fontId="17" numFmtId="0" xfId="0" applyAlignment="1" applyBorder="1" applyFont="1">
      <alignment horizontal="left" readingOrder="0" shrinkToFit="0" wrapText="0"/>
    </xf>
    <xf borderId="4" fillId="0" fontId="1" numFmtId="4" xfId="0" applyAlignment="1" applyBorder="1" applyFont="1" applyNumberFormat="1">
      <alignment horizontal="right" readingOrder="0" shrinkToFit="0" vertical="bottom" wrapText="0"/>
    </xf>
    <xf borderId="9" fillId="4" fontId="11" numFmtId="4" xfId="0" applyAlignment="1" applyBorder="1" applyFont="1" applyNumberFormat="1">
      <alignment horizontal="center" shrinkToFit="0" wrapText="0"/>
    </xf>
    <xf borderId="9" fillId="4" fontId="17" numFmtId="4" xfId="0" applyAlignment="1" applyBorder="1" applyFont="1" applyNumberFormat="1">
      <alignment horizontal="center" readingOrder="0" shrinkToFit="0" wrapText="0"/>
    </xf>
    <xf borderId="0" fillId="4" fontId="25" numFmtId="0" xfId="0" applyAlignment="1" applyFont="1">
      <alignment horizontal="center" readingOrder="0" shrinkToFit="0" wrapText="0"/>
    </xf>
    <xf borderId="1" fillId="5" fontId="25" numFmtId="0" xfId="0" applyAlignment="1" applyBorder="1" applyFont="1">
      <alignment horizontal="center" readingOrder="0" shrinkToFit="0" wrapText="0"/>
    </xf>
    <xf borderId="4" fillId="5" fontId="25" numFmtId="4" xfId="0" applyAlignment="1" applyBorder="1" applyFont="1" applyNumberFormat="1">
      <alignment horizontal="center" readingOrder="0" shrinkToFit="0" wrapText="0"/>
    </xf>
    <xf borderId="4" fillId="5" fontId="11" numFmtId="0" xfId="0" applyBorder="1" applyFont="1"/>
    <xf borderId="0" fillId="4" fontId="17" numFmtId="0" xfId="0" applyAlignment="1" applyFont="1">
      <alignment horizontal="left" readingOrder="0" shrinkToFit="0" wrapText="0"/>
    </xf>
    <xf borderId="9" fillId="0" fontId="17" numFmtId="4" xfId="0" applyAlignment="1" applyBorder="1" applyFont="1" applyNumberFormat="1">
      <alignment horizontal="right" readingOrder="0" shrinkToFit="0" vertical="bottom" wrapText="0"/>
    </xf>
    <xf borderId="9" fillId="10" fontId="11" numFmtId="4" xfId="0" applyAlignment="1" applyBorder="1" applyFill="1" applyFont="1" applyNumberFormat="1">
      <alignment shrinkToFit="0" vertical="bottom" wrapText="0"/>
    </xf>
    <xf borderId="9" fillId="10" fontId="11" numFmtId="4" xfId="0" applyAlignment="1" applyBorder="1" applyFont="1" applyNumberFormat="1">
      <alignment horizontal="center" shrinkToFit="0" wrapText="0"/>
    </xf>
    <xf borderId="0" fillId="4" fontId="26" numFmtId="0" xfId="0" applyAlignment="1" applyFont="1">
      <alignment readingOrder="0" shrinkToFit="0" vertical="bottom" wrapText="0"/>
    </xf>
    <xf borderId="0" fillId="4" fontId="26" numFmtId="0" xfId="0" applyAlignment="1" applyFont="1">
      <alignment shrinkToFit="0" vertical="bottom" wrapText="0"/>
    </xf>
    <xf borderId="2" fillId="5" fontId="9" numFmtId="0" xfId="0" applyAlignment="1" applyBorder="1" applyFont="1">
      <alignment horizontal="center" readingOrder="0" shrinkToFit="0" wrapText="0"/>
    </xf>
    <xf borderId="0" fillId="0" fontId="17" numFmtId="0" xfId="0" applyAlignment="1" applyFont="1">
      <alignment horizontal="left" readingOrder="0" shrinkToFit="0" wrapText="0"/>
    </xf>
    <xf borderId="0" fillId="0" fontId="11" numFmtId="0" xfId="0" applyAlignment="1" applyFont="1">
      <alignment horizontal="left" shrinkToFit="0" wrapText="0"/>
    </xf>
    <xf borderId="2" fillId="0" fontId="11" numFmtId="0" xfId="0" applyAlignment="1" applyBorder="1" applyFont="1">
      <alignment shrinkToFit="0" vertical="bottom" wrapText="0"/>
    </xf>
    <xf borderId="2" fillId="0" fontId="11" numFmtId="4" xfId="0" applyAlignment="1" applyBorder="1" applyFont="1" applyNumberFormat="1">
      <alignment shrinkToFit="0" vertical="bottom" wrapText="0"/>
    </xf>
    <xf borderId="2" fillId="10" fontId="11" numFmtId="4" xfId="0" applyAlignment="1" applyBorder="1" applyFont="1" applyNumberFormat="1">
      <alignment shrinkToFit="0" vertical="bottom" wrapText="0"/>
    </xf>
    <xf borderId="2" fillId="10" fontId="11" numFmtId="4" xfId="0" applyAlignment="1" applyBorder="1" applyFont="1" applyNumberFormat="1">
      <alignment horizontal="center" shrinkToFit="0" wrapText="0"/>
    </xf>
    <xf borderId="2" fillId="0" fontId="11" numFmtId="0" xfId="0" applyBorder="1" applyFont="1"/>
    <xf borderId="0" fillId="0" fontId="11" numFmtId="0" xfId="0" applyAlignment="1" applyFont="1">
      <alignment horizontal="right" shrinkToFit="0" wrapText="0"/>
    </xf>
    <xf borderId="0" fillId="0" fontId="11" numFmtId="0" xfId="0" applyAlignment="1" applyFont="1">
      <alignment horizontal="center" shrinkToFit="0" wrapText="0"/>
    </xf>
    <xf borderId="0" fillId="0" fontId="11" numFmtId="4" xfId="0" applyAlignment="1" applyFont="1" applyNumberFormat="1">
      <alignment horizontal="center" shrinkToFit="0" wrapText="0"/>
    </xf>
    <xf borderId="0" fillId="0" fontId="11" numFmtId="0" xfId="0" applyFont="1"/>
    <xf borderId="0" fillId="0" fontId="27" numFmtId="0" xfId="0" applyAlignment="1" applyFont="1">
      <alignment horizontal="center" readingOrder="0" shrinkToFit="0" vertical="bottom" wrapText="0"/>
    </xf>
    <xf borderId="0" fillId="0" fontId="17" numFmtId="0" xfId="0" applyAlignment="1" applyFont="1">
      <alignment horizontal="right" readingOrder="0" shrinkToFit="0" wrapText="0"/>
    </xf>
    <xf borderId="0" fillId="0" fontId="1" numFmtId="0" xfId="0" applyAlignment="1" applyFont="1">
      <alignment readingOrder="0" shrinkToFit="0" vertical="bottom" wrapText="0"/>
    </xf>
    <xf borderId="0" fillId="0" fontId="17" numFmtId="4" xfId="0" applyAlignment="1" applyFont="1" applyNumberFormat="1">
      <alignment horizontal="center" readingOrder="0" shrinkToFit="0" wrapText="0"/>
    </xf>
    <xf borderId="8" fillId="4" fontId="19" numFmtId="4" xfId="0" applyAlignment="1" applyBorder="1" applyFont="1" applyNumberFormat="1">
      <alignment horizontal="center" shrinkToFit="0" wrapText="0"/>
    </xf>
    <xf borderId="8" fillId="0" fontId="19" numFmtId="4" xfId="0" applyAlignment="1" applyBorder="1" applyFont="1" applyNumberFormat="1">
      <alignment horizontal="center" shrinkToFit="0" wrapText="0"/>
    </xf>
    <xf borderId="12" fillId="3" fontId="13" numFmtId="0" xfId="0" applyAlignment="1" applyBorder="1" applyFont="1">
      <alignment horizontal="center" shrinkToFit="0" wrapText="0"/>
    </xf>
    <xf borderId="2" fillId="5" fontId="13" numFmtId="4" xfId="0" applyAlignment="1" applyBorder="1" applyFont="1" applyNumberFormat="1">
      <alignment horizontal="center" readingOrder="0" shrinkToFit="0" wrapText="0"/>
    </xf>
    <xf borderId="0" fillId="3" fontId="28" numFmtId="0" xfId="0" applyAlignment="1" applyFont="1">
      <alignment shrinkToFit="0" wrapText="0"/>
    </xf>
    <xf borderId="0" fillId="3" fontId="29" numFmtId="0" xfId="0" applyAlignment="1" applyFont="1">
      <alignment horizontal="center" shrinkToFit="0" wrapText="0"/>
    </xf>
    <xf borderId="16" fillId="3" fontId="30" numFmtId="0" xfId="0" applyAlignment="1" applyBorder="1" applyFont="1">
      <alignment horizontal="right"/>
    </xf>
    <xf borderId="17" fillId="3" fontId="30" numFmtId="0" xfId="0" applyAlignment="1" applyBorder="1" applyFont="1">
      <alignment horizontal="right"/>
    </xf>
    <xf borderId="0" fillId="0" fontId="31" numFmtId="0" xfId="0" applyAlignment="1" applyFont="1">
      <alignment readingOrder="0"/>
    </xf>
    <xf borderId="0" fillId="0" fontId="31" numFmtId="0" xfId="0" applyAlignment="1" applyFont="1">
      <alignment readingOrder="0"/>
    </xf>
    <xf borderId="0" fillId="0" fontId="31" numFmtId="165" xfId="0" applyAlignment="1" applyFont="1" applyNumberFormat="1">
      <alignment readingOrder="0"/>
    </xf>
    <xf borderId="0" fillId="0" fontId="31" numFmtId="166" xfId="0" applyAlignment="1" applyFont="1" applyNumberFormat="1">
      <alignment readingOrder="0"/>
    </xf>
    <xf borderId="2" fillId="0" fontId="2" numFmtId="167" xfId="0" applyAlignment="1" applyBorder="1" applyFont="1" applyNumberFormat="1">
      <alignment horizontal="center" readingOrder="0" shrinkToFit="0" wrapText="0"/>
    </xf>
    <xf borderId="11" fillId="5" fontId="17" numFmtId="4" xfId="0" applyAlignment="1" applyBorder="1" applyFont="1" applyNumberFormat="1">
      <alignment horizontal="center" readingOrder="0" shrinkToFit="0" vertical="bottom" wrapText="0"/>
    </xf>
    <xf borderId="11" fillId="3" fontId="17" numFmtId="4" xfId="0" applyAlignment="1" applyBorder="1" applyFont="1" applyNumberFormat="1">
      <alignment horizontal="center" readingOrder="0" shrinkToFit="0" vertical="bottom" wrapText="0"/>
    </xf>
    <xf borderId="2" fillId="3" fontId="17" numFmtId="0" xfId="0" applyAlignment="1" applyBorder="1" applyFont="1">
      <alignment readingOrder="0" shrinkToFit="0" vertical="bottom" wrapText="0"/>
    </xf>
    <xf borderId="4" fillId="5" fontId="17" numFmtId="4" xfId="0" applyAlignment="1" applyBorder="1" applyFont="1" applyNumberFormat="1">
      <alignment horizontal="center" readingOrder="0" shrinkToFit="0" wrapText="0"/>
    </xf>
    <xf borderId="2" fillId="4" fontId="17" numFmtId="0" xfId="0" applyAlignment="1" applyBorder="1" applyFont="1">
      <alignment readingOrder="0" shrinkToFit="0" vertical="bottom" wrapText="0"/>
    </xf>
    <xf borderId="9" fillId="11" fontId="18" numFmtId="4" xfId="0" applyAlignment="1" applyBorder="1" applyFill="1" applyFont="1" applyNumberFormat="1">
      <alignment horizontal="center" readingOrder="0" shrinkToFit="0" wrapText="0"/>
    </xf>
    <xf borderId="9" fillId="5" fontId="18" numFmtId="4" xfId="0" applyAlignment="1" applyBorder="1" applyFont="1" applyNumberFormat="1">
      <alignment horizontal="center" readingOrder="0" shrinkToFit="0" wrapText="0"/>
    </xf>
    <xf borderId="9" fillId="3" fontId="18" numFmtId="4" xfId="0" applyAlignment="1" applyBorder="1" applyFont="1" applyNumberFormat="1">
      <alignment horizontal="center" readingOrder="0" shrinkToFit="0" wrapText="0"/>
    </xf>
    <xf borderId="9" fillId="7" fontId="21" numFmtId="4" xfId="0" applyAlignment="1" applyBorder="1" applyFont="1" applyNumberFormat="1">
      <alignment horizontal="right" readingOrder="0" shrinkToFit="0" wrapText="0"/>
    </xf>
    <xf borderId="9" fillId="11" fontId="17" numFmtId="4" xfId="0" applyAlignment="1" applyBorder="1" applyFont="1" applyNumberFormat="1">
      <alignment horizontal="center" readingOrder="0" shrinkToFit="0" wrapText="0"/>
    </xf>
    <xf borderId="9" fillId="5" fontId="17" numFmtId="4" xfId="0" applyAlignment="1" applyBorder="1" applyFont="1" applyNumberFormat="1">
      <alignment horizontal="center" readingOrder="0" shrinkToFit="0" wrapText="0"/>
    </xf>
    <xf borderId="2" fillId="0" fontId="17" numFmtId="4" xfId="0" applyAlignment="1" applyBorder="1" applyFont="1" applyNumberFormat="1">
      <alignment readingOrder="0" shrinkToFit="0" vertical="bottom" wrapText="0"/>
    </xf>
    <xf borderId="9" fillId="12" fontId="17" numFmtId="4" xfId="0" applyAlignment="1" applyBorder="1" applyFill="1" applyFont="1" applyNumberFormat="1">
      <alignment horizontal="center" readingOrder="0" shrinkToFit="0" wrapText="0"/>
    </xf>
    <xf borderId="2" fillId="12" fontId="17" numFmtId="0" xfId="0" applyAlignment="1" applyBorder="1" applyFont="1">
      <alignment readingOrder="0" shrinkToFit="0" vertical="bottom" wrapText="0"/>
    </xf>
    <xf borderId="9" fillId="13" fontId="17" numFmtId="4" xfId="0" applyAlignment="1" applyBorder="1" applyFill="1" applyFont="1" applyNumberFormat="1">
      <alignment horizontal="center" readingOrder="0" shrinkToFit="0" wrapText="0"/>
    </xf>
    <xf borderId="2" fillId="13" fontId="17" numFmtId="0" xfId="0" applyAlignment="1" applyBorder="1" applyFont="1">
      <alignment readingOrder="0" shrinkToFit="0" vertical="bottom" wrapText="0"/>
    </xf>
    <xf borderId="8" fillId="0" fontId="18" numFmtId="4" xfId="0" applyAlignment="1" applyBorder="1" applyFont="1" applyNumberFormat="1">
      <alignment horizontal="center" readingOrder="0" shrinkToFit="0" wrapText="0"/>
    </xf>
    <xf borderId="2" fillId="3" fontId="15" numFmtId="0" xfId="0" applyAlignment="1" applyBorder="1" applyFont="1">
      <alignment horizontal="center" readingOrder="0" shrinkToFit="0" wrapText="0"/>
    </xf>
    <xf borderId="8" fillId="3" fontId="18" numFmtId="4" xfId="0" applyAlignment="1" applyBorder="1" applyFont="1" applyNumberFormat="1">
      <alignment horizontal="center" readingOrder="0" shrinkToFit="0" wrapText="0"/>
    </xf>
    <xf borderId="8" fillId="12" fontId="18" numFmtId="4" xfId="0" applyAlignment="1" applyBorder="1" applyFont="1" applyNumberFormat="1">
      <alignment horizontal="center" readingOrder="0" shrinkToFit="0" wrapText="0"/>
    </xf>
    <xf borderId="9" fillId="3" fontId="17" numFmtId="4" xfId="0" applyAlignment="1" applyBorder="1" applyFont="1" applyNumberFormat="1">
      <alignment horizontal="center" readingOrder="0" shrinkToFit="0" wrapText="0"/>
    </xf>
    <xf borderId="9" fillId="12" fontId="18" numFmtId="4" xfId="0" applyAlignment="1" applyBorder="1" applyFont="1" applyNumberFormat="1">
      <alignment horizontal="center" readingOrder="0" shrinkToFit="0" wrapText="0"/>
    </xf>
    <xf borderId="8" fillId="14" fontId="18" numFmtId="4" xfId="0" applyAlignment="1" applyBorder="1" applyFill="1" applyFont="1" applyNumberFormat="1">
      <alignment horizontal="center" readingOrder="0" shrinkToFit="0" wrapText="0"/>
    </xf>
    <xf borderId="9" fillId="12" fontId="11" numFmtId="4" xfId="0" applyAlignment="1" applyBorder="1" applyFont="1" applyNumberFormat="1">
      <alignment horizontal="center" shrinkToFit="0" wrapText="0"/>
    </xf>
    <xf borderId="8" fillId="11" fontId="17" numFmtId="0" xfId="0" applyAlignment="1" applyBorder="1" applyFont="1">
      <alignment horizontal="left" readingOrder="0" shrinkToFit="0" wrapText="0"/>
    </xf>
    <xf borderId="9" fillId="11" fontId="17" numFmtId="4" xfId="0" applyAlignment="1" applyBorder="1" applyFont="1" applyNumberFormat="1">
      <alignment readingOrder="0" shrinkToFit="0" vertical="bottom" wrapText="0"/>
    </xf>
    <xf borderId="8" fillId="11" fontId="18" numFmtId="4" xfId="0" applyAlignment="1" applyBorder="1" applyFont="1" applyNumberFormat="1">
      <alignment horizontal="center" readingOrder="0" shrinkToFit="0" wrapText="0"/>
    </xf>
    <xf borderId="9" fillId="11" fontId="11" numFmtId="4" xfId="0" applyAlignment="1" applyBorder="1" applyFont="1" applyNumberFormat="1">
      <alignment horizontal="center" shrinkToFit="0" wrapText="0"/>
    </xf>
    <xf borderId="2" fillId="11" fontId="17" numFmtId="0" xfId="0" applyAlignment="1" applyBorder="1" applyFont="1">
      <alignment readingOrder="0" shrinkToFit="0" vertical="bottom" wrapText="0"/>
    </xf>
    <xf borderId="2" fillId="5" fontId="17" numFmtId="0" xfId="0" applyAlignment="1" applyBorder="1" applyFont="1">
      <alignment readingOrder="0" shrinkToFit="0" vertical="bottom" wrapText="0"/>
    </xf>
    <xf borderId="0" fillId="0" fontId="1" numFmtId="168" xfId="0" applyAlignment="1" applyFont="1" applyNumberFormat="1">
      <alignment readingOrder="0" shrinkToFit="0" vertical="bottom" wrapText="0"/>
    </xf>
    <xf borderId="2" fillId="5" fontId="15" numFmtId="0" xfId="0" applyAlignment="1" applyBorder="1" applyFont="1">
      <alignment horizontal="center" readingOrder="0" shrinkToFit="0" wrapText="0"/>
    </xf>
    <xf borderId="11" fillId="12" fontId="17" numFmtId="4" xfId="0" applyAlignment="1" applyBorder="1" applyFont="1" applyNumberFormat="1">
      <alignment horizontal="center" readingOrder="0" shrinkToFit="0" vertical="bottom" wrapText="0"/>
    </xf>
    <xf borderId="4" fillId="5" fontId="18" numFmtId="4" xfId="0" applyAlignment="1" applyBorder="1" applyFont="1" applyNumberFormat="1">
      <alignment horizontal="center" readingOrder="0" shrinkToFit="0" wrapText="0"/>
    </xf>
    <xf borderId="9" fillId="3" fontId="11" numFmtId="4" xfId="0" applyAlignment="1" applyBorder="1" applyFont="1" applyNumberFormat="1">
      <alignment horizontal="center" shrinkToFit="0" wrapText="0"/>
    </xf>
    <xf borderId="8" fillId="5" fontId="18" numFmtId="4" xfId="0" applyAlignment="1" applyBorder="1" applyFont="1" applyNumberFormat="1">
      <alignment horizontal="center" readingOrder="0" shrinkToFit="0" wrapText="0"/>
    </xf>
    <xf borderId="9" fillId="13" fontId="18" numFmtId="4" xfId="0" applyAlignment="1" applyBorder="1" applyFont="1" applyNumberFormat="1">
      <alignment horizontal="center" readingOrder="0" shrinkToFit="0" wrapText="0"/>
    </xf>
    <xf borderId="9" fillId="3" fontId="19" numFmtId="4" xfId="0" applyAlignment="1" applyBorder="1" applyFont="1" applyNumberFormat="1">
      <alignment horizontal="center" shrinkToFit="0" wrapText="0"/>
    </xf>
    <xf borderId="2" fillId="12" fontId="15" numFmtId="0" xfId="0" applyAlignment="1" applyBorder="1" applyFont="1">
      <alignment horizontal="center" readingOrder="0" shrinkToFit="0" wrapText="0"/>
    </xf>
    <xf borderId="0" fillId="0" fontId="11" numFmtId="0" xfId="0" applyAlignment="1" applyFont="1">
      <alignment horizontal="right" readingOrder="0" shrinkToFit="0" wrapText="0"/>
    </xf>
    <xf borderId="2" fillId="3" fontId="9" numFmtId="0" xfId="0" applyAlignment="1" applyBorder="1" applyFont="1">
      <alignment horizontal="center" readingOrder="0" shrinkToFit="0" wrapText="0"/>
    </xf>
    <xf borderId="2" fillId="4" fontId="11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cat>
            <c:strRef>
              <c:f>Summary!$B$1</c:f>
            </c:strRef>
          </c:cat>
          <c:val>
            <c:numRef>
              <c:f>Summary!$B$1</c:f>
              <c:numCache/>
            </c:numRef>
          </c:val>
        </c:ser>
        <c:axId val="1601578573"/>
        <c:axId val="166265090"/>
      </c:barChart>
      <c:catAx>
        <c:axId val="16015785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265090"/>
      </c:catAx>
      <c:valAx>
        <c:axId val="166265090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6015785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</xdr:row>
      <xdr:rowOff>0</xdr:rowOff>
    </xdr:from>
    <xdr:ext cx="5715000" cy="35337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3">
        <v>45870.0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/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28" t="s">
        <v>41</v>
      </c>
      <c r="B1" s="128" t="s">
        <v>42</v>
      </c>
    </row>
    <row r="2">
      <c r="A2" s="128" t="s">
        <v>43</v>
      </c>
      <c r="B2" s="128" t="s">
        <v>44</v>
      </c>
    </row>
    <row r="3">
      <c r="A3" s="128" t="s">
        <v>45</v>
      </c>
      <c r="B3" s="128" t="s">
        <v>46</v>
      </c>
    </row>
    <row r="4">
      <c r="A4" s="128" t="s">
        <v>47</v>
      </c>
      <c r="B4" s="129">
        <v>2025.0</v>
      </c>
    </row>
    <row r="5">
      <c r="A5" s="128" t="s">
        <v>48</v>
      </c>
      <c r="B5" s="128" t="s">
        <v>49</v>
      </c>
    </row>
    <row r="6">
      <c r="A6" s="128" t="s">
        <v>50</v>
      </c>
      <c r="B6" s="128" t="s">
        <v>51</v>
      </c>
    </row>
    <row r="7">
      <c r="A7" s="128" t="s">
        <v>52</v>
      </c>
      <c r="B7" s="128" t="s">
        <v>53</v>
      </c>
    </row>
    <row r="8">
      <c r="A8" s="128" t="s">
        <v>54</v>
      </c>
      <c r="B8" s="128" t="s">
        <v>55</v>
      </c>
    </row>
    <row r="9">
      <c r="A9" s="128" t="s">
        <v>56</v>
      </c>
      <c r="B9" s="128" t="s">
        <v>57</v>
      </c>
    </row>
    <row r="10">
      <c r="A10" s="128" t="s">
        <v>58</v>
      </c>
      <c r="B10" s="130">
        <v>45962.32916666667</v>
      </c>
    </row>
    <row r="11">
      <c r="A11" s="128" t="s">
        <v>59</v>
      </c>
      <c r="B11" s="128" t="s">
        <v>60</v>
      </c>
    </row>
    <row r="12">
      <c r="A12" s="128" t="s">
        <v>61</v>
      </c>
      <c r="B12" s="128" t="s">
        <v>62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28" t="s">
        <v>63</v>
      </c>
      <c r="B1" s="128" t="s">
        <v>42</v>
      </c>
    </row>
    <row r="2">
      <c r="A2" s="128" t="s">
        <v>64</v>
      </c>
      <c r="B2" s="129">
        <v>30.0</v>
      </c>
    </row>
    <row r="3">
      <c r="A3" s="128" t="s">
        <v>48</v>
      </c>
      <c r="B3" s="128" t="s">
        <v>49</v>
      </c>
    </row>
    <row r="4">
      <c r="A4" s="128" t="s">
        <v>50</v>
      </c>
      <c r="B4" s="128" t="s">
        <v>51</v>
      </c>
    </row>
    <row r="5">
      <c r="A5" s="128" t="s">
        <v>52</v>
      </c>
      <c r="B5" s="128" t="s">
        <v>53</v>
      </c>
    </row>
    <row r="6">
      <c r="A6" s="128" t="s">
        <v>65</v>
      </c>
      <c r="B6" s="131">
        <v>45962.329201388886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32">
        <v>45962.0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44565.0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4836.0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21686.0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33758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13292</v>
      </c>
      <c r="D10" s="24"/>
      <c r="E10" s="43">
        <v>1.0</v>
      </c>
      <c r="F10" s="44">
        <v>788.0</v>
      </c>
      <c r="G10" s="45"/>
      <c r="H10" s="133">
        <v>788.0</v>
      </c>
      <c r="I10" s="134"/>
      <c r="J10" s="135">
        <v>8655.0</v>
      </c>
      <c r="K10" s="24"/>
      <c r="L10" s="47">
        <v>2122.0</v>
      </c>
      <c r="M10" s="47"/>
      <c r="N10" s="48">
        <v>8561.0</v>
      </c>
      <c r="O10" s="49"/>
      <c r="P10" s="85" t="s">
        <v>66</v>
      </c>
      <c r="Q10" s="51"/>
      <c r="R10" s="52">
        <v>150.0</v>
      </c>
      <c r="S10" s="53"/>
      <c r="T10" s="54"/>
      <c r="U10" s="55"/>
      <c r="V10" s="24"/>
      <c r="W10" s="47">
        <v>307.0</v>
      </c>
      <c r="X10" s="47"/>
      <c r="Y10" s="47">
        <v>122.0</v>
      </c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17381</v>
      </c>
      <c r="D11" s="24"/>
      <c r="E11" s="43">
        <v>2.0</v>
      </c>
      <c r="F11" s="56">
        <v>652.0</v>
      </c>
      <c r="G11" s="57"/>
      <c r="H11" s="136">
        <v>652.0</v>
      </c>
      <c r="I11" s="59"/>
      <c r="J11" s="137">
        <v>8656.0</v>
      </c>
      <c r="K11" s="24"/>
      <c r="L11" s="48"/>
      <c r="M11" s="48"/>
      <c r="N11" s="48"/>
      <c r="O11" s="49"/>
      <c r="P11" s="72" t="s">
        <v>67</v>
      </c>
      <c r="Q11" s="51"/>
      <c r="R11" s="52">
        <v>40.0</v>
      </c>
      <c r="S11" s="53"/>
      <c r="T11" s="61"/>
      <c r="U11" s="62"/>
      <c r="V11" s="24"/>
      <c r="W11" s="47">
        <v>24.0</v>
      </c>
      <c r="X11" s="47"/>
      <c r="Y11" s="47">
        <v>124.0</v>
      </c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3125</v>
      </c>
      <c r="D12" s="24"/>
      <c r="E12" s="43">
        <v>3.0</v>
      </c>
      <c r="F12" s="63">
        <v>94.0</v>
      </c>
      <c r="G12" s="138">
        <v>94.0</v>
      </c>
      <c r="H12" s="64"/>
      <c r="I12" s="64"/>
      <c r="J12" s="137">
        <v>8657.0</v>
      </c>
      <c r="K12" s="24"/>
      <c r="L12" s="48"/>
      <c r="M12" s="48"/>
      <c r="N12" s="48"/>
      <c r="O12" s="49"/>
      <c r="P12" s="72" t="s">
        <v>68</v>
      </c>
      <c r="Q12" s="51"/>
      <c r="R12" s="52">
        <v>40.0</v>
      </c>
      <c r="S12" s="52"/>
      <c r="T12" s="61"/>
      <c r="U12" s="62"/>
      <c r="V12" s="24"/>
      <c r="W12" s="47">
        <v>158.0</v>
      </c>
      <c r="X12" s="48"/>
      <c r="Y12" s="47">
        <v>123.0</v>
      </c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2122</v>
      </c>
      <c r="D13" s="24"/>
      <c r="E13" s="43">
        <v>4.0</v>
      </c>
      <c r="F13" s="56">
        <v>919.0</v>
      </c>
      <c r="G13" s="64"/>
      <c r="H13" s="139">
        <v>919.0</v>
      </c>
      <c r="I13" s="65"/>
      <c r="J13" s="137">
        <v>8658.0</v>
      </c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>
        <v>993.0</v>
      </c>
      <c r="G14" s="138">
        <v>993.0</v>
      </c>
      <c r="H14" s="65"/>
      <c r="I14" s="65"/>
      <c r="J14" s="137">
        <v>8659.0</v>
      </c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489</v>
      </c>
      <c r="D15" s="24"/>
      <c r="E15" s="43">
        <v>6.0</v>
      </c>
      <c r="F15" s="56">
        <v>487.0</v>
      </c>
      <c r="G15" s="138">
        <v>487.0</v>
      </c>
      <c r="H15" s="64"/>
      <c r="I15" s="65"/>
      <c r="J15" s="137">
        <v>8660.0</v>
      </c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230</v>
      </c>
      <c r="D16" s="24"/>
      <c r="E16" s="43">
        <v>7.0</v>
      </c>
      <c r="F16" s="56">
        <v>460.0</v>
      </c>
      <c r="G16" s="138">
        <v>460.0</v>
      </c>
      <c r="H16" s="64"/>
      <c r="I16" s="65"/>
      <c r="J16" s="137">
        <v>8661.0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230</v>
      </c>
      <c r="D17" s="24"/>
      <c r="E17" s="43">
        <v>8.0</v>
      </c>
      <c r="F17" s="56">
        <v>165.0</v>
      </c>
      <c r="G17" s="138">
        <v>165.0</v>
      </c>
      <c r="H17" s="64"/>
      <c r="I17" s="65"/>
      <c r="J17" s="137">
        <v>8662.0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143.0</v>
      </c>
      <c r="G18" s="138">
        <v>143.0</v>
      </c>
      <c r="H18" s="64"/>
      <c r="I18" s="65"/>
      <c r="J18" s="137">
        <v>8663.0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407.0</v>
      </c>
      <c r="G19" s="138">
        <v>400.0</v>
      </c>
      <c r="H19" s="139">
        <v>7.0</v>
      </c>
      <c r="I19" s="65"/>
      <c r="J19" s="137">
        <v>8664.0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22689</v>
      </c>
      <c r="D20" s="24"/>
      <c r="E20" s="43">
        <v>11.0</v>
      </c>
      <c r="F20" s="56">
        <v>734.0</v>
      </c>
      <c r="G20" s="64"/>
      <c r="H20" s="139">
        <v>734.0</v>
      </c>
      <c r="I20" s="140"/>
      <c r="J20" s="135">
        <v>8665.0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17381</v>
      </c>
      <c r="D21" s="24"/>
      <c r="E21" s="43">
        <v>12.0</v>
      </c>
      <c r="F21" s="56">
        <v>62.0</v>
      </c>
      <c r="G21" s="138">
        <v>62.0</v>
      </c>
      <c r="H21" s="64"/>
      <c r="I21" s="65"/>
      <c r="J21" s="137">
        <v>8666.0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20249</v>
      </c>
      <c r="D22" s="24"/>
      <c r="E22" s="43">
        <v>13.0</v>
      </c>
      <c r="F22" s="56">
        <v>480.0</v>
      </c>
      <c r="G22" s="64"/>
      <c r="H22" s="139">
        <v>480.0</v>
      </c>
      <c r="I22" s="65"/>
      <c r="J22" s="137">
        <v>8667.0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41">
        <v>20217.0</v>
      </c>
      <c r="D23" s="24"/>
      <c r="E23" s="43">
        <v>14.0</v>
      </c>
      <c r="F23" s="56">
        <v>186.0</v>
      </c>
      <c r="G23" s="138">
        <v>186.0</v>
      </c>
      <c r="H23" s="65"/>
      <c r="I23" s="65"/>
      <c r="J23" s="137">
        <v>8668.0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32</v>
      </c>
      <c r="D24" s="24"/>
      <c r="E24" s="43">
        <v>15.0</v>
      </c>
      <c r="F24" s="56">
        <v>161.0</v>
      </c>
      <c r="G24" s="138">
        <v>161.0</v>
      </c>
      <c r="H24" s="65"/>
      <c r="I24" s="65"/>
      <c r="J24" s="137">
        <v>8669.0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145.0</v>
      </c>
      <c r="G25" s="138">
        <v>145.0</v>
      </c>
      <c r="H25" s="65"/>
      <c r="I25" s="65"/>
      <c r="J25" s="137">
        <v>8670.0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34247</v>
      </c>
      <c r="D26" s="24"/>
      <c r="E26" s="43">
        <v>17.0</v>
      </c>
      <c r="F26" s="56">
        <v>249.0</v>
      </c>
      <c r="G26" s="64"/>
      <c r="H26" s="139">
        <v>249.0</v>
      </c>
      <c r="I26" s="65"/>
      <c r="J26" s="137">
        <v>8671.0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82.0</v>
      </c>
      <c r="D27" s="24"/>
      <c r="E27" s="43">
        <v>18.0</v>
      </c>
      <c r="F27" s="56">
        <v>650.0</v>
      </c>
      <c r="G27" s="138">
        <v>650.0</v>
      </c>
      <c r="H27" s="65"/>
      <c r="I27" s="65"/>
      <c r="J27" s="137">
        <v>8672.0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417.6463415</v>
      </c>
      <c r="D28" s="24"/>
      <c r="E28" s="43">
        <v>19.0</v>
      </c>
      <c r="F28" s="56">
        <v>513.0</v>
      </c>
      <c r="G28" s="138">
        <v>513.0</v>
      </c>
      <c r="H28" s="65"/>
      <c r="I28" s="65"/>
      <c r="J28" s="137">
        <v>8673.0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230.0</v>
      </c>
      <c r="G29" s="138">
        <v>230.0</v>
      </c>
      <c r="H29" s="65"/>
      <c r="I29" s="65"/>
      <c r="J29" s="137">
        <v>8674.0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>
        <f>R32</f>
        <v>36000</v>
      </c>
      <c r="D30" s="24"/>
      <c r="E30" s="43">
        <v>21.0</v>
      </c>
      <c r="F30" s="56">
        <v>132.0</v>
      </c>
      <c r="G30" s="142">
        <v>132.0</v>
      </c>
      <c r="H30" s="92"/>
      <c r="I30" s="93"/>
      <c r="J30" s="137">
        <v>8675.0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>
        <f>S33</f>
        <v>4836</v>
      </c>
      <c r="D31" s="24"/>
      <c r="E31" s="43">
        <v>22.0</v>
      </c>
      <c r="F31" s="56">
        <v>249.0</v>
      </c>
      <c r="G31" s="142">
        <v>249.0</v>
      </c>
      <c r="H31" s="92"/>
      <c r="I31" s="92"/>
      <c r="J31" s="137">
        <v>8676.0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230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>
        <f>R34</f>
        <v>3500</v>
      </c>
      <c r="D32" s="24"/>
      <c r="E32" s="43">
        <v>23.0</v>
      </c>
      <c r="F32" s="56">
        <v>93.0</v>
      </c>
      <c r="G32" s="93"/>
      <c r="H32" s="143">
        <v>93.0</v>
      </c>
      <c r="I32" s="93"/>
      <c r="J32" s="137">
        <v>8677.0</v>
      </c>
      <c r="K32" s="24"/>
      <c r="L32" s="48"/>
      <c r="M32" s="48"/>
      <c r="N32" s="48"/>
      <c r="O32" s="98"/>
      <c r="P32" s="90" t="s">
        <v>37</v>
      </c>
      <c r="Q32" s="51"/>
      <c r="R32" s="99">
        <v>36000.0</v>
      </c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492.0</v>
      </c>
      <c r="G33" s="93"/>
      <c r="H33" s="143">
        <v>492.0</v>
      </c>
      <c r="I33" s="92"/>
      <c r="J33" s="137">
        <v>8678.0</v>
      </c>
      <c r="K33" s="24"/>
      <c r="L33" s="104">
        <f t="shared" ref="L33:M33" si="2">sum(L10:L32)</f>
        <v>2122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>
        <v>4836.0</v>
      </c>
      <c r="T33" s="101"/>
      <c r="U33" s="55"/>
      <c r="V33" s="24"/>
      <c r="W33" s="104">
        <f t="shared" ref="W33:X33" si="3">sum(W10:W32)</f>
        <v>489</v>
      </c>
      <c r="X33" s="104">
        <f t="shared" si="3"/>
        <v>0</v>
      </c>
      <c r="Y33" s="104">
        <f>W33+X33</f>
        <v>489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683.0</v>
      </c>
      <c r="G34" s="93"/>
      <c r="H34" s="143">
        <v>683.0</v>
      </c>
      <c r="I34" s="92"/>
      <c r="J34" s="137">
        <v>8679.0</v>
      </c>
      <c r="K34" s="24"/>
      <c r="L34" s="106"/>
      <c r="M34" s="106"/>
      <c r="N34" s="106"/>
      <c r="O34" s="106"/>
      <c r="P34" s="85" t="s">
        <v>40</v>
      </c>
      <c r="Q34" s="107"/>
      <c r="R34" s="144">
        <v>3500.0</v>
      </c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814.0</v>
      </c>
      <c r="G35" s="92"/>
      <c r="H35" s="145">
        <v>814.0</v>
      </c>
      <c r="I35" s="92"/>
      <c r="J35" s="146" t="s">
        <v>69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529.0</v>
      </c>
      <c r="G36" s="93"/>
      <c r="H36" s="93"/>
      <c r="I36" s="147">
        <v>529.0</v>
      </c>
      <c r="J36" s="148" t="s">
        <v>70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56.0</v>
      </c>
      <c r="G37" s="93"/>
      <c r="H37" s="143">
        <v>56.0</v>
      </c>
      <c r="I37" s="92"/>
      <c r="J37" s="137">
        <v>8682.0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1189.0</v>
      </c>
      <c r="G38" s="142">
        <v>1189.0</v>
      </c>
      <c r="H38" s="92"/>
      <c r="I38" s="92"/>
      <c r="J38" s="137">
        <v>8683.0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12.0</v>
      </c>
      <c r="G39" s="142">
        <v>12.0</v>
      </c>
      <c r="H39" s="93"/>
      <c r="I39" s="92"/>
      <c r="J39" s="137">
        <v>8684.0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99.0</v>
      </c>
      <c r="G40" s="92"/>
      <c r="H40" s="143">
        <v>99.0</v>
      </c>
      <c r="I40" s="92"/>
      <c r="J40" s="137">
        <v>8685.0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1243.0</v>
      </c>
      <c r="G41" s="92"/>
      <c r="H41" s="143">
        <v>1243.0</v>
      </c>
      <c r="I41" s="92"/>
      <c r="J41" s="137">
        <v>8686.0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50.0</v>
      </c>
      <c r="G42" s="93"/>
      <c r="H42" s="143">
        <v>50.0</v>
      </c>
      <c r="I42" s="92"/>
      <c r="J42" s="137">
        <v>8687.0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116.0</v>
      </c>
      <c r="G43" s="93"/>
      <c r="H43" s="143">
        <v>116.0</v>
      </c>
      <c r="I43" s="92"/>
      <c r="J43" s="137">
        <v>8688.0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11.0</v>
      </c>
      <c r="G44" s="142">
        <v>11.0</v>
      </c>
      <c r="H44" s="93"/>
      <c r="I44" s="92"/>
      <c r="J44" s="137">
        <v>8689.0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484.0</v>
      </c>
      <c r="G45" s="93"/>
      <c r="H45" s="143">
        <v>484.0</v>
      </c>
      <c r="I45" s="92"/>
      <c r="J45" s="137">
        <v>8690.0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111.0</v>
      </c>
      <c r="G46" s="93"/>
      <c r="H46" s="143">
        <v>111.0</v>
      </c>
      <c r="I46" s="92"/>
      <c r="J46" s="137">
        <v>8691.0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251.0</v>
      </c>
      <c r="G47" s="92"/>
      <c r="H47" s="143">
        <v>251.0</v>
      </c>
      <c r="I47" s="92"/>
      <c r="J47" s="137">
        <v>8692.0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111.0</v>
      </c>
      <c r="G48" s="92"/>
      <c r="H48" s="143">
        <v>111.0</v>
      </c>
      <c r="I48" s="92"/>
      <c r="J48" s="137">
        <v>8693.0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20.0</v>
      </c>
      <c r="G49" s="142">
        <v>20.0</v>
      </c>
      <c r="H49" s="92"/>
      <c r="I49" s="92"/>
      <c r="J49" s="137">
        <v>8694.0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22.0</v>
      </c>
      <c r="G50" s="142">
        <v>22.0</v>
      </c>
      <c r="H50" s="93"/>
      <c r="I50" s="92"/>
      <c r="J50" s="137">
        <v>8695.0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408.0</v>
      </c>
      <c r="G51" s="92"/>
      <c r="H51" s="143">
        <v>408.0</v>
      </c>
      <c r="I51" s="92"/>
      <c r="J51" s="137">
        <v>8696.0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109.0</v>
      </c>
      <c r="G52" s="142">
        <v>109.0</v>
      </c>
      <c r="H52" s="92"/>
      <c r="I52" s="92"/>
      <c r="J52" s="137">
        <v>8697.0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936.0</v>
      </c>
      <c r="G53" s="142">
        <v>936.0</v>
      </c>
      <c r="H53" s="92"/>
      <c r="I53" s="92"/>
      <c r="J53" s="137">
        <v>8698.0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253.0</v>
      </c>
      <c r="G54" s="92"/>
      <c r="H54" s="143">
        <v>253.0</v>
      </c>
      <c r="I54" s="92"/>
      <c r="J54" s="137">
        <v>8699.0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377.0</v>
      </c>
      <c r="G55" s="92"/>
      <c r="H55" s="143">
        <v>377.0</v>
      </c>
      <c r="I55" s="92"/>
      <c r="J55" s="137">
        <v>8700.0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29.0</v>
      </c>
      <c r="G56" s="92"/>
      <c r="H56" s="143">
        <v>29.0</v>
      </c>
      <c r="I56" s="92"/>
      <c r="J56" s="137">
        <v>8701.0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250.0</v>
      </c>
      <c r="G57" s="142">
        <v>250.0</v>
      </c>
      <c r="H57" s="92"/>
      <c r="I57" s="92"/>
      <c r="J57" s="137">
        <v>8702.0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369.0</v>
      </c>
      <c r="G58" s="142">
        <v>369.0</v>
      </c>
      <c r="H58" s="92"/>
      <c r="I58" s="92"/>
      <c r="J58" s="137">
        <v>8703.0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367.0</v>
      </c>
      <c r="G59" s="92"/>
      <c r="H59" s="92"/>
      <c r="I59" s="147">
        <v>367.0</v>
      </c>
      <c r="J59" s="148" t="s">
        <v>71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502.0</v>
      </c>
      <c r="G60" s="142">
        <v>502.0</v>
      </c>
      <c r="H60" s="92"/>
      <c r="I60" s="92"/>
      <c r="J60" s="135">
        <v>8705.0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70.0</v>
      </c>
      <c r="G61" s="142">
        <v>70.0</v>
      </c>
      <c r="H61" s="92"/>
      <c r="I61" s="92"/>
      <c r="J61" s="137">
        <v>8706.0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1100.0</v>
      </c>
      <c r="G62" s="92"/>
      <c r="H62" s="143">
        <v>1100.0</v>
      </c>
      <c r="I62" s="92"/>
      <c r="J62" s="137">
        <v>8707.0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137.0</v>
      </c>
      <c r="G63" s="92"/>
      <c r="H63" s="143">
        <v>137.0</v>
      </c>
      <c r="I63" s="92"/>
      <c r="J63" s="137">
        <v>8708.0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75.0</v>
      </c>
      <c r="G64" s="142">
        <v>75.0</v>
      </c>
      <c r="H64" s="92"/>
      <c r="I64" s="92"/>
      <c r="J64" s="137">
        <v>8709.0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220.0</v>
      </c>
      <c r="G65" s="142">
        <v>220.0</v>
      </c>
      <c r="H65" s="92"/>
      <c r="I65" s="92"/>
      <c r="J65" s="137">
        <v>8710.0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974.0</v>
      </c>
      <c r="G66" s="142">
        <v>974.0</v>
      </c>
      <c r="H66" s="92"/>
      <c r="I66" s="92"/>
      <c r="J66" s="137">
        <v>8711.0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452.0</v>
      </c>
      <c r="G67" s="142">
        <v>452.0</v>
      </c>
      <c r="H67" s="92"/>
      <c r="I67" s="92"/>
      <c r="J67" s="137">
        <v>8712.0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1020.0</v>
      </c>
      <c r="G68" s="92"/>
      <c r="H68" s="143">
        <v>1020.0</v>
      </c>
      <c r="I68" s="92"/>
      <c r="J68" s="137">
        <v>8713.0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273.0</v>
      </c>
      <c r="G69" s="92"/>
      <c r="H69" s="143">
        <v>273.0</v>
      </c>
      <c r="I69" s="92"/>
      <c r="J69" s="137">
        <v>8714.0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1392.0</v>
      </c>
      <c r="G70" s="92"/>
      <c r="H70" s="143">
        <v>1392.0</v>
      </c>
      <c r="I70" s="92"/>
      <c r="J70" s="137">
        <v>8715.0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56">
        <v>272.0</v>
      </c>
      <c r="G71" s="92"/>
      <c r="H71" s="143">
        <v>272.0</v>
      </c>
      <c r="I71" s="92"/>
      <c r="J71" s="137">
        <v>8716.0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56">
        <v>215.0</v>
      </c>
      <c r="G72" s="92"/>
      <c r="H72" s="143">
        <v>215.0</v>
      </c>
      <c r="I72" s="92"/>
      <c r="J72" s="137">
        <v>8717.0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56">
        <v>237.0</v>
      </c>
      <c r="G73" s="142">
        <v>237.0</v>
      </c>
      <c r="H73" s="92"/>
      <c r="I73" s="92"/>
      <c r="J73" s="137">
        <v>8718.0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56">
        <v>1828.0</v>
      </c>
      <c r="G74" s="93"/>
      <c r="H74" s="92"/>
      <c r="I74" s="147">
        <v>1828.0</v>
      </c>
      <c r="J74" s="148" t="s">
        <v>72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56">
        <v>400.0</v>
      </c>
      <c r="G75" s="92"/>
      <c r="H75" s="143">
        <v>400.0</v>
      </c>
      <c r="I75" s="92"/>
      <c r="J75" s="137">
        <v>8720.0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56">
        <v>281.0</v>
      </c>
      <c r="G76" s="92"/>
      <c r="H76" s="143">
        <v>281.0</v>
      </c>
      <c r="I76" s="92"/>
      <c r="J76" s="137">
        <v>8721.0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56">
        <v>994.0</v>
      </c>
      <c r="G77" s="142">
        <v>994.0</v>
      </c>
      <c r="H77" s="92"/>
      <c r="I77" s="92"/>
      <c r="J77" s="137">
        <v>8722.0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56">
        <v>278.0</v>
      </c>
      <c r="G78" s="142">
        <v>278.0</v>
      </c>
      <c r="H78" s="92"/>
      <c r="I78" s="92"/>
      <c r="J78" s="137">
        <v>8723.0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56">
        <v>635.0</v>
      </c>
      <c r="G79" s="142">
        <v>635.0</v>
      </c>
      <c r="H79" s="92"/>
      <c r="I79" s="92"/>
      <c r="J79" s="137">
        <v>8724.0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56">
        <v>1869.0</v>
      </c>
      <c r="G80" s="92"/>
      <c r="H80" s="143">
        <v>1869.0</v>
      </c>
      <c r="I80" s="92"/>
      <c r="J80" s="137">
        <v>8725.0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56">
        <v>321.0</v>
      </c>
      <c r="G81" s="92"/>
      <c r="H81" s="143">
        <v>321.0</v>
      </c>
      <c r="I81" s="92"/>
      <c r="J81" s="137">
        <v>8726.0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49">
        <v>587.0</v>
      </c>
      <c r="G82" s="142">
        <v>587.0</v>
      </c>
      <c r="H82" s="61"/>
      <c r="I82" s="61"/>
      <c r="J82" s="137">
        <v>8727.0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49">
        <v>103.0</v>
      </c>
      <c r="G83" s="142">
        <v>103.0</v>
      </c>
      <c r="H83" s="61"/>
      <c r="I83" s="61"/>
      <c r="J83" s="137">
        <v>8728.0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49">
        <v>23.0</v>
      </c>
      <c r="G84" s="54"/>
      <c r="H84" s="61"/>
      <c r="I84" s="147">
        <v>23.0</v>
      </c>
      <c r="J84" s="148" t="s">
        <v>73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49">
        <v>266.0</v>
      </c>
      <c r="G85" s="142">
        <v>266.0</v>
      </c>
      <c r="H85" s="61"/>
      <c r="I85" s="61"/>
      <c r="J85" s="137">
        <v>8730.0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49">
        <v>90.0</v>
      </c>
      <c r="G86" s="61"/>
      <c r="H86" s="54">
        <v>90.0</v>
      </c>
      <c r="I86" s="61"/>
      <c r="J86" s="137">
        <v>8731.0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49">
        <v>110.0</v>
      </c>
      <c r="G87" s="61"/>
      <c r="H87" s="54">
        <v>110.0</v>
      </c>
      <c r="I87" s="61"/>
      <c r="J87" s="137">
        <v>8732.0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49">
        <v>378.0</v>
      </c>
      <c r="G88" s="61"/>
      <c r="H88" s="61"/>
      <c r="I88" s="147">
        <v>378.0</v>
      </c>
      <c r="J88" s="148" t="s">
        <v>74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49">
        <v>150.0</v>
      </c>
      <c r="G89" s="61"/>
      <c r="H89" s="54">
        <v>150.0</v>
      </c>
      <c r="I89" s="61"/>
      <c r="J89" s="137">
        <v>8734.0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49">
        <v>212.0</v>
      </c>
      <c r="G90" s="61"/>
      <c r="H90" s="54">
        <v>212.0</v>
      </c>
      <c r="I90" s="61"/>
      <c r="J90" s="137">
        <v>8735.0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49">
        <v>400.0</v>
      </c>
      <c r="G91" s="142">
        <v>400.0</v>
      </c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49"/>
      <c r="G92" s="54"/>
      <c r="H92" s="54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54">
        <v>40.0</v>
      </c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54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34247</v>
      </c>
      <c r="G97" s="123">
        <f t="shared" si="4"/>
        <v>13781</v>
      </c>
      <c r="H97" s="123">
        <f t="shared" si="4"/>
        <v>17381</v>
      </c>
      <c r="I97" s="123">
        <f t="shared" si="4"/>
        <v>3125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3.29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32">
        <v>45964.0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30247.0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15347.0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25007.0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33542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17837</v>
      </c>
      <c r="D10" s="24"/>
      <c r="E10" s="43">
        <v>1.0</v>
      </c>
      <c r="F10" s="44">
        <v>70.0</v>
      </c>
      <c r="G10" s="45">
        <v>70.0</v>
      </c>
      <c r="H10" s="45"/>
      <c r="I10" s="45"/>
      <c r="J10" s="137">
        <v>8810.0</v>
      </c>
      <c r="K10" s="24"/>
      <c r="L10" s="47">
        <v>1103.0</v>
      </c>
      <c r="M10" s="47"/>
      <c r="N10" s="48">
        <v>8790.0</v>
      </c>
      <c r="O10" s="49"/>
      <c r="P10" s="85"/>
      <c r="Q10" s="51"/>
      <c r="R10" s="52"/>
      <c r="S10" s="53"/>
      <c r="T10" s="54"/>
      <c r="U10" s="55"/>
      <c r="V10" s="24"/>
      <c r="W10" s="47">
        <v>271.0</v>
      </c>
      <c r="X10" s="47"/>
      <c r="Y10" s="47">
        <v>126.0</v>
      </c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9356</v>
      </c>
      <c r="D11" s="24"/>
      <c r="E11" s="43">
        <v>2.0</v>
      </c>
      <c r="F11" s="56">
        <v>342.0</v>
      </c>
      <c r="G11" s="57">
        <v>342.0</v>
      </c>
      <c r="H11" s="58"/>
      <c r="I11" s="59"/>
      <c r="J11" s="137">
        <v>8811.0</v>
      </c>
      <c r="K11" s="24"/>
      <c r="L11" s="48"/>
      <c r="M11" s="150">
        <v>1470.0</v>
      </c>
      <c r="N11" s="48">
        <v>8773.0</v>
      </c>
      <c r="O11" s="49"/>
      <c r="P11" s="72" t="s">
        <v>75</v>
      </c>
      <c r="Q11" s="51"/>
      <c r="R11" s="52">
        <v>900.0</v>
      </c>
      <c r="S11" s="53"/>
      <c r="T11" s="61"/>
      <c r="U11" s="62"/>
      <c r="V11" s="24"/>
      <c r="W11" s="47">
        <v>132.0</v>
      </c>
      <c r="X11" s="47"/>
      <c r="Y11" s="47">
        <v>6.0</v>
      </c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6371</v>
      </c>
      <c r="D12" s="24"/>
      <c r="E12" s="43">
        <v>3.0</v>
      </c>
      <c r="F12" s="63">
        <v>127.0</v>
      </c>
      <c r="G12" s="64"/>
      <c r="H12" s="139">
        <v>127.0</v>
      </c>
      <c r="I12" s="65"/>
      <c r="J12" s="137">
        <v>8812.0</v>
      </c>
      <c r="K12" s="24"/>
      <c r="L12" s="48"/>
      <c r="M12" s="150">
        <v>1678.0</v>
      </c>
      <c r="N12" s="48">
        <v>8794.0</v>
      </c>
      <c r="O12" s="49"/>
      <c r="P12" s="72" t="s">
        <v>76</v>
      </c>
      <c r="Q12" s="51"/>
      <c r="R12" s="52">
        <v>200.0</v>
      </c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1103</v>
      </c>
      <c r="D13" s="24"/>
      <c r="E13" s="43">
        <v>4.0</v>
      </c>
      <c r="F13" s="56">
        <v>466.0</v>
      </c>
      <c r="G13" s="64">
        <v>20.0</v>
      </c>
      <c r="H13" s="139">
        <v>446.0</v>
      </c>
      <c r="I13" s="65"/>
      <c r="J13" s="137">
        <v>8813.0</v>
      </c>
      <c r="K13" s="24"/>
      <c r="L13" s="48"/>
      <c r="M13" s="47">
        <v>857.0</v>
      </c>
      <c r="N13" s="47" t="s">
        <v>77</v>
      </c>
      <c r="O13" s="49"/>
      <c r="P13" s="72" t="s">
        <v>78</v>
      </c>
      <c r="Q13" s="51"/>
      <c r="R13" s="52">
        <v>700.0</v>
      </c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4005</v>
      </c>
      <c r="D14" s="24"/>
      <c r="E14" s="43">
        <v>5.0</v>
      </c>
      <c r="F14" s="56">
        <v>204.0</v>
      </c>
      <c r="G14" s="64">
        <v>200.0</v>
      </c>
      <c r="H14" s="139">
        <v>4.0</v>
      </c>
      <c r="I14" s="65"/>
      <c r="J14" s="137">
        <v>8814.0</v>
      </c>
      <c r="K14" s="24"/>
      <c r="L14" s="48"/>
      <c r="M14" s="48"/>
      <c r="N14" s="48"/>
      <c r="O14" s="49"/>
      <c r="P14" s="72" t="s">
        <v>79</v>
      </c>
      <c r="Q14" s="51"/>
      <c r="R14" s="52">
        <v>300.0</v>
      </c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403</v>
      </c>
      <c r="D15" s="24"/>
      <c r="E15" s="43">
        <v>6.0</v>
      </c>
      <c r="F15" s="56">
        <v>1122.0</v>
      </c>
      <c r="G15" s="64">
        <v>1122.0</v>
      </c>
      <c r="H15" s="64"/>
      <c r="I15" s="140"/>
      <c r="J15" s="137">
        <v>8815.0</v>
      </c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2100</v>
      </c>
      <c r="D16" s="24"/>
      <c r="E16" s="43">
        <v>7.0</v>
      </c>
      <c r="F16" s="56">
        <v>122.0</v>
      </c>
      <c r="G16" s="64">
        <v>122.0</v>
      </c>
      <c r="H16" s="64"/>
      <c r="I16" s="65"/>
      <c r="J16" s="137">
        <v>8816.0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2100</v>
      </c>
      <c r="D17" s="24"/>
      <c r="E17" s="43">
        <v>8.0</v>
      </c>
      <c r="F17" s="56">
        <v>2419.0</v>
      </c>
      <c r="G17" s="64">
        <v>2419.0</v>
      </c>
      <c r="H17" s="64"/>
      <c r="I17" s="65"/>
      <c r="J17" s="137">
        <v>8817.0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249.0</v>
      </c>
      <c r="G18" s="64">
        <v>249.0</v>
      </c>
      <c r="H18" s="64"/>
      <c r="I18" s="65"/>
      <c r="J18" s="137">
        <v>8818.0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2973.0</v>
      </c>
      <c r="G19" s="64">
        <v>2973.0</v>
      </c>
      <c r="H19" s="65"/>
      <c r="I19" s="65"/>
      <c r="J19" s="137">
        <v>8819.0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26270</v>
      </c>
      <c r="D20" s="24"/>
      <c r="E20" s="43">
        <v>11.0</v>
      </c>
      <c r="F20" s="56">
        <v>133.0</v>
      </c>
      <c r="G20" s="64">
        <v>133.0</v>
      </c>
      <c r="H20" s="64"/>
      <c r="I20" s="65"/>
      <c r="J20" s="137">
        <v>8820.0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13361</v>
      </c>
      <c r="D21" s="24"/>
      <c r="E21" s="43">
        <v>12.0</v>
      </c>
      <c r="F21" s="56">
        <v>281.0</v>
      </c>
      <c r="G21" s="64">
        <v>281.0</v>
      </c>
      <c r="H21" s="64"/>
      <c r="I21" s="65"/>
      <c r="J21" s="137">
        <v>8821.0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43587</v>
      </c>
      <c r="D22" s="24"/>
      <c r="E22" s="43">
        <v>13.0</v>
      </c>
      <c r="F22" s="56">
        <v>498.0</v>
      </c>
      <c r="G22" s="64">
        <v>498.0</v>
      </c>
      <c r="H22" s="64"/>
      <c r="I22" s="65"/>
      <c r="J22" s="137">
        <v>8822.0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41">
        <v>38502.0</v>
      </c>
      <c r="D23" s="24"/>
      <c r="E23" s="43">
        <v>14.0</v>
      </c>
      <c r="F23" s="56">
        <v>402.0</v>
      </c>
      <c r="G23" s="65"/>
      <c r="H23" s="139">
        <v>402.0</v>
      </c>
      <c r="I23" s="65"/>
      <c r="J23" s="137">
        <v>8823.0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5085</v>
      </c>
      <c r="D24" s="24"/>
      <c r="E24" s="43">
        <v>15.0</v>
      </c>
      <c r="F24" s="56">
        <v>36.0</v>
      </c>
      <c r="G24" s="64">
        <v>36.0</v>
      </c>
      <c r="H24" s="65"/>
      <c r="I24" s="65"/>
      <c r="J24" s="137">
        <v>8824.0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135.0</v>
      </c>
      <c r="G25" s="64">
        <v>135.0</v>
      </c>
      <c r="H25" s="65"/>
      <c r="I25" s="65"/>
      <c r="J25" s="137">
        <v>8825.0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33945</v>
      </c>
      <c r="D26" s="24"/>
      <c r="E26" s="43">
        <v>17.0</v>
      </c>
      <c r="F26" s="56">
        <v>1570.0</v>
      </c>
      <c r="G26" s="64"/>
      <c r="H26" s="65"/>
      <c r="I26" s="64">
        <v>1570.0</v>
      </c>
      <c r="J26" s="137" t="s">
        <v>80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74.0</v>
      </c>
      <c r="D27" s="24"/>
      <c r="E27" s="43">
        <v>18.0</v>
      </c>
      <c r="F27" s="56">
        <v>301.0</v>
      </c>
      <c r="G27" s="64">
        <v>301.0</v>
      </c>
      <c r="H27" s="65"/>
      <c r="I27" s="65"/>
      <c r="J27" s="137">
        <v>8827.0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458.7162162</v>
      </c>
      <c r="D28" s="24"/>
      <c r="E28" s="43">
        <v>19.0</v>
      </c>
      <c r="F28" s="56">
        <v>542.0</v>
      </c>
      <c r="G28" s="64">
        <v>542.0</v>
      </c>
      <c r="H28" s="65"/>
      <c r="I28" s="65"/>
      <c r="J28" s="137">
        <v>8828.0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47.0</v>
      </c>
      <c r="G29" s="64">
        <v>47.0</v>
      </c>
      <c r="H29" s="65"/>
      <c r="I29" s="65"/>
      <c r="J29" s="137">
        <v>8829.0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200.0</v>
      </c>
      <c r="G30" s="93">
        <v>200.0</v>
      </c>
      <c r="H30" s="92"/>
      <c r="I30" s="93"/>
      <c r="J30" s="137">
        <v>8830.0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>
        <f>S33</f>
        <v>15347</v>
      </c>
      <c r="D31" s="24"/>
      <c r="E31" s="43">
        <v>22.0</v>
      </c>
      <c r="F31" s="56">
        <v>2260.0</v>
      </c>
      <c r="G31" s="93">
        <v>2260.0</v>
      </c>
      <c r="H31" s="92"/>
      <c r="I31" s="92"/>
      <c r="J31" s="137">
        <v>8831.0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2100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>
        <f>R34</f>
        <v>3500</v>
      </c>
      <c r="D32" s="24"/>
      <c r="E32" s="43">
        <v>23.0</v>
      </c>
      <c r="F32" s="56">
        <v>145.0</v>
      </c>
      <c r="G32" s="93"/>
      <c r="H32" s="143">
        <v>145.0</v>
      </c>
      <c r="I32" s="92"/>
      <c r="J32" s="137">
        <v>8832.0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489.0</v>
      </c>
      <c r="G33" s="93">
        <v>489.0</v>
      </c>
      <c r="H33" s="92"/>
      <c r="I33" s="92"/>
      <c r="J33" s="137">
        <v>8833.0</v>
      </c>
      <c r="K33" s="24"/>
      <c r="L33" s="104">
        <f t="shared" ref="L33:M33" si="2">sum(L10:L32)</f>
        <v>1103</v>
      </c>
      <c r="M33" s="104">
        <f t="shared" si="2"/>
        <v>4005</v>
      </c>
      <c r="N33" s="104"/>
      <c r="O33" s="105"/>
      <c r="P33" s="85" t="s">
        <v>38</v>
      </c>
      <c r="Q33" s="51"/>
      <c r="R33" s="100"/>
      <c r="S33" s="52">
        <v>15347.0</v>
      </c>
      <c r="T33" s="101"/>
      <c r="U33" s="55"/>
      <c r="V33" s="24"/>
      <c r="W33" s="104">
        <f t="shared" ref="W33:X33" si="3">sum(W10:W32)</f>
        <v>403</v>
      </c>
      <c r="X33" s="104">
        <f t="shared" si="3"/>
        <v>0</v>
      </c>
      <c r="Y33" s="104">
        <f>W33+X33</f>
        <v>403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149.0</v>
      </c>
      <c r="G34" s="93">
        <v>149.0</v>
      </c>
      <c r="H34" s="92"/>
      <c r="I34" s="92"/>
      <c r="J34" s="137">
        <v>8834.0</v>
      </c>
      <c r="K34" s="24"/>
      <c r="L34" s="106"/>
      <c r="M34" s="106"/>
      <c r="N34" s="106"/>
      <c r="O34" s="106"/>
      <c r="P34" s="85" t="s">
        <v>40</v>
      </c>
      <c r="Q34" s="107"/>
      <c r="R34" s="144">
        <v>3500.0</v>
      </c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374.0</v>
      </c>
      <c r="G35" s="92"/>
      <c r="H35" s="143">
        <v>374.0</v>
      </c>
      <c r="I35" s="92"/>
      <c r="J35" s="137">
        <v>8835.0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1134.0</v>
      </c>
      <c r="G36" s="92"/>
      <c r="H36" s="143">
        <v>1134.0</v>
      </c>
      <c r="I36" s="92"/>
      <c r="J36" s="137">
        <v>8836.0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510.0</v>
      </c>
      <c r="G37" s="93">
        <v>510.0</v>
      </c>
      <c r="H37" s="92"/>
      <c r="I37" s="92"/>
      <c r="J37" s="137">
        <v>8837.0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21.0</v>
      </c>
      <c r="G38" s="93">
        <v>21.0</v>
      </c>
      <c r="H38" s="92"/>
      <c r="I38" s="92"/>
      <c r="J38" s="137">
        <v>8838.0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106.0</v>
      </c>
      <c r="G39" s="93">
        <v>106.0</v>
      </c>
      <c r="H39" s="93"/>
      <c r="I39" s="92"/>
      <c r="J39" s="137">
        <v>8839.0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636.0</v>
      </c>
      <c r="G40" s="92"/>
      <c r="H40" s="143">
        <v>636.0</v>
      </c>
      <c r="I40" s="92"/>
      <c r="J40" s="137">
        <v>8840.0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474.0</v>
      </c>
      <c r="G41" s="93">
        <v>474.0</v>
      </c>
      <c r="H41" s="93"/>
      <c r="I41" s="92"/>
      <c r="J41" s="137">
        <v>8841.0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759.0</v>
      </c>
      <c r="G42" s="93">
        <v>759.0</v>
      </c>
      <c r="H42" s="93"/>
      <c r="I42" s="92"/>
      <c r="J42" s="137">
        <v>8842.0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395.0</v>
      </c>
      <c r="G43" s="93"/>
      <c r="H43" s="143">
        <v>395.0</v>
      </c>
      <c r="I43" s="92"/>
      <c r="J43" s="137">
        <v>8843.0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284.0</v>
      </c>
      <c r="G44" s="92"/>
      <c r="H44" s="143">
        <v>284.0</v>
      </c>
      <c r="I44" s="92"/>
      <c r="J44" s="137">
        <v>8844.0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246.0</v>
      </c>
      <c r="G45" s="93"/>
      <c r="H45" s="92"/>
      <c r="I45" s="93">
        <v>246.0</v>
      </c>
      <c r="J45" s="137" t="s">
        <v>81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120.0</v>
      </c>
      <c r="G46" s="93"/>
      <c r="H46" s="143">
        <v>120.0</v>
      </c>
      <c r="I46" s="93" t="s">
        <v>82</v>
      </c>
      <c r="J46" s="137">
        <v>8846.0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236.0</v>
      </c>
      <c r="G47" s="93">
        <v>236.0</v>
      </c>
      <c r="H47" s="93"/>
      <c r="I47" s="92"/>
      <c r="J47" s="137">
        <v>8847.0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484.0</v>
      </c>
      <c r="G48" s="92"/>
      <c r="H48" s="143">
        <v>484.0</v>
      </c>
      <c r="I48" s="92"/>
      <c r="J48" s="137">
        <v>8848.0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124.0</v>
      </c>
      <c r="G49" s="92"/>
      <c r="H49" s="143">
        <v>124.0</v>
      </c>
      <c r="I49" s="92"/>
      <c r="J49" s="137">
        <v>8849.0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51">
        <v>261.0</v>
      </c>
      <c r="G50" s="93">
        <v>261.0</v>
      </c>
      <c r="H50" s="93"/>
      <c r="I50" s="92"/>
      <c r="J50" s="137">
        <v>8850.0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98.0</v>
      </c>
      <c r="G51" s="93">
        <v>98.0</v>
      </c>
      <c r="H51" s="92"/>
      <c r="I51" s="92"/>
      <c r="J51" s="137">
        <v>8851.0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72.0</v>
      </c>
      <c r="G52" s="93">
        <v>64.0</v>
      </c>
      <c r="H52" s="143">
        <v>8.0</v>
      </c>
      <c r="I52" s="92"/>
      <c r="J52" s="137">
        <v>8852.0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86.0</v>
      </c>
      <c r="G53" s="93">
        <v>86.0</v>
      </c>
      <c r="H53" s="92"/>
      <c r="I53" s="92"/>
      <c r="J53" s="137">
        <v>8853.0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173.0</v>
      </c>
      <c r="G54" s="93">
        <v>173.0</v>
      </c>
      <c r="H54" s="92"/>
      <c r="I54" s="92"/>
      <c r="J54" s="137">
        <v>8854.0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180.0</v>
      </c>
      <c r="G55" s="93">
        <v>180.0</v>
      </c>
      <c r="H55" s="92"/>
      <c r="I55" s="92"/>
      <c r="J55" s="137">
        <v>8855.0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71.0</v>
      </c>
      <c r="G56" s="92"/>
      <c r="H56" s="143">
        <v>71.0</v>
      </c>
      <c r="I56" s="92"/>
      <c r="J56" s="137">
        <v>8856.0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1645.0</v>
      </c>
      <c r="G57" s="92"/>
      <c r="H57" s="143">
        <v>1645.0</v>
      </c>
      <c r="I57" s="92"/>
      <c r="J57" s="137">
        <v>8857.0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86.0</v>
      </c>
      <c r="G58" s="93">
        <v>86.0</v>
      </c>
      <c r="H58" s="92"/>
      <c r="I58" s="92"/>
      <c r="J58" s="137">
        <v>8858.0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13.0</v>
      </c>
      <c r="G59" s="92"/>
      <c r="H59" s="143">
        <v>13.0</v>
      </c>
      <c r="I59" s="92"/>
      <c r="J59" s="137">
        <v>8859.0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969.0</v>
      </c>
      <c r="G60" s="92"/>
      <c r="H60" s="143">
        <v>969.0</v>
      </c>
      <c r="I60" s="92"/>
      <c r="J60" s="137">
        <v>8860.0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20.0</v>
      </c>
      <c r="G61" s="92"/>
      <c r="H61" s="143">
        <v>20.0</v>
      </c>
      <c r="I61" s="92"/>
      <c r="J61" s="137">
        <v>8861.0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225.0</v>
      </c>
      <c r="G62" s="92"/>
      <c r="H62" s="143">
        <v>225.0</v>
      </c>
      <c r="I62" s="92"/>
      <c r="J62" s="137">
        <v>8862.0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380.0</v>
      </c>
      <c r="G63" s="93">
        <v>30.0</v>
      </c>
      <c r="H63" s="143">
        <v>350.0</v>
      </c>
      <c r="I63" s="92"/>
      <c r="J63" s="137">
        <v>8863.0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2813.0</v>
      </c>
      <c r="G64" s="92"/>
      <c r="H64" s="92"/>
      <c r="I64" s="93">
        <v>2813.0</v>
      </c>
      <c r="J64" s="137" t="s">
        <v>83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22.0</v>
      </c>
      <c r="G65" s="93">
        <v>22.0</v>
      </c>
      <c r="H65" s="92"/>
      <c r="I65" s="92"/>
      <c r="J65" s="137">
        <v>8865.0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290.0</v>
      </c>
      <c r="G66" s="93">
        <v>290.0</v>
      </c>
      <c r="H66" s="92"/>
      <c r="I66" s="92"/>
      <c r="J66" s="137">
        <v>8866.0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303.0</v>
      </c>
      <c r="G67" s="93"/>
      <c r="H67" s="143">
        <v>303.0</v>
      </c>
      <c r="I67" s="92"/>
      <c r="J67" s="137">
        <v>8867.0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285.0</v>
      </c>
      <c r="G68" s="93">
        <v>285.0</v>
      </c>
      <c r="H68" s="92"/>
      <c r="I68" s="92"/>
      <c r="J68" s="137">
        <v>8868.0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44.0</v>
      </c>
      <c r="G69" s="93">
        <v>40.0</v>
      </c>
      <c r="H69" s="143">
        <v>4.0</v>
      </c>
      <c r="I69" s="92"/>
      <c r="J69" s="137">
        <v>8869.0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11.0</v>
      </c>
      <c r="G70" s="92"/>
      <c r="H70" s="143">
        <v>11.0</v>
      </c>
      <c r="I70" s="92"/>
      <c r="J70" s="137">
        <v>8870.0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56">
        <v>228.0</v>
      </c>
      <c r="G71" s="92"/>
      <c r="H71" s="143">
        <v>228.0</v>
      </c>
      <c r="I71" s="92"/>
      <c r="J71" s="137">
        <v>8871.0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56">
        <v>316.0</v>
      </c>
      <c r="G72" s="93">
        <v>316.0</v>
      </c>
      <c r="H72" s="92"/>
      <c r="I72" s="92"/>
      <c r="J72" s="137">
        <v>8872.0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56">
        <v>374.0</v>
      </c>
      <c r="G73" s="93">
        <v>374.0</v>
      </c>
      <c r="H73" s="92"/>
      <c r="I73" s="92"/>
      <c r="J73" s="137">
        <v>8873.0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56">
        <v>553.0</v>
      </c>
      <c r="G74" s="93">
        <v>553.0</v>
      </c>
      <c r="H74" s="92"/>
      <c r="I74" s="92"/>
      <c r="J74" s="137">
        <v>8874.0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56">
        <v>272.0</v>
      </c>
      <c r="G75" s="93">
        <v>272.0</v>
      </c>
      <c r="H75" s="92"/>
      <c r="I75" s="92"/>
      <c r="J75" s="137">
        <v>8875.0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56">
        <v>106.0</v>
      </c>
      <c r="G76" s="93">
        <v>106.0</v>
      </c>
      <c r="H76" s="92"/>
      <c r="I76" s="92"/>
      <c r="J76" s="137">
        <v>8876.0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56">
        <v>24.0</v>
      </c>
      <c r="G77" s="93"/>
      <c r="H77" s="93">
        <v>24.0</v>
      </c>
      <c r="I77" s="92"/>
      <c r="J77" s="137">
        <v>8877.0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56">
        <v>148.0</v>
      </c>
      <c r="G78" s="93">
        <v>148.0</v>
      </c>
      <c r="H78" s="92"/>
      <c r="I78" s="92"/>
      <c r="J78" s="137">
        <v>8878.0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56">
        <v>1742.0</v>
      </c>
      <c r="G79" s="92"/>
      <c r="H79" s="92"/>
      <c r="I79" s="93">
        <v>1742.0</v>
      </c>
      <c r="J79" s="137" t="s">
        <v>84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52">
        <v>274.0</v>
      </c>
      <c r="G80" s="92"/>
      <c r="H80" s="145">
        <v>298.0</v>
      </c>
      <c r="I80" s="92"/>
      <c r="J80" s="137">
        <v>8880.0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56">
        <v>41.0</v>
      </c>
      <c r="G81" s="92"/>
      <c r="H81" s="153">
        <v>41.0</v>
      </c>
      <c r="I81" s="92"/>
      <c r="J81" s="137">
        <v>8881.0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49">
        <v>387.0</v>
      </c>
      <c r="G82" s="61"/>
      <c r="H82" s="54">
        <v>387.0</v>
      </c>
      <c r="I82" s="61"/>
      <c r="J82" s="137">
        <v>8882.0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49">
        <v>164.0</v>
      </c>
      <c r="G83" s="54">
        <v>164.0</v>
      </c>
      <c r="H83" s="61"/>
      <c r="I83" s="61"/>
      <c r="J83" s="137">
        <v>8883.0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49">
        <v>84.0</v>
      </c>
      <c r="G84" s="61"/>
      <c r="H84" s="54">
        <v>84.0</v>
      </c>
      <c r="I84" s="61"/>
      <c r="J84" s="137">
        <v>8884.0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137">
        <v>8885.0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137">
        <v>8886.0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54">
        <v>-2.0</v>
      </c>
      <c r="H87" s="61"/>
      <c r="I87" s="61"/>
      <c r="J87" s="137">
        <v>8887.0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137">
        <v>8888.0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137">
        <v>8889.0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137">
        <v>8890.0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137">
        <v>8891.0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137">
        <v>8892.0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137">
        <v>8893.0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137">
        <v>8894.0</v>
      </c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137">
        <v>8895.0</v>
      </c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137">
        <v>8896.0</v>
      </c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33945</v>
      </c>
      <c r="G97" s="123">
        <f t="shared" si="4"/>
        <v>18240</v>
      </c>
      <c r="H97" s="123">
        <f t="shared" si="4"/>
        <v>9356</v>
      </c>
      <c r="I97" s="123">
        <f t="shared" si="4"/>
        <v>6371</v>
      </c>
      <c r="J97" s="137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32">
        <v>45963.0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20249.0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17381.0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22689.0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30374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10035</v>
      </c>
      <c r="D10" s="24"/>
      <c r="E10" s="43">
        <v>1.0</v>
      </c>
      <c r="F10" s="44">
        <v>21.0</v>
      </c>
      <c r="G10" s="45"/>
      <c r="H10" s="45">
        <v>21.0</v>
      </c>
      <c r="I10" s="45"/>
      <c r="J10" s="137">
        <v>8737.0</v>
      </c>
      <c r="K10" s="24"/>
      <c r="L10" s="47"/>
      <c r="M10" s="47">
        <v>367.0</v>
      </c>
      <c r="N10" s="48">
        <v>8704.0</v>
      </c>
      <c r="O10" s="49"/>
      <c r="P10" s="85" t="s">
        <v>85</v>
      </c>
      <c r="Q10" s="51"/>
      <c r="R10" s="52">
        <v>150.0</v>
      </c>
      <c r="S10" s="53"/>
      <c r="T10" s="54"/>
      <c r="U10" s="55"/>
      <c r="V10" s="24"/>
      <c r="W10" s="47"/>
      <c r="X10" s="47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13452</v>
      </c>
      <c r="D11" s="24"/>
      <c r="E11" s="43">
        <v>2.0</v>
      </c>
      <c r="F11" s="56">
        <v>17.0</v>
      </c>
      <c r="G11" s="57">
        <v>17.0</v>
      </c>
      <c r="H11" s="58"/>
      <c r="I11" s="59"/>
      <c r="J11" s="137">
        <v>8738.0</v>
      </c>
      <c r="K11" s="24"/>
      <c r="L11" s="47">
        <v>300.0</v>
      </c>
      <c r="M11" s="47">
        <v>1528.0</v>
      </c>
      <c r="N11" s="48">
        <v>8719.0</v>
      </c>
      <c r="O11" s="49"/>
      <c r="P11" s="72" t="s">
        <v>86</v>
      </c>
      <c r="Q11" s="51"/>
      <c r="R11" s="52">
        <v>187.0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4513</v>
      </c>
      <c r="D12" s="24"/>
      <c r="E12" s="43">
        <v>3.0</v>
      </c>
      <c r="F12" s="63">
        <v>266.0</v>
      </c>
      <c r="G12" s="64">
        <v>266.0</v>
      </c>
      <c r="H12" s="64"/>
      <c r="I12" s="65"/>
      <c r="J12" s="137">
        <v>8739.0</v>
      </c>
      <c r="K12" s="24"/>
      <c r="L12" s="48"/>
      <c r="M12" s="48"/>
      <c r="N12" s="48"/>
      <c r="O12" s="49"/>
      <c r="P12" s="60"/>
      <c r="Q12" s="51"/>
      <c r="R12" s="52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300</v>
      </c>
      <c r="D13" s="24"/>
      <c r="E13" s="43">
        <v>4.0</v>
      </c>
      <c r="F13" s="56">
        <v>284.0</v>
      </c>
      <c r="G13" s="64">
        <v>284.0</v>
      </c>
      <c r="H13" s="65"/>
      <c r="I13" s="65"/>
      <c r="J13" s="137">
        <v>8740.0</v>
      </c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1895</v>
      </c>
      <c r="D14" s="24"/>
      <c r="E14" s="43">
        <v>5.0</v>
      </c>
      <c r="F14" s="56">
        <v>5.0</v>
      </c>
      <c r="G14" s="64">
        <v>5.0</v>
      </c>
      <c r="H14" s="65"/>
      <c r="I14" s="65"/>
      <c r="J14" s="137">
        <v>8741.0</v>
      </c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>
        <v>109.0</v>
      </c>
      <c r="G15" s="64">
        <v>109.0</v>
      </c>
      <c r="H15" s="64"/>
      <c r="I15" s="65"/>
      <c r="J15" s="137">
        <v>8742.0</v>
      </c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337</v>
      </c>
      <c r="D16" s="24"/>
      <c r="E16" s="43">
        <v>7.0</v>
      </c>
      <c r="F16" s="56">
        <v>46.0</v>
      </c>
      <c r="G16" s="64"/>
      <c r="H16" s="64">
        <v>46.0</v>
      </c>
      <c r="I16" s="65"/>
      <c r="J16" s="137">
        <v>8743.0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337</v>
      </c>
      <c r="D17" s="24"/>
      <c r="E17" s="43">
        <v>8.0</v>
      </c>
      <c r="F17" s="152">
        <v>526.0</v>
      </c>
      <c r="G17" s="65"/>
      <c r="H17" s="154">
        <v>526.0</v>
      </c>
      <c r="I17" s="65"/>
      <c r="J17" s="146" t="s">
        <v>87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432.0</v>
      </c>
      <c r="G18" s="64">
        <v>432.0</v>
      </c>
      <c r="H18" s="64"/>
      <c r="I18" s="65"/>
      <c r="J18" s="137">
        <v>8745.0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404.0</v>
      </c>
      <c r="G19" s="64">
        <v>400.0</v>
      </c>
      <c r="H19" s="64">
        <v>4.0</v>
      </c>
      <c r="I19" s="65"/>
      <c r="J19" s="137">
        <v>8746.0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25007</v>
      </c>
      <c r="D20" s="24"/>
      <c r="E20" s="43">
        <v>11.0</v>
      </c>
      <c r="F20" s="56">
        <v>664.0</v>
      </c>
      <c r="G20" s="65"/>
      <c r="H20" s="64">
        <v>664.0</v>
      </c>
      <c r="I20" s="65"/>
      <c r="J20" s="137">
        <v>8747.0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15347</v>
      </c>
      <c r="D21" s="24"/>
      <c r="E21" s="43">
        <v>12.0</v>
      </c>
      <c r="F21" s="56">
        <v>72.0</v>
      </c>
      <c r="G21" s="64">
        <v>72.0</v>
      </c>
      <c r="H21" s="64"/>
      <c r="I21" s="65"/>
      <c r="J21" s="137">
        <v>8748.0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30247</v>
      </c>
      <c r="D22" s="24"/>
      <c r="E22" s="43">
        <v>13.0</v>
      </c>
      <c r="F22" s="56">
        <v>63.0</v>
      </c>
      <c r="G22" s="64">
        <v>63.0</v>
      </c>
      <c r="H22" s="64"/>
      <c r="I22" s="65"/>
      <c r="J22" s="137">
        <v>8749.0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41">
        <v>33476.0</v>
      </c>
      <c r="D23" s="24"/>
      <c r="E23" s="43">
        <v>14.0</v>
      </c>
      <c r="F23" s="56">
        <v>237.0</v>
      </c>
      <c r="G23" s="64">
        <v>230.0</v>
      </c>
      <c r="H23" s="64">
        <v>7.0</v>
      </c>
      <c r="I23" s="65"/>
      <c r="J23" s="137">
        <v>8750.0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-3229</v>
      </c>
      <c r="D24" s="24"/>
      <c r="E24" s="43">
        <v>15.0</v>
      </c>
      <c r="F24" s="56">
        <v>110.0</v>
      </c>
      <c r="G24" s="64">
        <v>110.0</v>
      </c>
      <c r="H24" s="65"/>
      <c r="I24" s="65"/>
      <c r="J24" s="137">
        <v>8751.0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1030.0</v>
      </c>
      <c r="G25" s="64"/>
      <c r="H25" s="64">
        <v>1030.0</v>
      </c>
      <c r="I25" s="65"/>
      <c r="J25" s="137">
        <v>8752.0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30374</v>
      </c>
      <c r="D26" s="24"/>
      <c r="E26" s="43">
        <v>17.0</v>
      </c>
      <c r="F26" s="56">
        <v>68.0</v>
      </c>
      <c r="G26" s="64">
        <v>68.0</v>
      </c>
      <c r="H26" s="65"/>
      <c r="I26" s="65"/>
      <c r="J26" s="137">
        <v>8753.0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73.0</v>
      </c>
      <c r="D27" s="24"/>
      <c r="E27" s="43">
        <v>18.0</v>
      </c>
      <c r="F27" s="56">
        <v>925.0</v>
      </c>
      <c r="G27" s="64">
        <v>925.0</v>
      </c>
      <c r="H27" s="65"/>
      <c r="I27" s="65"/>
      <c r="J27" s="137">
        <v>8754.0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416.0821918</v>
      </c>
      <c r="D28" s="24"/>
      <c r="E28" s="43">
        <v>19.0</v>
      </c>
      <c r="F28" s="155">
        <v>491.0</v>
      </c>
      <c r="G28" s="64">
        <v>491.0</v>
      </c>
      <c r="H28" s="65"/>
      <c r="I28" s="65"/>
      <c r="J28" s="137">
        <v>8755.0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352.0</v>
      </c>
      <c r="G29" s="64"/>
      <c r="H29" s="64">
        <v>352.0</v>
      </c>
      <c r="I29" s="64"/>
      <c r="J29" s="137">
        <v>8756.0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184.0</v>
      </c>
      <c r="G30" s="92"/>
      <c r="H30" s="93">
        <v>184.0</v>
      </c>
      <c r="I30" s="93"/>
      <c r="J30" s="137">
        <v>8757.0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>
        <f>S33</f>
        <v>17381</v>
      </c>
      <c r="D31" s="24"/>
      <c r="E31" s="43">
        <v>22.0</v>
      </c>
      <c r="F31" s="56">
        <v>11.0</v>
      </c>
      <c r="G31" s="93"/>
      <c r="H31" s="93">
        <v>11.0</v>
      </c>
      <c r="I31" s="92"/>
      <c r="J31" s="137">
        <v>8758.0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337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>
        <v>100.0</v>
      </c>
      <c r="G32" s="93"/>
      <c r="H32" s="93">
        <v>100.0</v>
      </c>
      <c r="I32" s="92"/>
      <c r="J32" s="137">
        <v>8759.0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262.0</v>
      </c>
      <c r="G33" s="93"/>
      <c r="H33" s="92"/>
      <c r="I33" s="147">
        <v>262.0</v>
      </c>
      <c r="J33" s="148" t="s">
        <v>88</v>
      </c>
      <c r="K33" s="24"/>
      <c r="L33" s="104">
        <f t="shared" ref="L33:M33" si="2">sum(L10:L32)</f>
        <v>300</v>
      </c>
      <c r="M33" s="104">
        <f t="shared" si="2"/>
        <v>1895</v>
      </c>
      <c r="N33" s="104"/>
      <c r="O33" s="105"/>
      <c r="P33" s="85" t="s">
        <v>38</v>
      </c>
      <c r="Q33" s="51"/>
      <c r="R33" s="100"/>
      <c r="S33" s="52">
        <v>17381.0</v>
      </c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18.0</v>
      </c>
      <c r="G34" s="93">
        <v>18.0</v>
      </c>
      <c r="H34" s="92"/>
      <c r="I34" s="92"/>
      <c r="J34" s="137">
        <v>8761.0</v>
      </c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190.0</v>
      </c>
      <c r="G35" s="93">
        <v>190.0</v>
      </c>
      <c r="H35" s="93"/>
      <c r="I35" s="92"/>
      <c r="J35" s="137">
        <v>8762.0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238.0</v>
      </c>
      <c r="G36" s="93">
        <v>238.0</v>
      </c>
      <c r="H36" s="93"/>
      <c r="I36" s="92"/>
      <c r="J36" s="137">
        <v>8763.0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219.0</v>
      </c>
      <c r="G37" s="93"/>
      <c r="H37" s="93">
        <v>219.0</v>
      </c>
      <c r="I37" s="92"/>
      <c r="J37" s="137">
        <v>8764.0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158.0</v>
      </c>
      <c r="G38" s="93">
        <v>158.0</v>
      </c>
      <c r="H38" s="92"/>
      <c r="I38" s="92"/>
      <c r="J38" s="137">
        <v>8765.0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42.0</v>
      </c>
      <c r="G39" s="93"/>
      <c r="H39" s="93">
        <v>42.0</v>
      </c>
      <c r="I39" s="92"/>
      <c r="J39" s="137">
        <v>8766.0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11.0</v>
      </c>
      <c r="G40" s="93">
        <v>11.0</v>
      </c>
      <c r="H40" s="93"/>
      <c r="I40" s="92"/>
      <c r="J40" s="137">
        <v>8767.0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74.0</v>
      </c>
      <c r="G41" s="93">
        <v>74.0</v>
      </c>
      <c r="H41" s="93"/>
      <c r="I41" s="92"/>
      <c r="J41" s="137">
        <v>8768.0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284.0</v>
      </c>
      <c r="G42" s="93">
        <v>284.0</v>
      </c>
      <c r="H42" s="93"/>
      <c r="I42" s="92"/>
      <c r="J42" s="137">
        <v>8769.0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290.0</v>
      </c>
      <c r="G43" s="93">
        <v>290.0</v>
      </c>
      <c r="H43" s="92"/>
      <c r="I43" s="92"/>
      <c r="J43" s="137">
        <v>8770.0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125.0</v>
      </c>
      <c r="G44" s="93">
        <v>125.0</v>
      </c>
      <c r="H44" s="93"/>
      <c r="I44" s="92"/>
      <c r="J44" s="137">
        <v>8771.0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64.0</v>
      </c>
      <c r="G45" s="93">
        <v>14.0</v>
      </c>
      <c r="H45" s="93">
        <v>50.0</v>
      </c>
      <c r="I45" s="92"/>
      <c r="J45" s="137">
        <v>8772.0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1470.0</v>
      </c>
      <c r="G46" s="93"/>
      <c r="H46" s="92"/>
      <c r="I46" s="93">
        <v>1470.0</v>
      </c>
      <c r="J46" s="137" t="s">
        <v>89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676.0</v>
      </c>
      <c r="G47" s="92"/>
      <c r="H47" s="93">
        <v>676.0</v>
      </c>
      <c r="I47" s="92"/>
      <c r="J47" s="137">
        <v>8774.0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240.0</v>
      </c>
      <c r="G48" s="93">
        <v>240.0</v>
      </c>
      <c r="H48" s="92"/>
      <c r="I48" s="92"/>
      <c r="J48" s="137">
        <v>8775.0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2103.0</v>
      </c>
      <c r="G49" s="93">
        <v>2103.0</v>
      </c>
      <c r="H49" s="92"/>
      <c r="I49" s="92"/>
      <c r="J49" s="137">
        <v>8776.0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1769.0</v>
      </c>
      <c r="G50" s="93">
        <v>1000.0</v>
      </c>
      <c r="H50" s="93">
        <v>769.0</v>
      </c>
      <c r="I50" s="92"/>
      <c r="J50" s="137">
        <v>8777.0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5130.0</v>
      </c>
      <c r="G51" s="92"/>
      <c r="H51" s="93">
        <v>5130.0</v>
      </c>
      <c r="I51" s="93"/>
      <c r="J51" s="137">
        <v>8778.0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230.0</v>
      </c>
      <c r="G52" s="93">
        <v>230.0</v>
      </c>
      <c r="H52" s="92"/>
      <c r="I52" s="92"/>
      <c r="J52" s="137">
        <v>8779.0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278.0</v>
      </c>
      <c r="G53" s="93">
        <v>278.0</v>
      </c>
      <c r="H53" s="92"/>
      <c r="I53" s="92"/>
      <c r="J53" s="137">
        <v>8780.0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157.0</v>
      </c>
      <c r="G54" s="93">
        <v>157.0</v>
      </c>
      <c r="H54" s="92"/>
      <c r="I54" s="92"/>
      <c r="J54" s="137">
        <v>8781.0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25.0</v>
      </c>
      <c r="G55" s="92"/>
      <c r="H55" s="93">
        <v>25.0</v>
      </c>
      <c r="I55" s="92"/>
      <c r="J55" s="137">
        <v>8782.0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97.0</v>
      </c>
      <c r="G56" s="92"/>
      <c r="H56" s="93">
        <v>97.0</v>
      </c>
      <c r="I56" s="92"/>
      <c r="J56" s="137">
        <v>8783.0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1505.0</v>
      </c>
      <c r="G57" s="93">
        <v>1505.0</v>
      </c>
      <c r="H57" s="92"/>
      <c r="I57" s="92"/>
      <c r="J57" s="137">
        <v>8784.0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225.0</v>
      </c>
      <c r="G58" s="93"/>
      <c r="H58" s="93">
        <v>225.0</v>
      </c>
      <c r="I58" s="92"/>
      <c r="J58" s="137">
        <v>8785.0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58.0</v>
      </c>
      <c r="G59" s="93"/>
      <c r="H59" s="93">
        <v>58.0</v>
      </c>
      <c r="I59" s="92"/>
      <c r="J59" s="137">
        <v>8786.0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208.0</v>
      </c>
      <c r="G60" s="92"/>
      <c r="H60" s="93">
        <v>208.0</v>
      </c>
      <c r="I60" s="92"/>
      <c r="J60" s="137">
        <v>8787.0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250.0</v>
      </c>
      <c r="G61" s="92"/>
      <c r="H61" s="93">
        <v>250.0</v>
      </c>
      <c r="I61" s="92"/>
      <c r="J61" s="137">
        <v>8788.0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221.0</v>
      </c>
      <c r="G62" s="92"/>
      <c r="H62" s="93">
        <v>221.0</v>
      </c>
      <c r="I62" s="92"/>
      <c r="J62" s="137">
        <v>8789.0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1103.0</v>
      </c>
      <c r="G63" s="92"/>
      <c r="H63" s="92"/>
      <c r="I63" s="93">
        <v>1103.0</v>
      </c>
      <c r="J63" s="148" t="s">
        <v>90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98.0</v>
      </c>
      <c r="G64" s="92"/>
      <c r="H64" s="93">
        <v>98.0</v>
      </c>
      <c r="I64" s="92"/>
      <c r="J64" s="137">
        <v>8791.0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260.0</v>
      </c>
      <c r="G65" s="92"/>
      <c r="H65" s="93">
        <v>260.0</v>
      </c>
      <c r="I65" s="92"/>
      <c r="J65" s="137">
        <v>8792.0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809.0</v>
      </c>
      <c r="G66" s="92"/>
      <c r="H66" s="93">
        <v>809.0</v>
      </c>
      <c r="I66" s="92"/>
      <c r="J66" s="137">
        <v>8793.0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1678.0</v>
      </c>
      <c r="G67" s="93"/>
      <c r="H67" s="92"/>
      <c r="I67" s="93">
        <v>1678.0</v>
      </c>
      <c r="J67" s="137" t="s">
        <v>91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367.0</v>
      </c>
      <c r="G68" s="93">
        <v>367.0</v>
      </c>
      <c r="H68" s="92"/>
      <c r="I68" s="92"/>
      <c r="J68" s="137">
        <v>8795.0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54.0</v>
      </c>
      <c r="G69" s="93">
        <v>54.0</v>
      </c>
      <c r="H69" s="92"/>
      <c r="I69" s="92"/>
      <c r="J69" s="137">
        <v>8796.0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169.0</v>
      </c>
      <c r="G70" s="92"/>
      <c r="H70" s="93">
        <v>169.0</v>
      </c>
      <c r="I70" s="92"/>
      <c r="J70" s="137">
        <v>8797.0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56">
        <v>10.0</v>
      </c>
      <c r="G71" s="93">
        <v>10.0</v>
      </c>
      <c r="H71" s="92"/>
      <c r="I71" s="92"/>
      <c r="J71" s="137">
        <v>8798.0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56">
        <v>237.0</v>
      </c>
      <c r="G72" s="92"/>
      <c r="H72" s="93">
        <v>237.0</v>
      </c>
      <c r="I72" s="92"/>
      <c r="J72" s="137">
        <v>8799.0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56">
        <v>10.0</v>
      </c>
      <c r="G73" s="92"/>
      <c r="H73" s="93">
        <v>10.0</v>
      </c>
      <c r="I73" s="92"/>
      <c r="J73" s="137">
        <v>8800.0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56">
        <v>436.0</v>
      </c>
      <c r="G74" s="93"/>
      <c r="H74" s="93">
        <v>436.0</v>
      </c>
      <c r="I74" s="92"/>
      <c r="J74" s="137">
        <v>8801.0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56">
        <v>275.0</v>
      </c>
      <c r="G75" s="93">
        <v>275.0</v>
      </c>
      <c r="H75" s="93"/>
      <c r="I75" s="92"/>
      <c r="J75" s="137">
        <v>8802.0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56">
        <v>233.0</v>
      </c>
      <c r="G76" s="93">
        <v>233.0</v>
      </c>
      <c r="H76" s="92"/>
      <c r="I76" s="92"/>
      <c r="J76" s="137">
        <v>8803.0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56">
        <v>242.0</v>
      </c>
      <c r="G77" s="92"/>
      <c r="H77" s="93">
        <v>242.0</v>
      </c>
      <c r="I77" s="92"/>
      <c r="J77" s="137">
        <v>8804.0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56">
        <v>121.0</v>
      </c>
      <c r="G78" s="93">
        <v>100.0</v>
      </c>
      <c r="H78" s="93">
        <v>21.0</v>
      </c>
      <c r="I78" s="92"/>
      <c r="J78" s="137">
        <v>8805.0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56">
        <v>981.0</v>
      </c>
      <c r="G79" s="93">
        <v>981.0</v>
      </c>
      <c r="H79" s="92"/>
      <c r="I79" s="92"/>
      <c r="J79" s="137">
        <v>8806.0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56">
        <v>91.0</v>
      </c>
      <c r="G80" s="92"/>
      <c r="H80" s="93">
        <v>91.0</v>
      </c>
      <c r="I80" s="92"/>
      <c r="J80" s="137">
        <v>8807.0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56">
        <v>102.0</v>
      </c>
      <c r="G81" s="92"/>
      <c r="H81" s="93">
        <v>102.0</v>
      </c>
      <c r="I81" s="92"/>
      <c r="J81" s="137">
        <v>8808.0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49">
        <v>64.0</v>
      </c>
      <c r="G82" s="54">
        <v>2.0</v>
      </c>
      <c r="H82" s="54">
        <v>62.0</v>
      </c>
      <c r="I82" s="61"/>
      <c r="J82" s="137">
        <v>8809.0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54">
        <v>-621.0</v>
      </c>
      <c r="H83" s="61"/>
      <c r="I83" s="61"/>
      <c r="J83" s="137">
        <v>8810.0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54">
        <v>-1753.0</v>
      </c>
      <c r="H84" s="61"/>
      <c r="I84" s="61"/>
      <c r="J84" s="137">
        <v>8811.0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137">
        <v>8812.0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137">
        <v>8813.0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137">
        <v>8814.0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137">
        <v>8815.0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137">
        <v>8816.0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137">
        <v>8817.0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137">
        <v>8818.0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137">
        <v>8819.0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137">
        <v>8820.0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137">
        <v>8821.0</v>
      </c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137">
        <v>8822.0</v>
      </c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137">
        <v>8823.0</v>
      </c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30374</v>
      </c>
      <c r="G97" s="123">
        <f t="shared" si="4"/>
        <v>10035</v>
      </c>
      <c r="H97" s="123">
        <f t="shared" si="4"/>
        <v>13452</v>
      </c>
      <c r="I97" s="123">
        <f t="shared" si="4"/>
        <v>4513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32">
        <v>45965.0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43587.0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13361.0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26270.0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33393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15731</v>
      </c>
      <c r="D10" s="24"/>
      <c r="E10" s="43">
        <v>1.0</v>
      </c>
      <c r="F10" s="44">
        <v>70.0</v>
      </c>
      <c r="G10" s="45">
        <v>70.0</v>
      </c>
      <c r="H10" s="45"/>
      <c r="I10" s="45"/>
      <c r="J10" s="137">
        <v>8885.0</v>
      </c>
      <c r="K10" s="24"/>
      <c r="L10" s="47">
        <v>1742.0</v>
      </c>
      <c r="M10" s="47"/>
      <c r="N10" s="47">
        <v>8879.0</v>
      </c>
      <c r="O10" s="49"/>
      <c r="P10" s="85" t="s">
        <v>92</v>
      </c>
      <c r="Q10" s="51"/>
      <c r="R10" s="52">
        <v>100.0</v>
      </c>
      <c r="S10" s="53"/>
      <c r="T10" s="54"/>
      <c r="U10" s="55"/>
      <c r="V10" s="24"/>
      <c r="W10" s="47">
        <v>166.0</v>
      </c>
      <c r="X10" s="47"/>
      <c r="Y10" s="47">
        <v>127.0</v>
      </c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16455</v>
      </c>
      <c r="D11" s="24"/>
      <c r="E11" s="43">
        <v>2.0</v>
      </c>
      <c r="F11" s="56">
        <v>61.0</v>
      </c>
      <c r="G11" s="57"/>
      <c r="H11" s="58">
        <v>61.0</v>
      </c>
      <c r="I11" s="59"/>
      <c r="J11" s="137">
        <v>8886.0</v>
      </c>
      <c r="K11" s="24"/>
      <c r="L11" s="48"/>
      <c r="M11" s="47"/>
      <c r="N11" s="48"/>
      <c r="O11" s="49"/>
      <c r="P11" s="72" t="s">
        <v>93</v>
      </c>
      <c r="Q11" s="51"/>
      <c r="R11" s="52">
        <v>14700.0</v>
      </c>
      <c r="S11" s="53"/>
      <c r="T11" s="61"/>
      <c r="U11" s="62"/>
      <c r="V11" s="24"/>
      <c r="W11" s="47">
        <v>255.0</v>
      </c>
      <c r="X11" s="47"/>
      <c r="Y11" s="47">
        <v>128.0</v>
      </c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3814</v>
      </c>
      <c r="D12" s="24"/>
      <c r="E12" s="43">
        <v>3.0</v>
      </c>
      <c r="F12" s="63">
        <v>130.0</v>
      </c>
      <c r="G12" s="64"/>
      <c r="H12" s="64">
        <v>130.0</v>
      </c>
      <c r="I12" s="65"/>
      <c r="J12" s="146" t="s">
        <v>94</v>
      </c>
      <c r="K12" s="24"/>
      <c r="L12" s="48"/>
      <c r="M12" s="47"/>
      <c r="N12" s="48"/>
      <c r="O12" s="49"/>
      <c r="P12" s="72" t="s">
        <v>95</v>
      </c>
      <c r="Q12" s="51"/>
      <c r="R12" s="52">
        <v>2500.0</v>
      </c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1742</v>
      </c>
      <c r="D13" s="24"/>
      <c r="E13" s="43">
        <v>4.0</v>
      </c>
      <c r="F13" s="56">
        <v>762.0</v>
      </c>
      <c r="G13" s="64">
        <v>762.0</v>
      </c>
      <c r="H13" s="65"/>
      <c r="I13" s="65"/>
      <c r="J13" s="137">
        <v>8888.0</v>
      </c>
      <c r="K13" s="24"/>
      <c r="L13" s="48"/>
      <c r="M13" s="48"/>
      <c r="N13" s="48"/>
      <c r="O13" s="49"/>
      <c r="P13" s="72" t="s">
        <v>96</v>
      </c>
      <c r="Q13" s="51"/>
      <c r="R13" s="52">
        <v>3300.0</v>
      </c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>
        <v>975.0</v>
      </c>
      <c r="G14" s="64">
        <v>975.0</v>
      </c>
      <c r="H14" s="65"/>
      <c r="I14" s="65"/>
      <c r="J14" s="137">
        <v>8889.0</v>
      </c>
      <c r="K14" s="24"/>
      <c r="L14" s="48"/>
      <c r="M14" s="48"/>
      <c r="N14" s="48"/>
      <c r="O14" s="49"/>
      <c r="P14" s="72" t="s">
        <v>97</v>
      </c>
      <c r="Q14" s="51"/>
      <c r="R14" s="52">
        <v>13100.0</v>
      </c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421</v>
      </c>
      <c r="D15" s="24"/>
      <c r="E15" s="43">
        <v>6.0</v>
      </c>
      <c r="F15" s="56">
        <v>523.0</v>
      </c>
      <c r="G15" s="64"/>
      <c r="H15" s="64">
        <v>275.0</v>
      </c>
      <c r="I15" s="64">
        <v>248.0</v>
      </c>
      <c r="J15" s="137">
        <v>8890.0</v>
      </c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33700</v>
      </c>
      <c r="D16" s="24"/>
      <c r="E16" s="43">
        <v>7.0</v>
      </c>
      <c r="F16" s="56">
        <v>142.0</v>
      </c>
      <c r="G16" s="64"/>
      <c r="H16" s="64">
        <v>142.0</v>
      </c>
      <c r="I16" s="65"/>
      <c r="J16" s="146" t="s">
        <v>98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33700</v>
      </c>
      <c r="D17" s="24"/>
      <c r="E17" s="43">
        <v>8.0</v>
      </c>
      <c r="F17" s="56">
        <v>10.0</v>
      </c>
      <c r="G17" s="64">
        <v>10.0</v>
      </c>
      <c r="H17" s="64"/>
      <c r="I17" s="65"/>
      <c r="J17" s="137">
        <v>8892.0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46.0</v>
      </c>
      <c r="G18" s="64">
        <v>46.0</v>
      </c>
      <c r="H18" s="64"/>
      <c r="I18" s="65"/>
      <c r="J18" s="137">
        <v>8893.0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750.0</v>
      </c>
      <c r="G19" s="64">
        <v>750.0</v>
      </c>
      <c r="H19" s="65"/>
      <c r="I19" s="65"/>
      <c r="J19" s="137">
        <v>8894.0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28342</v>
      </c>
      <c r="D20" s="24"/>
      <c r="E20" s="43">
        <v>11.0</v>
      </c>
      <c r="F20" s="56">
        <v>535.0</v>
      </c>
      <c r="G20" s="64">
        <v>535.0</v>
      </c>
      <c r="H20" s="64"/>
      <c r="I20" s="65"/>
      <c r="J20" s="137">
        <v>8895.0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16455</v>
      </c>
      <c r="D21" s="24"/>
      <c r="E21" s="43">
        <v>12.0</v>
      </c>
      <c r="F21" s="56">
        <v>113.0</v>
      </c>
      <c r="G21" s="64">
        <v>100.0</v>
      </c>
      <c r="H21" s="64">
        <v>13.0</v>
      </c>
      <c r="I21" s="65"/>
      <c r="J21" s="137">
        <v>8896.0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23860</v>
      </c>
      <c r="D22" s="24"/>
      <c r="E22" s="43">
        <v>13.0</v>
      </c>
      <c r="F22" s="56">
        <v>57.0</v>
      </c>
      <c r="G22" s="64"/>
      <c r="H22" s="64">
        <v>57.0</v>
      </c>
      <c r="I22" s="65"/>
      <c r="J22" s="137">
        <v>8897.0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41">
        <v>16167.0</v>
      </c>
      <c r="D23" s="24"/>
      <c r="E23" s="43">
        <v>14.0</v>
      </c>
      <c r="F23" s="56">
        <v>147.0</v>
      </c>
      <c r="G23" s="65"/>
      <c r="H23" s="65"/>
      <c r="I23" s="64">
        <v>147.0</v>
      </c>
      <c r="J23" s="137" t="s">
        <v>99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7693</v>
      </c>
      <c r="D24" s="24"/>
      <c r="E24" s="43">
        <v>15.0</v>
      </c>
      <c r="F24" s="56">
        <v>194.0</v>
      </c>
      <c r="G24" s="64">
        <v>194.0</v>
      </c>
      <c r="H24" s="65"/>
      <c r="I24" s="65"/>
      <c r="J24" s="137">
        <v>8899.0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70.0</v>
      </c>
      <c r="G25" s="64">
        <v>70.0</v>
      </c>
      <c r="H25" s="65"/>
      <c r="I25" s="65"/>
      <c r="J25" s="137">
        <v>8900.0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33814</v>
      </c>
      <c r="D26" s="24"/>
      <c r="E26" s="43">
        <v>17.0</v>
      </c>
      <c r="F26" s="56">
        <v>548.0</v>
      </c>
      <c r="G26" s="64">
        <v>548.0</v>
      </c>
      <c r="H26" s="65"/>
      <c r="I26" s="65"/>
      <c r="J26" s="137">
        <v>8901.0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73.0</v>
      </c>
      <c r="D27" s="24"/>
      <c r="E27" s="43">
        <v>18.0</v>
      </c>
      <c r="F27" s="56">
        <v>744.0</v>
      </c>
      <c r="G27" s="64">
        <v>744.0</v>
      </c>
      <c r="H27" s="65"/>
      <c r="I27" s="65"/>
      <c r="J27" s="137">
        <v>8902.0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463.2054795</v>
      </c>
      <c r="D28" s="24"/>
      <c r="E28" s="43">
        <v>19.0</v>
      </c>
      <c r="F28" s="56">
        <v>169.0</v>
      </c>
      <c r="G28" s="64">
        <v>169.0</v>
      </c>
      <c r="H28" s="65"/>
      <c r="I28" s="65"/>
      <c r="J28" s="137">
        <v>8903.0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1145.0</v>
      </c>
      <c r="G29" s="64"/>
      <c r="H29" s="65"/>
      <c r="I29" s="64">
        <v>1145.0</v>
      </c>
      <c r="J29" s="137" t="s">
        <v>100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168.0</v>
      </c>
      <c r="G30" s="92"/>
      <c r="H30" s="93">
        <v>168.0</v>
      </c>
      <c r="I30" s="93"/>
      <c r="J30" s="137">
        <v>8905.0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>
        <f>S33</f>
        <v>13361</v>
      </c>
      <c r="D31" s="24"/>
      <c r="E31" s="43">
        <v>22.0</v>
      </c>
      <c r="F31" s="56">
        <v>113.0</v>
      </c>
      <c r="G31" s="93">
        <v>113.0</v>
      </c>
      <c r="H31" s="92"/>
      <c r="I31" s="92"/>
      <c r="J31" s="137">
        <v>8906.0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33700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>
        <f>R34</f>
        <v>3500</v>
      </c>
      <c r="D32" s="24"/>
      <c r="E32" s="43">
        <v>23.0</v>
      </c>
      <c r="F32" s="56">
        <v>260.0</v>
      </c>
      <c r="G32" s="93">
        <v>260.0</v>
      </c>
      <c r="H32" s="92"/>
      <c r="I32" s="92"/>
      <c r="J32" s="137">
        <v>8907.0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233.0</v>
      </c>
      <c r="G33" s="93">
        <v>233.0</v>
      </c>
      <c r="H33" s="92"/>
      <c r="I33" s="92"/>
      <c r="J33" s="137">
        <v>8908.0</v>
      </c>
      <c r="K33" s="24"/>
      <c r="L33" s="104">
        <f t="shared" ref="L33:M33" si="2">sum(L10:L32)</f>
        <v>1742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>
        <v>13361.0</v>
      </c>
      <c r="T33" s="101"/>
      <c r="U33" s="55"/>
      <c r="V33" s="24"/>
      <c r="W33" s="104">
        <f t="shared" ref="W33:X33" si="3">sum(W10:W32)</f>
        <v>421</v>
      </c>
      <c r="X33" s="104">
        <f t="shared" si="3"/>
        <v>0</v>
      </c>
      <c r="Y33" s="104">
        <f>W33+X33</f>
        <v>421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136.0</v>
      </c>
      <c r="G34" s="93">
        <v>136.0</v>
      </c>
      <c r="H34" s="93"/>
      <c r="I34" s="92"/>
      <c r="J34" s="137">
        <v>8909.0</v>
      </c>
      <c r="K34" s="24"/>
      <c r="L34" s="106"/>
      <c r="M34" s="106"/>
      <c r="N34" s="106"/>
      <c r="O34" s="106"/>
      <c r="P34" s="85" t="s">
        <v>40</v>
      </c>
      <c r="Q34" s="107"/>
      <c r="R34" s="144">
        <v>3500.0</v>
      </c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776.0</v>
      </c>
      <c r="G35" s="93">
        <v>770.0</v>
      </c>
      <c r="H35" s="93">
        <v>6.0</v>
      </c>
      <c r="I35" s="92"/>
      <c r="J35" s="137">
        <v>8910.0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427.0</v>
      </c>
      <c r="G36" s="92"/>
      <c r="H36" s="93">
        <v>427.0</v>
      </c>
      <c r="I36" s="92"/>
      <c r="J36" s="137">
        <v>8911.0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642.0</v>
      </c>
      <c r="G37" s="93"/>
      <c r="H37" s="93">
        <v>642.0</v>
      </c>
      <c r="I37" s="92"/>
      <c r="J37" s="137">
        <v>8912.0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171.0</v>
      </c>
      <c r="G38" s="93"/>
      <c r="H38" s="93">
        <v>171.0</v>
      </c>
      <c r="I38" s="92"/>
      <c r="J38" s="137">
        <v>8913.0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74.0</v>
      </c>
      <c r="G39" s="93">
        <v>74.0</v>
      </c>
      <c r="H39" s="93"/>
      <c r="I39" s="92"/>
      <c r="J39" s="137">
        <v>8914.0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1074.0</v>
      </c>
      <c r="G40" s="93">
        <v>1074.0</v>
      </c>
      <c r="H40" s="93"/>
      <c r="I40" s="92"/>
      <c r="J40" s="137">
        <v>8915.0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15.0</v>
      </c>
      <c r="G41" s="93">
        <v>15.0</v>
      </c>
      <c r="H41" s="93"/>
      <c r="I41" s="92"/>
      <c r="J41" s="137">
        <v>8916.0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84.0</v>
      </c>
      <c r="G42" s="93">
        <v>84.0</v>
      </c>
      <c r="H42" s="93"/>
      <c r="I42" s="92"/>
      <c r="J42" s="137">
        <v>8917.0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408.0</v>
      </c>
      <c r="G43" s="93"/>
      <c r="H43" s="93">
        <v>408.0</v>
      </c>
      <c r="I43" s="92"/>
      <c r="J43" s="137">
        <v>8918.0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660.0</v>
      </c>
      <c r="G44" s="92"/>
      <c r="H44" s="93">
        <v>660.0</v>
      </c>
      <c r="I44" s="92"/>
      <c r="J44" s="137">
        <v>8919.0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52.0</v>
      </c>
      <c r="G45" s="93">
        <v>52.0</v>
      </c>
      <c r="H45" s="92"/>
      <c r="I45" s="92"/>
      <c r="J45" s="137">
        <v>8920.0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299.0</v>
      </c>
      <c r="G46" s="93">
        <v>299.0</v>
      </c>
      <c r="H46" s="92"/>
      <c r="I46" s="92"/>
      <c r="J46" s="137">
        <v>8921.0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546.0</v>
      </c>
      <c r="G47" s="92"/>
      <c r="H47" s="93">
        <v>546.0</v>
      </c>
      <c r="I47" s="92"/>
      <c r="J47" s="137">
        <v>8922.0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156.0</v>
      </c>
      <c r="G48" s="93">
        <v>156.0</v>
      </c>
      <c r="H48" s="92"/>
      <c r="I48" s="92"/>
      <c r="J48" s="137">
        <v>8923.0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361.0</v>
      </c>
      <c r="G49" s="92"/>
      <c r="H49" s="93">
        <v>361.0</v>
      </c>
      <c r="I49" s="92"/>
      <c r="J49" s="137">
        <v>8924.0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107.0</v>
      </c>
      <c r="G50" s="92"/>
      <c r="H50" s="93">
        <v>107.0</v>
      </c>
      <c r="I50" s="92"/>
      <c r="J50" s="137">
        <v>8925.0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97.0</v>
      </c>
      <c r="G51" s="93">
        <v>97.0</v>
      </c>
      <c r="H51" s="92"/>
      <c r="I51" s="92"/>
      <c r="J51" s="137">
        <v>8926.0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110.0</v>
      </c>
      <c r="G52" s="93">
        <v>110.0</v>
      </c>
      <c r="H52" s="92"/>
      <c r="I52" s="92"/>
      <c r="J52" s="137">
        <v>8927.0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310.0</v>
      </c>
      <c r="G53" s="93">
        <v>310.0</v>
      </c>
      <c r="H53" s="92"/>
      <c r="I53" s="92"/>
      <c r="J53" s="137">
        <v>8928.0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1809.0</v>
      </c>
      <c r="G54" s="93">
        <v>1809.0</v>
      </c>
      <c r="H54" s="92"/>
      <c r="I54" s="92"/>
      <c r="J54" s="137">
        <v>8929.0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1470.0</v>
      </c>
      <c r="G55" s="92"/>
      <c r="H55" s="93">
        <v>1470.0</v>
      </c>
      <c r="I55" s="92"/>
      <c r="J55" s="146" t="s">
        <v>101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292.0</v>
      </c>
      <c r="G56" s="93">
        <v>292.0</v>
      </c>
      <c r="H56" s="92"/>
      <c r="I56" s="92"/>
      <c r="J56" s="137">
        <v>8931.0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217.0</v>
      </c>
      <c r="G57" s="93"/>
      <c r="H57" s="92"/>
      <c r="I57" s="93">
        <v>217.0</v>
      </c>
      <c r="J57" s="137" t="s">
        <v>102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26.0</v>
      </c>
      <c r="G58" s="93">
        <v>26.0</v>
      </c>
      <c r="H58" s="92"/>
      <c r="I58" s="92"/>
      <c r="J58" s="137">
        <v>8933.0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50.0</v>
      </c>
      <c r="G59" s="93">
        <v>50.0</v>
      </c>
      <c r="H59" s="92"/>
      <c r="I59" s="92"/>
      <c r="J59" s="137">
        <v>8934.0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1268.0</v>
      </c>
      <c r="G60" s="92"/>
      <c r="H60" s="93">
        <v>700.0</v>
      </c>
      <c r="I60" s="93">
        <v>568.0</v>
      </c>
      <c r="J60" s="137" t="s">
        <v>103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343.0</v>
      </c>
      <c r="G61" s="92"/>
      <c r="H61" s="93">
        <v>343.0</v>
      </c>
      <c r="I61" s="92"/>
      <c r="J61" s="137">
        <v>8936.0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15.0</v>
      </c>
      <c r="G62" s="92"/>
      <c r="H62" s="93">
        <v>15.0</v>
      </c>
      <c r="I62" s="92"/>
      <c r="J62" s="137">
        <v>8937.0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1229.0</v>
      </c>
      <c r="G63" s="93">
        <v>1229.0</v>
      </c>
      <c r="H63" s="93"/>
      <c r="I63" s="92"/>
      <c r="J63" s="137">
        <v>8938.0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4.0</v>
      </c>
      <c r="G64" s="93">
        <v>4.0</v>
      </c>
      <c r="H64" s="92"/>
      <c r="I64" s="92"/>
      <c r="J64" s="137">
        <v>8939.0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227.0</v>
      </c>
      <c r="G65" s="92"/>
      <c r="H65" s="93">
        <v>227.0</v>
      </c>
      <c r="I65" s="92"/>
      <c r="J65" s="137">
        <v>8940.0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201.0</v>
      </c>
      <c r="G66" s="92"/>
      <c r="H66" s="93">
        <v>201.0</v>
      </c>
      <c r="I66" s="92"/>
      <c r="J66" s="137">
        <v>8941.0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47.0</v>
      </c>
      <c r="G67" s="93">
        <v>47.0</v>
      </c>
      <c r="H67" s="92"/>
      <c r="I67" s="92"/>
      <c r="J67" s="137">
        <v>8942.0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526.0</v>
      </c>
      <c r="G68" s="92"/>
      <c r="H68" s="93">
        <v>526.0</v>
      </c>
      <c r="I68" s="92"/>
      <c r="J68" s="137">
        <v>8943.0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178.0</v>
      </c>
      <c r="G69" s="93">
        <v>178.0</v>
      </c>
      <c r="H69" s="92"/>
      <c r="I69" s="92"/>
      <c r="J69" s="137">
        <v>8944.0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181.0</v>
      </c>
      <c r="G70" s="93">
        <v>181.0</v>
      </c>
      <c r="H70" s="92"/>
      <c r="I70" s="92"/>
      <c r="J70" s="137">
        <v>8945.0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56">
        <v>375.0</v>
      </c>
      <c r="G71" s="93">
        <v>375.0</v>
      </c>
      <c r="H71" s="92"/>
      <c r="I71" s="92"/>
      <c r="J71" s="137">
        <v>8946.0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56">
        <v>1949.0</v>
      </c>
      <c r="G72" s="93">
        <v>1949.0</v>
      </c>
      <c r="H72" s="92"/>
      <c r="I72" s="92"/>
      <c r="J72" s="137">
        <v>8947.0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56">
        <v>75.0</v>
      </c>
      <c r="G73" s="93">
        <v>70.0</v>
      </c>
      <c r="H73" s="93">
        <v>5.0</v>
      </c>
      <c r="I73" s="92"/>
      <c r="J73" s="137">
        <v>8948.0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56">
        <v>229.0</v>
      </c>
      <c r="G74" s="93">
        <v>200.0</v>
      </c>
      <c r="H74" s="93">
        <v>29.0</v>
      </c>
      <c r="I74" s="92"/>
      <c r="J74" s="137">
        <v>8949.0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56">
        <v>557.0</v>
      </c>
      <c r="G75" s="93">
        <v>557.0</v>
      </c>
      <c r="H75" s="92"/>
      <c r="I75" s="92"/>
      <c r="J75" s="137">
        <v>8950.0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52">
        <v>2284.0</v>
      </c>
      <c r="G76" s="156"/>
      <c r="H76" s="145">
        <v>4891.0</v>
      </c>
      <c r="I76" s="92"/>
      <c r="J76" s="137">
        <v>8951.0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56">
        <v>128.0</v>
      </c>
      <c r="G77" s="93">
        <v>100.0</v>
      </c>
      <c r="H77" s="93">
        <v>28.0</v>
      </c>
      <c r="I77" s="92"/>
      <c r="J77" s="137">
        <v>8952.0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56">
        <v>81.0</v>
      </c>
      <c r="G78" s="93">
        <v>81.0</v>
      </c>
      <c r="H78" s="92"/>
      <c r="I78" s="92"/>
      <c r="J78" s="137">
        <v>8953.0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56">
        <v>3096.0</v>
      </c>
      <c r="G79" s="92"/>
      <c r="H79" s="93">
        <v>3096.0</v>
      </c>
      <c r="I79" s="92"/>
      <c r="J79" s="137">
        <v>8954.0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56">
        <v>248.0</v>
      </c>
      <c r="G80" s="93">
        <v>248.0</v>
      </c>
      <c r="H80" s="92"/>
      <c r="I80" s="92"/>
      <c r="J80" s="137">
        <v>8955.0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56">
        <v>750.0</v>
      </c>
      <c r="G81" s="92"/>
      <c r="H81" s="93">
        <v>750.0</v>
      </c>
      <c r="I81" s="92"/>
      <c r="J81" s="137">
        <v>8956.0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49">
        <v>1489.0</v>
      </c>
      <c r="G82" s="61"/>
      <c r="H82" s="61"/>
      <c r="I82" s="54">
        <v>1489.0</v>
      </c>
      <c r="J82" s="137">
        <v>8957.0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137">
        <v>8958.0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137">
        <v>8959.0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137">
        <v>8960.0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137">
        <v>8961.0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137">
        <v>8962.0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137">
        <v>8963.0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137">
        <v>8964.0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137">
        <v>8965.0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137">
        <v>8966.0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137">
        <v>8967.0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137">
        <v>8968.0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137">
        <v>8969.0</v>
      </c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137">
        <v>8970.0</v>
      </c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137">
        <v>8971.0</v>
      </c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33814</v>
      </c>
      <c r="G97" s="123">
        <f t="shared" si="4"/>
        <v>16152</v>
      </c>
      <c r="H97" s="123">
        <f t="shared" si="4"/>
        <v>16455</v>
      </c>
      <c r="I97" s="123">
        <f t="shared" si="4"/>
        <v>3814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32">
        <v>45966.0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23860.0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16455.0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23860.0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30079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17019</v>
      </c>
      <c r="D10" s="24"/>
      <c r="E10" s="43">
        <v>1.0</v>
      </c>
      <c r="F10" s="44">
        <v>343.0</v>
      </c>
      <c r="G10" s="45">
        <v>343.0</v>
      </c>
      <c r="H10" s="45"/>
      <c r="I10" s="45"/>
      <c r="J10" s="137">
        <v>8958.0</v>
      </c>
      <c r="K10" s="24"/>
      <c r="L10" s="47">
        <v>1145.0</v>
      </c>
      <c r="M10" s="47"/>
      <c r="N10" s="47">
        <v>8904.0</v>
      </c>
      <c r="O10" s="49"/>
      <c r="P10" s="85" t="s">
        <v>104</v>
      </c>
      <c r="Q10" s="51"/>
      <c r="R10" s="52">
        <v>17450.0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12921</v>
      </c>
      <c r="D11" s="24"/>
      <c r="E11" s="43">
        <v>2.0</v>
      </c>
      <c r="F11" s="56">
        <v>68.0</v>
      </c>
      <c r="G11" s="57">
        <v>68.0</v>
      </c>
      <c r="H11" s="58"/>
      <c r="I11" s="59"/>
      <c r="J11" s="137">
        <v>8959.0</v>
      </c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140</v>
      </c>
      <c r="D12" s="24"/>
      <c r="E12" s="43">
        <v>3.0</v>
      </c>
      <c r="F12" s="63">
        <v>117.0</v>
      </c>
      <c r="G12" s="64">
        <v>117.0</v>
      </c>
      <c r="H12" s="64"/>
      <c r="I12" s="65"/>
      <c r="J12" s="137">
        <v>8960.0</v>
      </c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1145</v>
      </c>
      <c r="D13" s="24"/>
      <c r="E13" s="43">
        <v>4.0</v>
      </c>
      <c r="F13" s="56">
        <v>186.0</v>
      </c>
      <c r="G13" s="64">
        <v>186.0</v>
      </c>
      <c r="H13" s="65"/>
      <c r="I13" s="65"/>
      <c r="J13" s="137">
        <v>8961.0</v>
      </c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>
        <v>163.0</v>
      </c>
      <c r="G14" s="64"/>
      <c r="H14" s="139">
        <v>163.0</v>
      </c>
      <c r="I14" s="65"/>
      <c r="J14" s="137">
        <v>8962.0</v>
      </c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>
        <v>446.0</v>
      </c>
      <c r="G15" s="64"/>
      <c r="H15" s="64">
        <v>446.0</v>
      </c>
      <c r="I15" s="65"/>
      <c r="J15" s="137">
        <v>8963.0</v>
      </c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17450</v>
      </c>
      <c r="D16" s="24"/>
      <c r="E16" s="43">
        <v>7.0</v>
      </c>
      <c r="F16" s="56">
        <v>35.0</v>
      </c>
      <c r="G16" s="64">
        <v>35.0</v>
      </c>
      <c r="H16" s="64"/>
      <c r="I16" s="65"/>
      <c r="J16" s="137">
        <v>8964.0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17450</v>
      </c>
      <c r="D17" s="24"/>
      <c r="E17" s="43">
        <v>8.0</v>
      </c>
      <c r="F17" s="56">
        <v>122.0</v>
      </c>
      <c r="G17" s="64">
        <v>122.0</v>
      </c>
      <c r="H17" s="64"/>
      <c r="I17" s="65"/>
      <c r="J17" s="137">
        <v>8965.0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56.0</v>
      </c>
      <c r="G18" s="64"/>
      <c r="H18" s="139">
        <v>56.0</v>
      </c>
      <c r="I18" s="65"/>
      <c r="J18" s="137">
        <v>8966.0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502.0</v>
      </c>
      <c r="G19" s="64"/>
      <c r="H19" s="139">
        <v>502.0</v>
      </c>
      <c r="I19" s="65"/>
      <c r="J19" s="137">
        <v>8967.0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22855</v>
      </c>
      <c r="D20" s="24"/>
      <c r="E20" s="43">
        <v>11.0</v>
      </c>
      <c r="F20" s="56">
        <v>179.0</v>
      </c>
      <c r="G20" s="64">
        <v>179.0</v>
      </c>
      <c r="H20" s="64"/>
      <c r="I20" s="65"/>
      <c r="J20" s="137">
        <v>8968.0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12921</v>
      </c>
      <c r="D21" s="24"/>
      <c r="E21" s="43">
        <v>12.0</v>
      </c>
      <c r="F21" s="56">
        <v>2889.0</v>
      </c>
      <c r="G21" s="64">
        <v>2889.0</v>
      </c>
      <c r="H21" s="64"/>
      <c r="I21" s="65"/>
      <c r="J21" s="137">
        <v>8969.0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24574</v>
      </c>
      <c r="D22" s="24"/>
      <c r="E22" s="43">
        <v>13.0</v>
      </c>
      <c r="F22" s="56">
        <v>1472.0</v>
      </c>
      <c r="G22" s="64">
        <v>1472.0</v>
      </c>
      <c r="H22" s="64"/>
      <c r="I22" s="65"/>
      <c r="J22" s="137">
        <v>8970.0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41">
        <v>16880.0</v>
      </c>
      <c r="D23" s="24"/>
      <c r="E23" s="43">
        <v>14.0</v>
      </c>
      <c r="F23" s="56">
        <v>178.0</v>
      </c>
      <c r="G23" s="64">
        <v>178.0</v>
      </c>
      <c r="H23" s="65"/>
      <c r="I23" s="65"/>
      <c r="J23" s="137">
        <v>8971.0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7694</v>
      </c>
      <c r="D24" s="24"/>
      <c r="E24" s="43">
        <v>15.0</v>
      </c>
      <c r="F24" s="56">
        <v>62.0</v>
      </c>
      <c r="G24" s="64">
        <v>62.0</v>
      </c>
      <c r="H24" s="65"/>
      <c r="I24" s="65"/>
      <c r="J24" s="137">
        <v>8972.0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200.0</v>
      </c>
      <c r="G25" s="64">
        <v>200.0</v>
      </c>
      <c r="H25" s="65"/>
      <c r="I25" s="65"/>
      <c r="J25" s="137">
        <v>8973.0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30079</v>
      </c>
      <c r="D26" s="24"/>
      <c r="E26" s="43">
        <v>17.0</v>
      </c>
      <c r="F26" s="56">
        <v>167.0</v>
      </c>
      <c r="G26" s="64">
        <v>167.0</v>
      </c>
      <c r="H26" s="65"/>
      <c r="I26" s="65"/>
      <c r="J26" s="137">
        <v>8974.0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75.0</v>
      </c>
      <c r="D27" s="24"/>
      <c r="E27" s="43">
        <v>18.0</v>
      </c>
      <c r="F27" s="56">
        <v>1376.0</v>
      </c>
      <c r="G27" s="64"/>
      <c r="H27" s="139">
        <v>1376.0</v>
      </c>
      <c r="I27" s="65"/>
      <c r="J27" s="137">
        <v>8975.0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401.0533333</v>
      </c>
      <c r="D28" s="24"/>
      <c r="E28" s="43">
        <v>19.0</v>
      </c>
      <c r="F28" s="56">
        <v>443.0</v>
      </c>
      <c r="G28" s="64">
        <v>443.0</v>
      </c>
      <c r="H28" s="65"/>
      <c r="I28" s="65"/>
      <c r="J28" s="137">
        <v>8976.0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113.0</v>
      </c>
      <c r="G29" s="64">
        <v>113.0</v>
      </c>
      <c r="H29" s="65"/>
      <c r="I29" s="65"/>
      <c r="J29" s="137">
        <v>8977.0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289.0</v>
      </c>
      <c r="G30" s="93">
        <v>289.0</v>
      </c>
      <c r="H30" s="92"/>
      <c r="I30" s="93"/>
      <c r="J30" s="137">
        <v>8978.0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>
        <f>S33</f>
        <v>16455</v>
      </c>
      <c r="D31" s="24"/>
      <c r="E31" s="43">
        <v>22.0</v>
      </c>
      <c r="F31" s="56">
        <v>76.0</v>
      </c>
      <c r="G31" s="93">
        <v>76.0</v>
      </c>
      <c r="H31" s="92"/>
      <c r="I31" s="92"/>
      <c r="J31" s="137">
        <v>8979.0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17450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>
        <v>988.0</v>
      </c>
      <c r="G32" s="93">
        <v>988.0</v>
      </c>
      <c r="H32" s="92"/>
      <c r="I32" s="92"/>
      <c r="J32" s="137">
        <v>8980.0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148.0</v>
      </c>
      <c r="G33" s="93"/>
      <c r="H33" s="143">
        <v>148.0</v>
      </c>
      <c r="I33" s="92"/>
      <c r="J33" s="137">
        <v>8981.0</v>
      </c>
      <c r="K33" s="24"/>
      <c r="L33" s="104">
        <f t="shared" ref="L33:M33" si="2">sum(L10:L32)</f>
        <v>1145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>
        <v>16455.0</v>
      </c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184.0</v>
      </c>
      <c r="G34" s="93">
        <v>184.0</v>
      </c>
      <c r="H34" s="92"/>
      <c r="I34" s="92"/>
      <c r="J34" s="137">
        <v>8982.0</v>
      </c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1504.0</v>
      </c>
      <c r="G35" s="92"/>
      <c r="H35" s="93">
        <v>1504.0</v>
      </c>
      <c r="I35" s="92"/>
      <c r="J35" s="146" t="s">
        <v>105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236.0</v>
      </c>
      <c r="G36" s="93">
        <v>236.0</v>
      </c>
      <c r="H36" s="93"/>
      <c r="I36" s="92"/>
      <c r="J36" s="137">
        <v>8984.0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273.0</v>
      </c>
      <c r="G37" s="93">
        <v>273.0</v>
      </c>
      <c r="H37" s="92"/>
      <c r="I37" s="92"/>
      <c r="J37" s="137">
        <v>8985.0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763.0</v>
      </c>
      <c r="G38" s="93">
        <v>763.0</v>
      </c>
      <c r="H38" s="92"/>
      <c r="I38" s="92"/>
      <c r="J38" s="137">
        <v>8986.0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383.0</v>
      </c>
      <c r="G39" s="93">
        <v>383.0</v>
      </c>
      <c r="H39" s="93"/>
      <c r="I39" s="92"/>
      <c r="J39" s="137">
        <v>8987.0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954.0</v>
      </c>
      <c r="G40" s="93">
        <v>954.0</v>
      </c>
      <c r="H40" s="93"/>
      <c r="I40" s="92"/>
      <c r="J40" s="137">
        <v>8988.0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40.0</v>
      </c>
      <c r="G41" s="93">
        <v>40.0</v>
      </c>
      <c r="H41" s="93"/>
      <c r="I41" s="92"/>
      <c r="J41" s="137">
        <v>8989.0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142.0</v>
      </c>
      <c r="G42" s="93">
        <v>142.0</v>
      </c>
      <c r="H42" s="93"/>
      <c r="I42" s="92"/>
      <c r="J42" s="137">
        <v>8990.0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176.0</v>
      </c>
      <c r="G43" s="93">
        <v>150.0</v>
      </c>
      <c r="H43" s="143">
        <v>26.0</v>
      </c>
      <c r="I43" s="92"/>
      <c r="J43" s="137">
        <v>8991.0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150.0</v>
      </c>
      <c r="G44" s="93">
        <v>150.0</v>
      </c>
      <c r="H44" s="93"/>
      <c r="I44" s="92"/>
      <c r="J44" s="137">
        <v>8992.0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261.0</v>
      </c>
      <c r="G45" s="93">
        <v>261.0</v>
      </c>
      <c r="H45" s="92"/>
      <c r="I45" s="92"/>
      <c r="J45" s="137">
        <v>8993.0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165.0</v>
      </c>
      <c r="G46" s="93">
        <v>165.0</v>
      </c>
      <c r="H46" s="92"/>
      <c r="I46" s="92"/>
      <c r="J46" s="137">
        <v>8994.0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750.0</v>
      </c>
      <c r="G47" s="93">
        <v>500.0</v>
      </c>
      <c r="H47" s="143">
        <v>250.0</v>
      </c>
      <c r="I47" s="92"/>
      <c r="J47" s="137">
        <v>8995.0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823.0</v>
      </c>
      <c r="G48" s="93">
        <v>823.0</v>
      </c>
      <c r="H48" s="92"/>
      <c r="I48" s="92"/>
      <c r="J48" s="137">
        <v>8996.0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102.0</v>
      </c>
      <c r="G49" s="93">
        <v>102.0</v>
      </c>
      <c r="H49" s="92"/>
      <c r="I49" s="92"/>
      <c r="J49" s="137">
        <v>8997.0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315.0</v>
      </c>
      <c r="G50" s="93">
        <v>315.0</v>
      </c>
      <c r="H50" s="93"/>
      <c r="I50" s="92"/>
      <c r="J50" s="137">
        <v>8998.0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219.0</v>
      </c>
      <c r="G51" s="93">
        <v>219.0</v>
      </c>
      <c r="H51" s="92"/>
      <c r="I51" s="92"/>
      <c r="J51" s="137">
        <v>8999.0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125.0</v>
      </c>
      <c r="G52" s="92"/>
      <c r="H52" s="143">
        <v>125.0</v>
      </c>
      <c r="I52" s="92"/>
      <c r="J52" s="137">
        <v>9000.0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25.0</v>
      </c>
      <c r="G53" s="93">
        <v>25.0</v>
      </c>
      <c r="H53" s="92"/>
      <c r="I53" s="92"/>
      <c r="J53" s="137">
        <v>9001.0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212.0</v>
      </c>
      <c r="G54" s="93">
        <v>212.0</v>
      </c>
      <c r="H54" s="92"/>
      <c r="I54" s="92"/>
      <c r="J54" s="137">
        <v>9002.0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67.0</v>
      </c>
      <c r="G55" s="93">
        <v>67.0</v>
      </c>
      <c r="H55" s="92"/>
      <c r="I55" s="92"/>
      <c r="J55" s="137">
        <v>9003.0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840.0</v>
      </c>
      <c r="G56" s="93">
        <v>143.0</v>
      </c>
      <c r="H56" s="143">
        <v>697.0</v>
      </c>
      <c r="I56" s="92"/>
      <c r="J56" s="137">
        <v>9002.0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100.0</v>
      </c>
      <c r="G57" s="92"/>
      <c r="H57" s="143">
        <v>100.0</v>
      </c>
      <c r="I57" s="92"/>
      <c r="J57" s="137">
        <v>9005.0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261.0</v>
      </c>
      <c r="G58" s="92"/>
      <c r="H58" s="143">
        <v>261.0</v>
      </c>
      <c r="I58" s="92"/>
      <c r="J58" s="137">
        <v>9006.0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569.0</v>
      </c>
      <c r="G59" s="92"/>
      <c r="H59" s="143">
        <v>569.0</v>
      </c>
      <c r="I59" s="92"/>
      <c r="J59" s="137">
        <v>9007.0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1695.0</v>
      </c>
      <c r="G60" s="92"/>
      <c r="H60" s="143">
        <v>1695.0</v>
      </c>
      <c r="I60" s="92"/>
      <c r="J60" s="137">
        <v>9008.0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85.0</v>
      </c>
      <c r="G61" s="93">
        <v>85.0</v>
      </c>
      <c r="H61" s="92"/>
      <c r="I61" s="92"/>
      <c r="J61" s="137">
        <v>9009.0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199.0</v>
      </c>
      <c r="G62" s="92"/>
      <c r="H62" s="143">
        <v>199.0</v>
      </c>
      <c r="I62" s="92"/>
      <c r="J62" s="137">
        <v>9010.0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122.0</v>
      </c>
      <c r="G63" s="92"/>
      <c r="H63" s="143">
        <v>122.0</v>
      </c>
      <c r="I63" s="92"/>
      <c r="J63" s="137">
        <v>9011.0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145.0</v>
      </c>
      <c r="G64" s="92"/>
      <c r="H64" s="143">
        <v>145.0</v>
      </c>
      <c r="I64" s="92"/>
      <c r="J64" s="137">
        <v>9012.0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97.0</v>
      </c>
      <c r="G65" s="93">
        <v>97.0</v>
      </c>
      <c r="H65" s="92"/>
      <c r="I65" s="92"/>
      <c r="J65" s="137">
        <v>9013.0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760.0</v>
      </c>
      <c r="G66" s="92"/>
      <c r="H66" s="143">
        <v>760.0</v>
      </c>
      <c r="I66" s="92"/>
      <c r="J66" s="137">
        <v>9014.0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105.0</v>
      </c>
      <c r="G67" s="93">
        <v>105.0</v>
      </c>
      <c r="H67" s="92"/>
      <c r="I67" s="92"/>
      <c r="J67" s="137">
        <v>9015.0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121.0</v>
      </c>
      <c r="G68" s="93">
        <v>121.0</v>
      </c>
      <c r="H68" s="92"/>
      <c r="I68" s="92"/>
      <c r="J68" s="137">
        <v>9016.0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90.0</v>
      </c>
      <c r="G69" s="93">
        <v>90.0</v>
      </c>
      <c r="H69" s="92"/>
      <c r="I69" s="92"/>
      <c r="J69" s="137">
        <v>9017.0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11.0</v>
      </c>
      <c r="G70" s="93">
        <v>11.0</v>
      </c>
      <c r="H70" s="92"/>
      <c r="I70" s="92"/>
      <c r="J70" s="137">
        <v>9018.0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56">
        <v>512.0</v>
      </c>
      <c r="G71" s="92"/>
      <c r="H71" s="143">
        <v>512.0</v>
      </c>
      <c r="I71" s="92"/>
      <c r="J71" s="137">
        <v>9019.0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56">
        <v>215.0</v>
      </c>
      <c r="G72" s="92"/>
      <c r="H72" s="143">
        <v>215.0</v>
      </c>
      <c r="I72" s="92"/>
      <c r="J72" s="137">
        <v>9020.0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56">
        <v>21.0</v>
      </c>
      <c r="G73" s="93">
        <v>21.0</v>
      </c>
      <c r="H73" s="92"/>
      <c r="I73" s="92"/>
      <c r="J73" s="137">
        <v>9021.0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56">
        <v>348.0</v>
      </c>
      <c r="G74" s="93">
        <v>348.0</v>
      </c>
      <c r="H74" s="92"/>
      <c r="I74" s="92"/>
      <c r="J74" s="137">
        <v>9022.0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56">
        <v>2376.0</v>
      </c>
      <c r="G75" s="92"/>
      <c r="H75" s="143">
        <v>2376.0</v>
      </c>
      <c r="I75" s="92"/>
      <c r="J75" s="137">
        <v>9023.0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56">
        <v>43.0</v>
      </c>
      <c r="G76" s="93">
        <v>43.0</v>
      </c>
      <c r="H76" s="92"/>
      <c r="I76" s="92"/>
      <c r="J76" s="137">
        <v>9024.0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56">
        <v>338.0</v>
      </c>
      <c r="G77" s="93">
        <v>338.0</v>
      </c>
      <c r="H77" s="92"/>
      <c r="I77" s="92"/>
      <c r="J77" s="137">
        <v>9025.0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56">
        <v>442.0</v>
      </c>
      <c r="G78" s="93">
        <v>410.0</v>
      </c>
      <c r="H78" s="143">
        <v>32.0</v>
      </c>
      <c r="I78" s="92"/>
      <c r="J78" s="137">
        <v>9026.0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56">
        <v>125.0</v>
      </c>
      <c r="G79" s="92"/>
      <c r="H79" s="93">
        <v>125.0</v>
      </c>
      <c r="I79" s="92"/>
      <c r="J79" s="137">
        <v>9027.0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56">
        <v>165.0</v>
      </c>
      <c r="G80" s="92"/>
      <c r="H80" s="93">
        <v>165.0</v>
      </c>
      <c r="I80" s="92"/>
      <c r="J80" s="137">
        <v>9028.0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56">
        <v>1143.0</v>
      </c>
      <c r="G81" s="93">
        <v>791.0</v>
      </c>
      <c r="H81" s="93">
        <v>352.0</v>
      </c>
      <c r="I81" s="92"/>
      <c r="J81" s="137">
        <v>9029.0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49">
        <v>331.0</v>
      </c>
      <c r="G82" s="54">
        <v>331.0</v>
      </c>
      <c r="H82" s="61"/>
      <c r="I82" s="61"/>
      <c r="J82" s="137">
        <v>9030.0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49">
        <v>193.0</v>
      </c>
      <c r="G83" s="54">
        <v>193.0</v>
      </c>
      <c r="H83" s="61"/>
      <c r="I83" s="61"/>
      <c r="J83" s="137">
        <v>9031.0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49">
        <v>140.0</v>
      </c>
      <c r="G84" s="61"/>
      <c r="H84" s="61"/>
      <c r="I84" s="54">
        <v>140.0</v>
      </c>
      <c r="J84" s="137" t="s">
        <v>106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>
        <f>1</f>
        <v>1</v>
      </c>
      <c r="H85" s="61"/>
      <c r="I85" s="61"/>
      <c r="J85" s="137">
        <v>9033.0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137">
        <v>9034.0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137">
        <v>9035.0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30079</v>
      </c>
      <c r="G97" s="123">
        <f t="shared" si="4"/>
        <v>17019</v>
      </c>
      <c r="H97" s="123">
        <f t="shared" si="4"/>
        <v>12921</v>
      </c>
      <c r="I97" s="123">
        <f t="shared" si="4"/>
        <v>140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32">
        <v>45967.0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24574.0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12921.0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22855.0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30990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18555</v>
      </c>
      <c r="D10" s="24"/>
      <c r="E10" s="43">
        <v>1.0</v>
      </c>
      <c r="F10" s="44">
        <v>569.0</v>
      </c>
      <c r="G10" s="45"/>
      <c r="H10" s="133">
        <v>569.0</v>
      </c>
      <c r="I10" s="45"/>
      <c r="J10" s="137">
        <v>9033.0</v>
      </c>
      <c r="K10" s="24"/>
      <c r="L10" s="47">
        <v>147.0</v>
      </c>
      <c r="M10" s="47"/>
      <c r="N10" s="47">
        <v>8898.0</v>
      </c>
      <c r="O10" s="49"/>
      <c r="P10" s="85" t="s">
        <v>85</v>
      </c>
      <c r="Q10" s="51"/>
      <c r="R10" s="52">
        <v>150.0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10720</v>
      </c>
      <c r="D11" s="24"/>
      <c r="E11" s="43">
        <v>2.0</v>
      </c>
      <c r="F11" s="56">
        <v>57.0</v>
      </c>
      <c r="G11" s="57">
        <v>21.0</v>
      </c>
      <c r="H11" s="58">
        <v>36.0</v>
      </c>
      <c r="I11" s="59"/>
      <c r="J11" s="137">
        <v>9034.0</v>
      </c>
      <c r="K11" s="24"/>
      <c r="L11" s="47">
        <v>246.0</v>
      </c>
      <c r="M11" s="48"/>
      <c r="N11" s="47">
        <v>8845.0</v>
      </c>
      <c r="O11" s="49"/>
      <c r="P11" s="72" t="s">
        <v>107</v>
      </c>
      <c r="Q11" s="51"/>
      <c r="R11" s="52">
        <v>12500.0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1715</v>
      </c>
      <c r="D12" s="24"/>
      <c r="E12" s="43">
        <v>3.0</v>
      </c>
      <c r="F12" s="63">
        <v>474.0</v>
      </c>
      <c r="G12" s="64">
        <v>474.0</v>
      </c>
      <c r="H12" s="64"/>
      <c r="I12" s="65"/>
      <c r="J12" s="137">
        <v>9035.0</v>
      </c>
      <c r="K12" s="24"/>
      <c r="L12" s="47">
        <v>529.0</v>
      </c>
      <c r="M12" s="48"/>
      <c r="N12" s="47">
        <v>8681.0</v>
      </c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922</v>
      </c>
      <c r="D13" s="24"/>
      <c r="E13" s="43">
        <v>4.0</v>
      </c>
      <c r="F13" s="56">
        <v>18.0</v>
      </c>
      <c r="G13" s="64">
        <v>18.0</v>
      </c>
      <c r="H13" s="65"/>
      <c r="I13" s="65"/>
      <c r="J13" s="137">
        <v>9036.0</v>
      </c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>
        <v>904.0</v>
      </c>
      <c r="G14" s="64">
        <v>904.0</v>
      </c>
      <c r="H14" s="65"/>
      <c r="I14" s="65"/>
      <c r="J14" s="137">
        <v>9037.0</v>
      </c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>
        <v>2594.0</v>
      </c>
      <c r="G15" s="64">
        <v>2594.0</v>
      </c>
      <c r="H15" s="64"/>
      <c r="I15" s="65"/>
      <c r="J15" s="137">
        <v>9038.0</v>
      </c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12650</v>
      </c>
      <c r="D16" s="24"/>
      <c r="E16" s="43">
        <v>7.0</v>
      </c>
      <c r="F16" s="56">
        <v>681.0</v>
      </c>
      <c r="G16" s="64">
        <v>681.0</v>
      </c>
      <c r="H16" s="64"/>
      <c r="I16" s="65"/>
      <c r="J16" s="137">
        <v>9039.0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12650</v>
      </c>
      <c r="D17" s="24"/>
      <c r="E17" s="43">
        <v>8.0</v>
      </c>
      <c r="F17" s="56">
        <v>538.0</v>
      </c>
      <c r="G17" s="65"/>
      <c r="H17" s="139">
        <v>538.0</v>
      </c>
      <c r="I17" s="65"/>
      <c r="J17" s="137">
        <v>9040.0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2577.0</v>
      </c>
      <c r="G18" s="64">
        <v>2577.0</v>
      </c>
      <c r="H18" s="64"/>
      <c r="I18" s="65"/>
      <c r="J18" s="137">
        <v>9041.0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500.0</v>
      </c>
      <c r="G19" s="64">
        <v>500.0</v>
      </c>
      <c r="H19" s="65"/>
      <c r="I19" s="65"/>
      <c r="J19" s="137">
        <v>9042.0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23648</v>
      </c>
      <c r="D20" s="24"/>
      <c r="E20" s="43">
        <v>11.0</v>
      </c>
      <c r="F20" s="56">
        <v>28.0</v>
      </c>
      <c r="G20" s="65"/>
      <c r="H20" s="139">
        <v>28.0</v>
      </c>
      <c r="I20" s="65"/>
      <c r="J20" s="137">
        <v>9043.0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10720</v>
      </c>
      <c r="D21" s="24"/>
      <c r="E21" s="43">
        <v>12.0</v>
      </c>
      <c r="F21" s="56">
        <v>80.0</v>
      </c>
      <c r="G21" s="65"/>
      <c r="H21" s="139">
        <v>80.0</v>
      </c>
      <c r="I21" s="65"/>
      <c r="J21" s="137">
        <v>9044.0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27901</v>
      </c>
      <c r="D22" s="24"/>
      <c r="E22" s="43">
        <v>13.0</v>
      </c>
      <c r="F22" s="56">
        <v>280.0</v>
      </c>
      <c r="G22" s="64"/>
      <c r="H22" s="64">
        <v>280.0</v>
      </c>
      <c r="I22" s="65"/>
      <c r="J22" s="137">
        <v>9045.0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41">
        <v>20207.0</v>
      </c>
      <c r="D23" s="24"/>
      <c r="E23" s="43">
        <v>14.0</v>
      </c>
      <c r="F23" s="56">
        <v>121.0</v>
      </c>
      <c r="G23" s="65"/>
      <c r="H23" s="64">
        <v>121.0</v>
      </c>
      <c r="I23" s="65"/>
      <c r="J23" s="137">
        <v>9046.0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7694</v>
      </c>
      <c r="D24" s="24"/>
      <c r="E24" s="43">
        <v>15.0</v>
      </c>
      <c r="F24" s="56">
        <v>762.0</v>
      </c>
      <c r="G24" s="64">
        <v>762.0</v>
      </c>
      <c r="H24" s="65"/>
      <c r="I24" s="65"/>
      <c r="J24" s="137">
        <v>9047.0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114.0</v>
      </c>
      <c r="G25" s="64">
        <v>114.0</v>
      </c>
      <c r="H25" s="65"/>
      <c r="I25" s="65"/>
      <c r="J25" s="137">
        <v>9048.0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30990</v>
      </c>
      <c r="D26" s="24"/>
      <c r="E26" s="43">
        <v>17.0</v>
      </c>
      <c r="F26" s="56">
        <v>139.0</v>
      </c>
      <c r="G26" s="64">
        <v>139.0</v>
      </c>
      <c r="H26" s="65"/>
      <c r="I26" s="65"/>
      <c r="J26" s="137">
        <v>9049.0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68.0</v>
      </c>
      <c r="D27" s="24"/>
      <c r="E27" s="43">
        <v>18.0</v>
      </c>
      <c r="F27" s="56">
        <v>189.0</v>
      </c>
      <c r="G27" s="64">
        <v>189.0</v>
      </c>
      <c r="H27" s="65"/>
      <c r="I27" s="65"/>
      <c r="J27" s="137">
        <v>9050.0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455.7352941</v>
      </c>
      <c r="D28" s="24"/>
      <c r="E28" s="43">
        <v>19.0</v>
      </c>
      <c r="F28" s="56">
        <v>47.0</v>
      </c>
      <c r="G28" s="64">
        <v>47.0</v>
      </c>
      <c r="H28" s="65"/>
      <c r="I28" s="65"/>
      <c r="J28" s="137">
        <v>9051.0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43.0</v>
      </c>
      <c r="G29" s="64">
        <v>43.0</v>
      </c>
      <c r="H29" s="65"/>
      <c r="I29" s="65"/>
      <c r="J29" s="137">
        <v>9052.0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303.0</v>
      </c>
      <c r="G30" s="93">
        <v>303.0</v>
      </c>
      <c r="H30" s="92"/>
      <c r="I30" s="93"/>
      <c r="J30" s="137">
        <v>9053.0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>
        <f>S33</f>
        <v>12921</v>
      </c>
      <c r="D31" s="24"/>
      <c r="E31" s="43">
        <v>22.0</v>
      </c>
      <c r="F31" s="56">
        <v>543.0</v>
      </c>
      <c r="G31" s="93">
        <v>408.0</v>
      </c>
      <c r="H31" s="93">
        <v>135.0</v>
      </c>
      <c r="I31" s="92"/>
      <c r="J31" s="137">
        <v>9054.0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12650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>
        <f>R34</f>
        <v>3500</v>
      </c>
      <c r="D32" s="24"/>
      <c r="E32" s="43">
        <v>23.0</v>
      </c>
      <c r="F32" s="56">
        <v>442.0</v>
      </c>
      <c r="G32" s="93">
        <v>442.0</v>
      </c>
      <c r="H32" s="92"/>
      <c r="I32" s="92"/>
      <c r="J32" s="137">
        <v>9055.0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347.0</v>
      </c>
      <c r="G33" s="93">
        <v>347.0</v>
      </c>
      <c r="H33" s="92"/>
      <c r="I33" s="92"/>
      <c r="J33" s="137">
        <v>9056.0</v>
      </c>
      <c r="K33" s="24"/>
      <c r="L33" s="104">
        <f t="shared" ref="L33:M33" si="2">sum(L10:L32)</f>
        <v>922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>
        <v>12921.0</v>
      </c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404.0</v>
      </c>
      <c r="G34" s="93">
        <v>400.0</v>
      </c>
      <c r="H34" s="93">
        <v>4.0</v>
      </c>
      <c r="I34" s="92"/>
      <c r="J34" s="137">
        <v>9057.0</v>
      </c>
      <c r="K34" s="24"/>
      <c r="L34" s="106"/>
      <c r="M34" s="106"/>
      <c r="N34" s="106"/>
      <c r="O34" s="106"/>
      <c r="P34" s="85" t="s">
        <v>40</v>
      </c>
      <c r="Q34" s="107"/>
      <c r="R34" s="144">
        <v>3500.0</v>
      </c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404.0</v>
      </c>
      <c r="G35" s="93">
        <v>404.0</v>
      </c>
      <c r="H35" s="93"/>
      <c r="I35" s="92"/>
      <c r="J35" s="137">
        <v>9058.0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1199.0</v>
      </c>
      <c r="G36" s="92"/>
      <c r="H36" s="93">
        <v>1199.0</v>
      </c>
      <c r="I36" s="92"/>
      <c r="J36" s="137">
        <v>9059.0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149.0</v>
      </c>
      <c r="G37" s="93"/>
      <c r="H37" s="93">
        <v>149.0</v>
      </c>
      <c r="I37" s="92"/>
      <c r="J37" s="137">
        <v>9060.0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284.0</v>
      </c>
      <c r="G38" s="93">
        <v>284.0</v>
      </c>
      <c r="H38" s="92"/>
      <c r="I38" s="92"/>
      <c r="J38" s="137">
        <v>9061.0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2353.0</v>
      </c>
      <c r="G39" s="93">
        <v>2353.0</v>
      </c>
      <c r="H39" s="93"/>
      <c r="I39" s="92"/>
      <c r="J39" s="137">
        <v>9062.0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1155.0</v>
      </c>
      <c r="G40" s="93"/>
      <c r="H40" s="93"/>
      <c r="I40" s="93">
        <v>1155.0</v>
      </c>
      <c r="J40" s="137" t="s">
        <v>108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214.0</v>
      </c>
      <c r="G41" s="92"/>
      <c r="H41" s="143">
        <v>214.0</v>
      </c>
      <c r="I41" s="92"/>
      <c r="J41" s="137">
        <v>9064.0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71.0</v>
      </c>
      <c r="G42" s="93"/>
      <c r="H42" s="93"/>
      <c r="I42" s="93">
        <v>71.0</v>
      </c>
      <c r="J42" s="137">
        <v>9065.0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148.0</v>
      </c>
      <c r="G43" s="93">
        <v>148.0</v>
      </c>
      <c r="H43" s="92"/>
      <c r="I43" s="92"/>
      <c r="J43" s="137">
        <v>9066.0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70.0</v>
      </c>
      <c r="G44" s="92"/>
      <c r="H44" s="93">
        <v>70.0</v>
      </c>
      <c r="I44" s="92"/>
      <c r="J44" s="137">
        <v>9067.0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2.0</v>
      </c>
      <c r="G45" s="93"/>
      <c r="H45" s="93">
        <v>2.0</v>
      </c>
      <c r="I45" s="92"/>
      <c r="J45" s="137">
        <v>9068.0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1303.0</v>
      </c>
      <c r="G46" s="93"/>
      <c r="H46" s="93">
        <v>1303.0</v>
      </c>
      <c r="I46" s="92"/>
      <c r="J46" s="137">
        <v>9069.0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310.0</v>
      </c>
      <c r="G47" s="93">
        <v>310.0</v>
      </c>
      <c r="H47" s="93"/>
      <c r="I47" s="92"/>
      <c r="J47" s="137">
        <v>9070.0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75.0</v>
      </c>
      <c r="G48" s="93">
        <v>75.0</v>
      </c>
      <c r="H48" s="92"/>
      <c r="I48" s="92"/>
      <c r="J48" s="137">
        <v>9071.0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438.0</v>
      </c>
      <c r="G49" s="93"/>
      <c r="H49" s="93">
        <v>438.0</v>
      </c>
      <c r="I49" s="92"/>
      <c r="J49" s="137">
        <v>9072.0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281.0</v>
      </c>
      <c r="G50" s="93">
        <v>281.0</v>
      </c>
      <c r="H50" s="93"/>
      <c r="I50" s="92"/>
      <c r="J50" s="137">
        <v>9073.0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474.0</v>
      </c>
      <c r="G51" s="92"/>
      <c r="H51" s="93">
        <v>474.0</v>
      </c>
      <c r="I51" s="92"/>
      <c r="J51" s="137">
        <v>9074.0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104.0</v>
      </c>
      <c r="G52" s="92"/>
      <c r="H52" s="93">
        <v>104.0</v>
      </c>
      <c r="I52" s="92"/>
      <c r="J52" s="137">
        <v>9075.0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208.0</v>
      </c>
      <c r="G53" s="92"/>
      <c r="H53" s="93">
        <v>208.0</v>
      </c>
      <c r="I53" s="92"/>
      <c r="J53" s="137">
        <v>9076.0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673.0</v>
      </c>
      <c r="G54" s="93">
        <v>673.0</v>
      </c>
      <c r="H54" s="92"/>
      <c r="I54" s="92"/>
      <c r="J54" s="137">
        <v>9077.0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860.0</v>
      </c>
      <c r="G55" s="92"/>
      <c r="H55" s="93">
        <v>860.0</v>
      </c>
      <c r="I55" s="92"/>
      <c r="J55" s="137">
        <v>9078.0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467.0</v>
      </c>
      <c r="G56" s="93">
        <v>7.0</v>
      </c>
      <c r="H56" s="93">
        <v>460.0</v>
      </c>
      <c r="I56" s="92"/>
      <c r="J56" s="137">
        <v>9079.0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269.0</v>
      </c>
      <c r="G57" s="92"/>
      <c r="H57" s="93">
        <v>269.0</v>
      </c>
      <c r="I57" s="92"/>
      <c r="J57" s="137">
        <v>9080.0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345.0</v>
      </c>
      <c r="G58" s="93">
        <v>345.0</v>
      </c>
      <c r="H58" s="92"/>
      <c r="I58" s="92"/>
      <c r="J58" s="137">
        <v>9081.0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332.0</v>
      </c>
      <c r="G59" s="92"/>
      <c r="H59" s="93">
        <v>332.0</v>
      </c>
      <c r="I59" s="92"/>
      <c r="J59" s="137">
        <v>9082.0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40.0</v>
      </c>
      <c r="G60" s="92"/>
      <c r="H60" s="93">
        <v>40.0</v>
      </c>
      <c r="I60" s="92"/>
      <c r="J60" s="137">
        <v>9083.0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668.0</v>
      </c>
      <c r="G61" s="93">
        <v>668.0</v>
      </c>
      <c r="H61" s="92"/>
      <c r="I61" s="92"/>
      <c r="J61" s="137">
        <v>9084.0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138.0</v>
      </c>
      <c r="G62" s="93">
        <v>102.0</v>
      </c>
      <c r="H62" s="93">
        <v>36.0</v>
      </c>
      <c r="I62" s="92"/>
      <c r="J62" s="137">
        <v>9085.0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197.0</v>
      </c>
      <c r="G63" s="93">
        <v>197.0</v>
      </c>
      <c r="H63" s="92"/>
      <c r="I63" s="92"/>
      <c r="J63" s="137">
        <v>9086.0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295.0</v>
      </c>
      <c r="G64" s="93">
        <v>295.0</v>
      </c>
      <c r="H64" s="92"/>
      <c r="I64" s="92"/>
      <c r="J64" s="137">
        <v>9087.0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142.0</v>
      </c>
      <c r="G65" s="93">
        <v>142.0</v>
      </c>
      <c r="H65" s="92"/>
      <c r="I65" s="92"/>
      <c r="J65" s="137">
        <v>9088.0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65.0</v>
      </c>
      <c r="G66" s="93">
        <v>65.0</v>
      </c>
      <c r="H66" s="92"/>
      <c r="I66" s="92"/>
      <c r="J66" s="137">
        <v>9089.0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238.0</v>
      </c>
      <c r="G67" s="92"/>
      <c r="H67" s="93">
        <v>238.0</v>
      </c>
      <c r="I67" s="92"/>
      <c r="J67" s="137">
        <v>9090.0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208.0</v>
      </c>
      <c r="G68" s="93">
        <v>208.0</v>
      </c>
      <c r="H68" s="92"/>
      <c r="I68" s="92"/>
      <c r="J68" s="137">
        <v>9091.0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550.0</v>
      </c>
      <c r="G69" s="92"/>
      <c r="H69" s="93">
        <v>550.0</v>
      </c>
      <c r="I69" s="92"/>
      <c r="J69" s="137">
        <v>9092.0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675.0</v>
      </c>
      <c r="G70" s="92"/>
      <c r="H70" s="93">
        <v>675.0</v>
      </c>
      <c r="I70" s="92"/>
      <c r="J70" s="137">
        <v>9093.0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56">
        <v>715.0</v>
      </c>
      <c r="G71" s="93">
        <v>200.0</v>
      </c>
      <c r="H71" s="93">
        <v>515.0</v>
      </c>
      <c r="I71" s="92"/>
      <c r="J71" s="137">
        <v>9094.0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56">
        <v>489.0</v>
      </c>
      <c r="G72" s="92"/>
      <c r="H72" s="92"/>
      <c r="I72" s="93">
        <v>489.0</v>
      </c>
      <c r="J72" s="137">
        <v>9095.0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56">
        <v>474.0</v>
      </c>
      <c r="G73" s="93">
        <v>470.0</v>
      </c>
      <c r="H73" s="93">
        <v>4.0</v>
      </c>
      <c r="I73" s="92"/>
      <c r="J73" s="137">
        <v>9096.0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56">
        <v>365.0</v>
      </c>
      <c r="G74" s="93">
        <v>365.0</v>
      </c>
      <c r="H74" s="92"/>
      <c r="I74" s="92"/>
      <c r="J74" s="137">
        <v>9097.0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56">
        <v>370.0</v>
      </c>
      <c r="G75" s="92"/>
      <c r="H75" s="93">
        <v>370.0</v>
      </c>
      <c r="I75" s="92"/>
      <c r="J75" s="137">
        <v>9098.0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56">
        <v>383.0</v>
      </c>
      <c r="G76" s="92"/>
      <c r="H76" s="93">
        <v>383.0</v>
      </c>
      <c r="I76" s="92"/>
      <c r="J76" s="137">
        <v>9099.0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56">
        <v>36.0</v>
      </c>
      <c r="G77" s="92"/>
      <c r="H77" s="93">
        <v>36.0</v>
      </c>
      <c r="I77" s="92"/>
      <c r="J77" s="137">
        <v>9100.0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137">
        <v>9101.0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137">
        <v>9102.0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137">
        <v>9103.0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137">
        <v>9104.0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137">
        <v>9105.0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137">
        <v>9106.0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137">
        <v>9107.0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137">
        <v>9108.0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137">
        <v>9109.0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137">
        <v>9110.0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137">
        <v>9111.0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137">
        <v>9112.0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137">
        <v>9113.0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137">
        <v>9114.0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137">
        <v>9115.0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137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137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137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30990</v>
      </c>
      <c r="G97" s="123">
        <f t="shared" si="4"/>
        <v>18555</v>
      </c>
      <c r="H97" s="123">
        <f t="shared" si="4"/>
        <v>10720</v>
      </c>
      <c r="I97" s="123">
        <f t="shared" si="4"/>
        <v>1715</v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37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37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32">
        <v>45968.0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27901.0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10720.0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23648.0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31079.76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17682.76</v>
      </c>
      <c r="D10" s="24"/>
      <c r="E10" s="43">
        <v>1.0</v>
      </c>
      <c r="F10" s="44">
        <v>192.0</v>
      </c>
      <c r="G10" s="45">
        <v>192.0</v>
      </c>
      <c r="H10" s="45"/>
      <c r="I10" s="45"/>
      <c r="J10" s="137">
        <v>9101.0</v>
      </c>
      <c r="K10" s="24"/>
      <c r="L10" s="47"/>
      <c r="M10" s="47">
        <v>72.0</v>
      </c>
      <c r="N10" s="47">
        <v>9065.0</v>
      </c>
      <c r="O10" s="49"/>
      <c r="P10" s="85" t="s">
        <v>109</v>
      </c>
      <c r="Q10" s="51"/>
      <c r="R10" s="52">
        <v>150.0</v>
      </c>
      <c r="S10" s="53"/>
      <c r="T10" s="54"/>
      <c r="U10" s="55"/>
      <c r="V10" s="24"/>
      <c r="W10" s="47">
        <v>1003.0</v>
      </c>
      <c r="X10" s="47"/>
      <c r="Y10" s="47">
        <v>129.0</v>
      </c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12552</v>
      </c>
      <c r="D11" s="24"/>
      <c r="E11" s="43">
        <v>2.0</v>
      </c>
      <c r="F11" s="56">
        <v>110.0</v>
      </c>
      <c r="G11" s="57">
        <v>110.0</v>
      </c>
      <c r="H11" s="58"/>
      <c r="I11" s="59"/>
      <c r="J11" s="137">
        <v>9102.0</v>
      </c>
      <c r="K11" s="24"/>
      <c r="L11" s="48"/>
      <c r="M11" s="48"/>
      <c r="N11" s="48"/>
      <c r="O11" s="49"/>
      <c r="P11" s="157" t="s">
        <v>110</v>
      </c>
      <c r="Q11" s="51"/>
      <c r="R11" s="158">
        <v>178.0</v>
      </c>
      <c r="S11" s="53"/>
      <c r="T11" s="61"/>
      <c r="U11" s="62"/>
      <c r="V11" s="24"/>
      <c r="W11" s="47">
        <v>642.24</v>
      </c>
      <c r="X11" s="47"/>
      <c r="Y11" s="47">
        <v>130.0</v>
      </c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845</v>
      </c>
      <c r="D12" s="24"/>
      <c r="E12" s="43">
        <v>3.0</v>
      </c>
      <c r="F12" s="63">
        <v>20.0</v>
      </c>
      <c r="G12" s="64">
        <v>20.0</v>
      </c>
      <c r="H12" s="64"/>
      <c r="I12" s="65"/>
      <c r="J12" s="137">
        <v>9103.0</v>
      </c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>
        <v>99.0</v>
      </c>
      <c r="G13" s="64">
        <v>99.0</v>
      </c>
      <c r="H13" s="65"/>
      <c r="I13" s="65"/>
      <c r="J13" s="137">
        <v>9104.0</v>
      </c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72</v>
      </c>
      <c r="D14" s="24"/>
      <c r="E14" s="43">
        <v>5.0</v>
      </c>
      <c r="F14" s="56">
        <v>119.0</v>
      </c>
      <c r="G14" s="64">
        <v>119.0</v>
      </c>
      <c r="H14" s="65"/>
      <c r="I14" s="65"/>
      <c r="J14" s="137">
        <v>9105.0</v>
      </c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1645.24</v>
      </c>
      <c r="D15" s="24"/>
      <c r="E15" s="43">
        <v>6.0</v>
      </c>
      <c r="F15" s="56">
        <v>189.0</v>
      </c>
      <c r="G15" s="64">
        <v>189.0</v>
      </c>
      <c r="H15" s="64"/>
      <c r="I15" s="65"/>
      <c r="J15" s="137">
        <v>9106.0</v>
      </c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328</v>
      </c>
      <c r="D16" s="24"/>
      <c r="E16" s="43">
        <v>7.0</v>
      </c>
      <c r="F16" s="56">
        <v>284.0</v>
      </c>
      <c r="G16" s="64">
        <v>284.0</v>
      </c>
      <c r="H16" s="64"/>
      <c r="I16" s="65"/>
      <c r="J16" s="137">
        <v>9107.0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328</v>
      </c>
      <c r="D17" s="24"/>
      <c r="E17" s="43">
        <v>8.0</v>
      </c>
      <c r="F17" s="56">
        <v>284.0</v>
      </c>
      <c r="G17" s="64">
        <v>284.0</v>
      </c>
      <c r="H17" s="64"/>
      <c r="I17" s="65"/>
      <c r="J17" s="137">
        <v>9108.0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372.0</v>
      </c>
      <c r="G18" s="64">
        <v>372.0</v>
      </c>
      <c r="H18" s="64"/>
      <c r="I18" s="65"/>
      <c r="J18" s="137">
        <v>9109.0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801.0</v>
      </c>
      <c r="G19" s="64">
        <v>651.0</v>
      </c>
      <c r="H19" s="139">
        <v>150.0</v>
      </c>
      <c r="I19" s="65"/>
      <c r="J19" s="137">
        <v>9110.0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24421</v>
      </c>
      <c r="D20" s="24"/>
      <c r="E20" s="43">
        <v>11.0</v>
      </c>
      <c r="F20" s="56">
        <v>164.0</v>
      </c>
      <c r="G20" s="64">
        <v>164.0</v>
      </c>
      <c r="H20" s="64"/>
      <c r="I20" s="65"/>
      <c r="J20" s="137">
        <v>9111.0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12624</v>
      </c>
      <c r="D21" s="24"/>
      <c r="E21" s="43">
        <v>12.0</v>
      </c>
      <c r="F21" s="56">
        <v>65.0</v>
      </c>
      <c r="G21" s="65"/>
      <c r="H21" s="139">
        <v>65.0</v>
      </c>
      <c r="I21" s="65"/>
      <c r="J21" s="137">
        <v>9112.0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41755.76</v>
      </c>
      <c r="D22" s="24"/>
      <c r="E22" s="43">
        <v>13.0</v>
      </c>
      <c r="F22" s="56">
        <v>60.0</v>
      </c>
      <c r="G22" s="64"/>
      <c r="H22" s="139">
        <v>60.0</v>
      </c>
      <c r="I22" s="65"/>
      <c r="J22" s="137">
        <v>9113.0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41">
        <v>41833.76</v>
      </c>
      <c r="D23" s="24"/>
      <c r="E23" s="43">
        <v>14.0</v>
      </c>
      <c r="F23" s="56">
        <v>121.0</v>
      </c>
      <c r="G23" s="64">
        <v>121.0</v>
      </c>
      <c r="H23" s="65"/>
      <c r="I23" s="65"/>
      <c r="J23" s="137">
        <v>9114.0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-78</v>
      </c>
      <c r="D24" s="24"/>
      <c r="E24" s="43">
        <v>15.0</v>
      </c>
      <c r="F24" s="56">
        <v>145.0</v>
      </c>
      <c r="G24" s="64"/>
      <c r="H24" s="139">
        <v>145.0</v>
      </c>
      <c r="I24" s="65"/>
      <c r="J24" s="137">
        <v>9115.0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138.0</v>
      </c>
      <c r="G25" s="64">
        <v>138.0</v>
      </c>
      <c r="H25" s="65"/>
      <c r="I25" s="65"/>
      <c r="J25" s="137">
        <v>9116.0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32725</v>
      </c>
      <c r="D26" s="24"/>
      <c r="E26" s="43">
        <v>17.0</v>
      </c>
      <c r="F26" s="56">
        <v>163.0</v>
      </c>
      <c r="G26" s="64">
        <v>163.0</v>
      </c>
      <c r="H26" s="65"/>
      <c r="I26" s="65"/>
      <c r="J26" s="137">
        <v>9117.0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85.0</v>
      </c>
      <c r="D27" s="24"/>
      <c r="E27" s="43">
        <v>18.0</v>
      </c>
      <c r="F27" s="56">
        <v>3964.0</v>
      </c>
      <c r="G27" s="64">
        <v>3964.0</v>
      </c>
      <c r="H27" s="65"/>
      <c r="I27" s="65"/>
      <c r="J27" s="137">
        <v>9118.0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385</v>
      </c>
      <c r="D28" s="24"/>
      <c r="E28" s="43">
        <v>19.0</v>
      </c>
      <c r="F28" s="56">
        <v>284.0</v>
      </c>
      <c r="G28" s="64">
        <v>284.0</v>
      </c>
      <c r="H28" s="65"/>
      <c r="I28" s="65"/>
      <c r="J28" s="137">
        <v>9119.0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247.0</v>
      </c>
      <c r="G29" s="64"/>
      <c r="H29" s="139">
        <v>247.0</v>
      </c>
      <c r="I29" s="65"/>
      <c r="J29" s="137">
        <v>9120.0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203.0</v>
      </c>
      <c r="G30" s="93">
        <v>203.0</v>
      </c>
      <c r="H30" s="92"/>
      <c r="I30" s="93"/>
      <c r="J30" s="137">
        <v>9121.0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>
        <f>S33</f>
        <v>10720</v>
      </c>
      <c r="D31" s="24"/>
      <c r="E31" s="43">
        <v>22.0</v>
      </c>
      <c r="F31" s="56">
        <v>89.0</v>
      </c>
      <c r="G31" s="93"/>
      <c r="H31" s="143">
        <v>89.0</v>
      </c>
      <c r="I31" s="92"/>
      <c r="J31" s="137">
        <v>9122.0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328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>
        <f>R34</f>
        <v>3500</v>
      </c>
      <c r="D32" s="24"/>
      <c r="E32" s="43">
        <v>23.0</v>
      </c>
      <c r="F32" s="56">
        <v>940.0</v>
      </c>
      <c r="G32" s="93"/>
      <c r="H32" s="143">
        <v>940.0</v>
      </c>
      <c r="I32" s="92"/>
      <c r="J32" s="137">
        <v>9123.0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48.0</v>
      </c>
      <c r="G33" s="93">
        <v>48.0</v>
      </c>
      <c r="H33" s="92"/>
      <c r="I33" s="92"/>
      <c r="J33" s="137">
        <v>9124.0</v>
      </c>
      <c r="K33" s="24"/>
      <c r="L33" s="104">
        <f t="shared" ref="L33:M33" si="2">sum(L10:L32)</f>
        <v>0</v>
      </c>
      <c r="M33" s="104">
        <f t="shared" si="2"/>
        <v>72</v>
      </c>
      <c r="N33" s="104"/>
      <c r="O33" s="105"/>
      <c r="P33" s="85" t="s">
        <v>38</v>
      </c>
      <c r="Q33" s="51"/>
      <c r="R33" s="100"/>
      <c r="S33" s="52">
        <v>10720.0</v>
      </c>
      <c r="T33" s="101"/>
      <c r="U33" s="55"/>
      <c r="V33" s="24"/>
      <c r="W33" s="104">
        <f t="shared" ref="W33:X33" si="3">sum(W10:W32)</f>
        <v>1645.24</v>
      </c>
      <c r="X33" s="104">
        <f t="shared" si="3"/>
        <v>0</v>
      </c>
      <c r="Y33" s="104">
        <f>W33+X33</f>
        <v>1645.24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663.0</v>
      </c>
      <c r="G34" s="93">
        <v>663.0</v>
      </c>
      <c r="H34" s="153"/>
      <c r="I34" s="92"/>
      <c r="J34" s="137">
        <v>9125.0</v>
      </c>
      <c r="K34" s="24"/>
      <c r="L34" s="106"/>
      <c r="M34" s="106"/>
      <c r="N34" s="106"/>
      <c r="O34" s="106"/>
      <c r="P34" s="85" t="s">
        <v>40</v>
      </c>
      <c r="Q34" s="107"/>
      <c r="R34" s="144">
        <v>3500.0</v>
      </c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637.0</v>
      </c>
      <c r="G35" s="92"/>
      <c r="H35" s="93">
        <v>637.0</v>
      </c>
      <c r="I35" s="92"/>
      <c r="J35" s="137">
        <v>9126.0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197.0</v>
      </c>
      <c r="G36" s="93">
        <v>197.0</v>
      </c>
      <c r="H36" s="93"/>
      <c r="I36" s="92"/>
      <c r="J36" s="137">
        <v>9127.0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100.0</v>
      </c>
      <c r="G37" s="93">
        <v>100.0</v>
      </c>
      <c r="H37" s="92"/>
      <c r="I37" s="92"/>
      <c r="J37" s="137">
        <v>9128.0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558.0</v>
      </c>
      <c r="G38" s="93">
        <v>558.0</v>
      </c>
      <c r="H38" s="92"/>
      <c r="I38" s="92"/>
      <c r="J38" s="137">
        <v>9129.0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184.0</v>
      </c>
      <c r="G39" s="93">
        <v>184.0</v>
      </c>
      <c r="H39" s="93"/>
      <c r="I39" s="92"/>
      <c r="J39" s="137">
        <v>9130.0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166.0</v>
      </c>
      <c r="G40" s="92"/>
      <c r="H40" s="143">
        <v>166.0</v>
      </c>
      <c r="I40" s="92"/>
      <c r="J40" s="137">
        <v>9131.0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96.0</v>
      </c>
      <c r="G41" s="93">
        <v>96.0</v>
      </c>
      <c r="H41" s="93"/>
      <c r="I41" s="92"/>
      <c r="J41" s="137">
        <v>9132.0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615.0</v>
      </c>
      <c r="G42" s="93">
        <v>615.0</v>
      </c>
      <c r="H42" s="93"/>
      <c r="I42" s="92"/>
      <c r="J42" s="137">
        <v>9133.0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208.0</v>
      </c>
      <c r="G43" s="93">
        <v>208.0</v>
      </c>
      <c r="H43" s="92"/>
      <c r="I43" s="92"/>
      <c r="J43" s="137">
        <v>9134.0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51.0</v>
      </c>
      <c r="G44" s="93">
        <v>51.0</v>
      </c>
      <c r="H44" s="93"/>
      <c r="I44" s="92"/>
      <c r="J44" s="137">
        <v>9135.0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65.0</v>
      </c>
      <c r="G45" s="93">
        <v>65.0</v>
      </c>
      <c r="H45" s="92"/>
      <c r="I45" s="92"/>
      <c r="J45" s="137">
        <v>9136.0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473.0</v>
      </c>
      <c r="G46" s="93">
        <v>463.0</v>
      </c>
      <c r="H46" s="143">
        <v>10.0</v>
      </c>
      <c r="I46" s="92"/>
      <c r="J46" s="137">
        <v>9137.0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213.0</v>
      </c>
      <c r="G47" s="93">
        <v>213.0</v>
      </c>
      <c r="H47" s="93"/>
      <c r="I47" s="92"/>
      <c r="J47" s="137">
        <v>9138.0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524.0</v>
      </c>
      <c r="G48" s="93">
        <v>524.0</v>
      </c>
      <c r="H48" s="92"/>
      <c r="I48" s="92"/>
      <c r="J48" s="137">
        <v>9139.0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330.0</v>
      </c>
      <c r="G49" s="93">
        <v>330.0</v>
      </c>
      <c r="H49" s="92"/>
      <c r="I49" s="92"/>
      <c r="J49" s="137">
        <v>9140.0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513.0</v>
      </c>
      <c r="G50" s="92"/>
      <c r="H50" s="143">
        <v>513.0</v>
      </c>
      <c r="I50" s="92"/>
      <c r="J50" s="137">
        <v>9141.0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332.0</v>
      </c>
      <c r="G51" s="93">
        <v>332.0</v>
      </c>
      <c r="H51" s="92"/>
      <c r="I51" s="92"/>
      <c r="J51" s="137">
        <v>9142.0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450.0</v>
      </c>
      <c r="G52" s="93">
        <v>450.0</v>
      </c>
      <c r="H52" s="92"/>
      <c r="I52" s="92"/>
      <c r="J52" s="137">
        <v>9143.0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192.0</v>
      </c>
      <c r="G53" s="93">
        <v>192.0</v>
      </c>
      <c r="H53" s="92"/>
      <c r="I53" s="92"/>
      <c r="J53" s="137">
        <v>9144.0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43.0</v>
      </c>
      <c r="G54" s="93">
        <v>43.0</v>
      </c>
      <c r="H54" s="92"/>
      <c r="I54" s="92"/>
      <c r="J54" s="137">
        <v>9145.0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125.0</v>
      </c>
      <c r="G55" s="92"/>
      <c r="H55" s="143">
        <v>125.0</v>
      </c>
      <c r="I55" s="92"/>
      <c r="J55" s="137">
        <v>9146.0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469.0</v>
      </c>
      <c r="G56" s="93">
        <v>469.0</v>
      </c>
      <c r="H56" s="92"/>
      <c r="I56" s="92"/>
      <c r="J56" s="137">
        <v>9147.0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130.0</v>
      </c>
      <c r="G57" s="92"/>
      <c r="H57" s="143">
        <v>130.0</v>
      </c>
      <c r="I57" s="92"/>
      <c r="J57" s="137">
        <v>9148.0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2459.0</v>
      </c>
      <c r="G58" s="92"/>
      <c r="H58" s="143">
        <v>2459.0</v>
      </c>
      <c r="I58" s="92"/>
      <c r="J58" s="137">
        <v>9149.0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384.0</v>
      </c>
      <c r="G59" s="92"/>
      <c r="H59" s="143">
        <v>384.0</v>
      </c>
      <c r="I59" s="92"/>
      <c r="J59" s="137">
        <v>9150.0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462.0</v>
      </c>
      <c r="G60" s="92"/>
      <c r="H60" s="143">
        <v>462.0</v>
      </c>
      <c r="I60" s="92"/>
      <c r="J60" s="137">
        <v>9151.0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93.0</v>
      </c>
      <c r="G61" s="93">
        <v>93.0</v>
      </c>
      <c r="H61" s="92"/>
      <c r="I61" s="92"/>
      <c r="J61" s="137">
        <v>9152.0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85.0</v>
      </c>
      <c r="G62" s="93">
        <v>85.0</v>
      </c>
      <c r="H62" s="92"/>
      <c r="I62" s="92"/>
      <c r="J62" s="137">
        <v>9153.0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322.0</v>
      </c>
      <c r="G63" s="92"/>
      <c r="H63" s="143">
        <v>322.0</v>
      </c>
      <c r="I63" s="92"/>
      <c r="J63" s="137">
        <v>9154.0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312.0</v>
      </c>
      <c r="G64" s="92"/>
      <c r="H64" s="143">
        <v>312.0</v>
      </c>
      <c r="I64" s="92"/>
      <c r="J64" s="137">
        <v>9155.0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1681.0</v>
      </c>
      <c r="G65" s="93">
        <v>285.0</v>
      </c>
      <c r="H65" s="145">
        <v>1396.0</v>
      </c>
      <c r="I65" s="92"/>
      <c r="J65" s="146" t="s">
        <v>111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256.0</v>
      </c>
      <c r="G66" s="92"/>
      <c r="H66" s="143">
        <v>256.0</v>
      </c>
      <c r="I66" s="92"/>
      <c r="J66" s="137">
        <v>9157.0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601.0</v>
      </c>
      <c r="G67" s="93">
        <v>501.0</v>
      </c>
      <c r="H67" s="143">
        <v>100.0</v>
      </c>
      <c r="I67" s="92"/>
      <c r="J67" s="137">
        <v>9158.0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627.0</v>
      </c>
      <c r="G68" s="92"/>
      <c r="H68" s="93">
        <v>627.0</v>
      </c>
      <c r="I68" s="92"/>
      <c r="J68" s="137">
        <v>9159.0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9.0</v>
      </c>
      <c r="G69" s="92"/>
      <c r="H69" s="143">
        <v>9.0</v>
      </c>
      <c r="I69" s="92"/>
      <c r="J69" s="137">
        <v>9160.0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200.0</v>
      </c>
      <c r="G70" s="92"/>
      <c r="H70" s="143">
        <v>200.0</v>
      </c>
      <c r="I70" s="92"/>
      <c r="J70" s="137">
        <v>9161.0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56">
        <v>254.0</v>
      </c>
      <c r="G71" s="93">
        <v>254.0</v>
      </c>
      <c r="H71" s="92"/>
      <c r="I71" s="92"/>
      <c r="J71" s="137">
        <v>9162.0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56">
        <v>86.0</v>
      </c>
      <c r="G72" s="93">
        <v>86.0</v>
      </c>
      <c r="H72" s="92"/>
      <c r="I72" s="92"/>
      <c r="J72" s="137">
        <v>9163.0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56">
        <v>406.0</v>
      </c>
      <c r="G73" s="92"/>
      <c r="H73" s="143">
        <v>406.0</v>
      </c>
      <c r="I73" s="92"/>
      <c r="J73" s="137">
        <v>9164.0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56">
        <v>123.0</v>
      </c>
      <c r="G74" s="92"/>
      <c r="H74" s="145">
        <v>123.0</v>
      </c>
      <c r="I74" s="92"/>
      <c r="J74" s="146" t="s">
        <v>112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56">
        <v>310.0</v>
      </c>
      <c r="G75" s="93">
        <v>300.0</v>
      </c>
      <c r="H75" s="143">
        <v>10.0</v>
      </c>
      <c r="I75" s="92"/>
      <c r="J75" s="137">
        <v>9166.0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56">
        <v>335.0</v>
      </c>
      <c r="G76" s="93">
        <v>335.0</v>
      </c>
      <c r="H76" s="92"/>
      <c r="I76" s="92"/>
      <c r="J76" s="137">
        <v>9167.0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56">
        <v>78.0</v>
      </c>
      <c r="G77" s="92"/>
      <c r="H77" s="143">
        <v>78.0</v>
      </c>
      <c r="I77" s="92"/>
      <c r="J77" s="137">
        <v>9168.0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56">
        <v>93.0</v>
      </c>
      <c r="G78" s="93"/>
      <c r="H78" s="92"/>
      <c r="I78" s="93">
        <v>93.0</v>
      </c>
      <c r="J78" s="137" t="s">
        <v>113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56">
        <v>584.0</v>
      </c>
      <c r="G79" s="93">
        <v>500.0</v>
      </c>
      <c r="H79" s="143">
        <v>84.0</v>
      </c>
      <c r="I79" s="92"/>
      <c r="J79" s="137">
        <v>9170.0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56">
        <v>200.0</v>
      </c>
      <c r="G80" s="93">
        <v>200.0</v>
      </c>
      <c r="H80" s="92"/>
      <c r="I80" s="92"/>
      <c r="J80" s="137">
        <v>9171.0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56">
        <v>85.0</v>
      </c>
      <c r="G81" s="93">
        <v>85.0</v>
      </c>
      <c r="H81" s="93"/>
      <c r="I81" s="92"/>
      <c r="J81" s="137">
        <v>9172.0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49">
        <v>124.0</v>
      </c>
      <c r="G82" s="54">
        <v>124.0</v>
      </c>
      <c r="H82" s="61"/>
      <c r="I82" s="61"/>
      <c r="J82" s="137">
        <v>9173.0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49">
        <v>122.0</v>
      </c>
      <c r="G83" s="54">
        <v>122.0</v>
      </c>
      <c r="H83" s="61"/>
      <c r="I83" s="61"/>
      <c r="J83" s="137">
        <v>9174.0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49">
        <v>314.0</v>
      </c>
      <c r="G84" s="54">
        <v>314.0</v>
      </c>
      <c r="H84" s="61"/>
      <c r="I84" s="61"/>
      <c r="J84" s="137">
        <v>9175.0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49">
        <v>315.0</v>
      </c>
      <c r="G85" s="54">
        <v>315.0</v>
      </c>
      <c r="H85" s="61"/>
      <c r="I85" s="61"/>
      <c r="J85" s="137">
        <v>9176.0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49">
        <v>1671.0</v>
      </c>
      <c r="G86" s="54">
        <v>1.0</v>
      </c>
      <c r="H86" s="143">
        <v>1670.0</v>
      </c>
      <c r="I86" s="61"/>
      <c r="J86" s="137">
        <v>9177.0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59">
        <v>95.0</v>
      </c>
      <c r="G87" s="142">
        <v>95.0</v>
      </c>
      <c r="H87" s="160"/>
      <c r="I87" s="160"/>
      <c r="J87" s="161">
        <v>9178.0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49">
        <v>336.0</v>
      </c>
      <c r="G88" s="54">
        <v>336.0</v>
      </c>
      <c r="H88" s="61"/>
      <c r="I88" s="61"/>
      <c r="J88" s="137">
        <v>9179.0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49">
        <v>501.0</v>
      </c>
      <c r="G89" s="54">
        <v>501.0</v>
      </c>
      <c r="H89" s="61"/>
      <c r="I89" s="61"/>
      <c r="J89" s="137">
        <v>9180.0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49">
        <v>980.0</v>
      </c>
      <c r="G90" s="54">
        <v>642.0</v>
      </c>
      <c r="H90" s="143">
        <v>338.0</v>
      </c>
      <c r="I90" s="61"/>
      <c r="J90" s="137">
        <v>9181.0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49">
        <v>39.0</v>
      </c>
      <c r="G91" s="61"/>
      <c r="H91" s="143">
        <v>39.0</v>
      </c>
      <c r="I91" s="61"/>
      <c r="J91" s="137">
        <v>9182.0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49">
        <v>272.0</v>
      </c>
      <c r="G92" s="61"/>
      <c r="H92" s="61"/>
      <c r="I92" s="54">
        <v>272.0</v>
      </c>
      <c r="J92" s="137" t="s">
        <v>114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49">
        <v>996.0</v>
      </c>
      <c r="G93" s="54">
        <v>996.0</v>
      </c>
      <c r="H93" s="61"/>
      <c r="I93" s="54"/>
      <c r="J93" s="137">
        <v>9184.0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49">
        <v>480.0</v>
      </c>
      <c r="G94" s="61"/>
      <c r="H94" s="61"/>
      <c r="I94" s="54">
        <v>480.0</v>
      </c>
      <c r="J94" s="137" t="s">
        <v>115</v>
      </c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137">
        <v>9186.0</v>
      </c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137">
        <v>9187.0</v>
      </c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32725</v>
      </c>
      <c r="G97" s="123">
        <f t="shared" si="4"/>
        <v>19328</v>
      </c>
      <c r="H97" s="123">
        <f t="shared" si="4"/>
        <v>12552</v>
      </c>
      <c r="I97" s="123">
        <f t="shared" si="4"/>
        <v>845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32">
        <v>45969.0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41755.0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12624.0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24421.0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35826.08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14480.08</v>
      </c>
      <c r="D10" s="24"/>
      <c r="E10" s="43">
        <v>1.0</v>
      </c>
      <c r="F10" s="44">
        <v>38.0</v>
      </c>
      <c r="G10" s="45">
        <v>38.0</v>
      </c>
      <c r="H10" s="45"/>
      <c r="I10" s="45"/>
      <c r="J10" s="137">
        <v>9186.0</v>
      </c>
      <c r="K10" s="24"/>
      <c r="L10" s="47"/>
      <c r="M10" s="47">
        <v>104.0</v>
      </c>
      <c r="N10" s="47">
        <v>7495.0</v>
      </c>
      <c r="O10" s="49"/>
      <c r="P10" s="85" t="s">
        <v>116</v>
      </c>
      <c r="Q10" s="51"/>
      <c r="R10" s="52">
        <v>60.0</v>
      </c>
      <c r="S10" s="53"/>
      <c r="T10" s="54"/>
      <c r="U10" s="55"/>
      <c r="V10" s="24"/>
      <c r="W10" s="47">
        <v>185.92</v>
      </c>
      <c r="X10" s="47"/>
      <c r="Y10" s="47">
        <v>131.0</v>
      </c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19935</v>
      </c>
      <c r="D11" s="24"/>
      <c r="E11" s="43">
        <v>2.0</v>
      </c>
      <c r="F11" s="56">
        <v>885.0</v>
      </c>
      <c r="G11" s="57">
        <v>885.0</v>
      </c>
      <c r="H11" s="58"/>
      <c r="I11" s="59"/>
      <c r="J11" s="137">
        <v>9187.0</v>
      </c>
      <c r="K11" s="24"/>
      <c r="L11" s="48"/>
      <c r="M11" s="48"/>
      <c r="N11" s="48"/>
      <c r="O11" s="49"/>
      <c r="P11" s="72" t="s">
        <v>117</v>
      </c>
      <c r="Q11" s="51"/>
      <c r="R11" s="52">
        <v>27900.0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1411</v>
      </c>
      <c r="D12" s="24"/>
      <c r="E12" s="43">
        <v>3.0</v>
      </c>
      <c r="F12" s="63">
        <v>50.0</v>
      </c>
      <c r="G12" s="64">
        <v>50.0</v>
      </c>
      <c r="H12" s="64"/>
      <c r="I12" s="65"/>
      <c r="J12" s="137">
        <v>9188.0</v>
      </c>
      <c r="K12" s="24"/>
      <c r="L12" s="48"/>
      <c r="M12" s="48"/>
      <c r="N12" s="48"/>
      <c r="O12" s="49"/>
      <c r="P12" s="72" t="s">
        <v>118</v>
      </c>
      <c r="Q12" s="51"/>
      <c r="R12" s="52">
        <v>100.0</v>
      </c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>
        <v>230.0</v>
      </c>
      <c r="G13" s="64"/>
      <c r="H13" s="139">
        <v>230.0</v>
      </c>
      <c r="I13" s="65"/>
      <c r="J13" s="137">
        <v>9189.0</v>
      </c>
      <c r="K13" s="24"/>
      <c r="L13" s="48"/>
      <c r="M13" s="48"/>
      <c r="N13" s="48"/>
      <c r="O13" s="49"/>
      <c r="P13" s="72" t="s">
        <v>119</v>
      </c>
      <c r="Q13" s="51"/>
      <c r="R13" s="52">
        <v>1200.0</v>
      </c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104</v>
      </c>
      <c r="D14" s="24"/>
      <c r="E14" s="43">
        <v>5.0</v>
      </c>
      <c r="F14" s="56">
        <v>85.0</v>
      </c>
      <c r="G14" s="64">
        <v>85.0</v>
      </c>
      <c r="H14" s="65"/>
      <c r="I14" s="65"/>
      <c r="J14" s="137">
        <v>9190.0</v>
      </c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185.92</v>
      </c>
      <c r="D15" s="24"/>
      <c r="E15" s="43">
        <v>6.0</v>
      </c>
      <c r="F15" s="56">
        <v>121.0</v>
      </c>
      <c r="G15" s="64"/>
      <c r="H15" s="139">
        <v>121.0</v>
      </c>
      <c r="I15" s="65"/>
      <c r="J15" s="137">
        <v>9191.0</v>
      </c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29260</v>
      </c>
      <c r="D16" s="24"/>
      <c r="E16" s="43">
        <v>7.0</v>
      </c>
      <c r="F16" s="56">
        <v>163.0</v>
      </c>
      <c r="G16" s="64">
        <v>163.0</v>
      </c>
      <c r="H16" s="64"/>
      <c r="I16" s="65"/>
      <c r="J16" s="137">
        <v>9192.0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29260</v>
      </c>
      <c r="D17" s="24"/>
      <c r="E17" s="43">
        <v>8.0</v>
      </c>
      <c r="F17" s="56">
        <v>2208.0</v>
      </c>
      <c r="G17" s="65"/>
      <c r="H17" s="139">
        <v>2208.0</v>
      </c>
      <c r="I17" s="65"/>
      <c r="J17" s="137">
        <v>9193.0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303.0</v>
      </c>
      <c r="G18" s="64">
        <v>303.0</v>
      </c>
      <c r="H18" s="64"/>
      <c r="I18" s="65"/>
      <c r="J18" s="137">
        <v>9194.0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694.0</v>
      </c>
      <c r="G19" s="64"/>
      <c r="H19" s="139">
        <v>694.0</v>
      </c>
      <c r="I19" s="65"/>
      <c r="J19" s="137">
        <v>9195.0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25728</v>
      </c>
      <c r="D20" s="24"/>
      <c r="E20" s="43">
        <v>11.0</v>
      </c>
      <c r="F20" s="56">
        <v>841.0</v>
      </c>
      <c r="G20" s="64">
        <v>841.0</v>
      </c>
      <c r="H20" s="64"/>
      <c r="I20" s="65"/>
      <c r="J20" s="137">
        <v>9196.0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20039</v>
      </c>
      <c r="D21" s="24"/>
      <c r="E21" s="43">
        <v>12.0</v>
      </c>
      <c r="F21" s="56">
        <v>295.0</v>
      </c>
      <c r="G21" s="64">
        <v>295.0</v>
      </c>
      <c r="H21" s="64"/>
      <c r="I21" s="65"/>
      <c r="J21" s="137">
        <v>9197.0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23475.08</v>
      </c>
      <c r="D22" s="24"/>
      <c r="E22" s="43">
        <v>13.0</v>
      </c>
      <c r="F22" s="56">
        <v>237.0</v>
      </c>
      <c r="G22" s="64">
        <v>237.0</v>
      </c>
      <c r="H22" s="64"/>
      <c r="I22" s="65"/>
      <c r="J22" s="137">
        <v>9198.0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41">
        <v>23553.84</v>
      </c>
      <c r="D23" s="24"/>
      <c r="E23" s="43">
        <v>14.0</v>
      </c>
      <c r="F23" s="56">
        <v>47.0</v>
      </c>
      <c r="G23" s="65"/>
      <c r="H23" s="139">
        <v>47.0</v>
      </c>
      <c r="I23" s="65"/>
      <c r="J23" s="137">
        <v>9199.0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-78.76</v>
      </c>
      <c r="D24" s="24"/>
      <c r="E24" s="43">
        <v>15.0</v>
      </c>
      <c r="F24" s="56">
        <v>302.0</v>
      </c>
      <c r="G24" s="64">
        <v>302.0</v>
      </c>
      <c r="H24" s="65"/>
      <c r="I24" s="65"/>
      <c r="J24" s="137">
        <v>9200.0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227.0</v>
      </c>
      <c r="G25" s="64">
        <v>227.0</v>
      </c>
      <c r="H25" s="65"/>
      <c r="I25" s="65"/>
      <c r="J25" s="137">
        <v>9201.0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36012</v>
      </c>
      <c r="D26" s="24"/>
      <c r="E26" s="43">
        <v>17.0</v>
      </c>
      <c r="F26" s="56">
        <v>883.0</v>
      </c>
      <c r="G26" s="64"/>
      <c r="H26" s="139">
        <v>883.0</v>
      </c>
      <c r="I26" s="65"/>
      <c r="J26" s="137">
        <v>9202.0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82.0</v>
      </c>
      <c r="D27" s="24"/>
      <c r="E27" s="43">
        <v>18.0</v>
      </c>
      <c r="F27" s="56">
        <v>246.0</v>
      </c>
      <c r="G27" s="64">
        <v>246.0</v>
      </c>
      <c r="H27" s="65"/>
      <c r="I27" s="65"/>
      <c r="J27" s="137">
        <v>9203.0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439.1707317</v>
      </c>
      <c r="D28" s="24"/>
      <c r="E28" s="43">
        <v>19.0</v>
      </c>
      <c r="F28" s="56">
        <v>56.0</v>
      </c>
      <c r="G28" s="64">
        <v>56.0</v>
      </c>
      <c r="H28" s="65"/>
      <c r="I28" s="65"/>
      <c r="J28" s="137">
        <v>9204.0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427.0</v>
      </c>
      <c r="G29" s="64"/>
      <c r="H29" s="139">
        <v>427.0</v>
      </c>
      <c r="I29" s="65"/>
      <c r="J29" s="137">
        <v>9205.0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157.0</v>
      </c>
      <c r="G30" s="93">
        <v>157.0</v>
      </c>
      <c r="H30" s="92"/>
      <c r="I30" s="93"/>
      <c r="J30" s="137">
        <v>9206.0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>
        <f>S33</f>
        <v>12624</v>
      </c>
      <c r="D31" s="24"/>
      <c r="E31" s="43">
        <v>22.0</v>
      </c>
      <c r="F31" s="56">
        <v>996.0</v>
      </c>
      <c r="G31" s="93"/>
      <c r="H31" s="143">
        <v>996.0</v>
      </c>
      <c r="I31" s="92"/>
      <c r="J31" s="137">
        <v>9207.0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29260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>
        <f>R34</f>
        <v>3500</v>
      </c>
      <c r="D32" s="24"/>
      <c r="E32" s="43">
        <v>23.0</v>
      </c>
      <c r="F32" s="56">
        <v>94.0</v>
      </c>
      <c r="G32" s="93">
        <v>94.0</v>
      </c>
      <c r="H32" s="92"/>
      <c r="I32" s="92"/>
      <c r="J32" s="137">
        <v>9208.0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431.0</v>
      </c>
      <c r="G33" s="93">
        <v>431.0</v>
      </c>
      <c r="H33" s="92"/>
      <c r="I33" s="92"/>
      <c r="J33" s="137">
        <v>9209.0</v>
      </c>
      <c r="K33" s="24"/>
      <c r="L33" s="104">
        <f t="shared" ref="L33:M33" si="2">sum(L10:L32)</f>
        <v>0</v>
      </c>
      <c r="M33" s="104">
        <f t="shared" si="2"/>
        <v>104</v>
      </c>
      <c r="N33" s="104"/>
      <c r="O33" s="105"/>
      <c r="P33" s="85" t="s">
        <v>38</v>
      </c>
      <c r="Q33" s="51"/>
      <c r="R33" s="100"/>
      <c r="S33" s="52">
        <v>12624.0</v>
      </c>
      <c r="T33" s="101"/>
      <c r="U33" s="55"/>
      <c r="V33" s="24"/>
      <c r="W33" s="104">
        <f t="shared" ref="W33:X33" si="3">sum(W10:W32)</f>
        <v>185.92</v>
      </c>
      <c r="X33" s="104">
        <f t="shared" si="3"/>
        <v>0</v>
      </c>
      <c r="Y33" s="104">
        <f>W33+X33</f>
        <v>185.92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900.0</v>
      </c>
      <c r="G34" s="93"/>
      <c r="H34" s="143">
        <v>900.0</v>
      </c>
      <c r="I34" s="92"/>
      <c r="J34" s="137">
        <v>9210.0</v>
      </c>
      <c r="K34" s="24"/>
      <c r="L34" s="106"/>
      <c r="M34" s="106"/>
      <c r="N34" s="106"/>
      <c r="O34" s="106"/>
      <c r="P34" s="85" t="s">
        <v>40</v>
      </c>
      <c r="Q34" s="107"/>
      <c r="R34" s="144">
        <v>3500.0</v>
      </c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16.0</v>
      </c>
      <c r="G35" s="93">
        <v>16.0</v>
      </c>
      <c r="H35" s="93"/>
      <c r="I35" s="92"/>
      <c r="J35" s="137">
        <v>9211.0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3591.0</v>
      </c>
      <c r="G36" s="92"/>
      <c r="H36" s="143">
        <v>3591.0</v>
      </c>
      <c r="I36" s="93"/>
      <c r="J36" s="137">
        <v>9212.0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80.0</v>
      </c>
      <c r="G37" s="93"/>
      <c r="H37" s="143">
        <v>80.0</v>
      </c>
      <c r="I37" s="92"/>
      <c r="J37" s="137">
        <v>9213.0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998.0</v>
      </c>
      <c r="G38" s="93"/>
      <c r="H38" s="143">
        <v>998.0</v>
      </c>
      <c r="I38" s="92"/>
      <c r="J38" s="137">
        <v>9214.0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136.0</v>
      </c>
      <c r="G39" s="93">
        <v>136.0</v>
      </c>
      <c r="H39" s="93"/>
      <c r="I39" s="92"/>
      <c r="J39" s="137">
        <v>9215.0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947.0</v>
      </c>
      <c r="G40" s="92"/>
      <c r="H40" s="143">
        <v>947.0</v>
      </c>
      <c r="I40" s="92"/>
      <c r="J40" s="137">
        <v>9216.0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126.0</v>
      </c>
      <c r="G41" s="93">
        <v>126.0</v>
      </c>
      <c r="H41" s="93"/>
      <c r="I41" s="92"/>
      <c r="J41" s="137">
        <v>9217.0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320.0</v>
      </c>
      <c r="G42" s="93">
        <v>320.0</v>
      </c>
      <c r="H42" s="93"/>
      <c r="I42" s="92"/>
      <c r="J42" s="137">
        <v>9218.0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217.0</v>
      </c>
      <c r="G43" s="93"/>
      <c r="H43" s="143">
        <v>217.0</v>
      </c>
      <c r="I43" s="92"/>
      <c r="J43" s="137">
        <v>9219.0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149.0</v>
      </c>
      <c r="G44" s="92"/>
      <c r="H44" s="143">
        <v>149.0</v>
      </c>
      <c r="I44" s="92"/>
      <c r="J44" s="137">
        <v>9220.0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1952.0</v>
      </c>
      <c r="G45" s="93">
        <v>1952.0</v>
      </c>
      <c r="H45" s="92"/>
      <c r="I45" s="92"/>
      <c r="J45" s="137">
        <v>9221.0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84.0</v>
      </c>
      <c r="G46" s="93">
        <v>80.0</v>
      </c>
      <c r="H46" s="143">
        <v>4.0</v>
      </c>
      <c r="I46" s="92"/>
      <c r="J46" s="137">
        <v>9222.0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280.0</v>
      </c>
      <c r="G47" s="93">
        <v>280.0</v>
      </c>
      <c r="H47" s="93"/>
      <c r="I47" s="92"/>
      <c r="J47" s="137">
        <v>9223.0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455.0</v>
      </c>
      <c r="G48" s="92"/>
      <c r="H48" s="143">
        <v>455.0</v>
      </c>
      <c r="I48" s="92"/>
      <c r="J48" s="137">
        <v>9224.0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459.0</v>
      </c>
      <c r="G49" s="92"/>
      <c r="H49" s="143">
        <v>459.0</v>
      </c>
      <c r="I49" s="92"/>
      <c r="J49" s="137">
        <v>9225.0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149.0</v>
      </c>
      <c r="G50" s="93">
        <v>149.0</v>
      </c>
      <c r="H50" s="93"/>
      <c r="I50" s="92"/>
      <c r="J50" s="137">
        <v>9226.0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249.0</v>
      </c>
      <c r="G51" s="93">
        <v>249.0</v>
      </c>
      <c r="H51" s="92"/>
      <c r="I51" s="92"/>
      <c r="J51" s="137">
        <v>9227.0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125.0</v>
      </c>
      <c r="G52" s="92"/>
      <c r="H52" s="143">
        <v>125.0</v>
      </c>
      <c r="I52" s="92"/>
      <c r="J52" s="137">
        <v>9228.0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347.0</v>
      </c>
      <c r="G53" s="93">
        <v>347.0</v>
      </c>
      <c r="H53" s="92"/>
      <c r="I53" s="92"/>
      <c r="J53" s="137">
        <v>9229.0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78.0</v>
      </c>
      <c r="G54" s="93">
        <v>78.0</v>
      </c>
      <c r="H54" s="92"/>
      <c r="I54" s="92"/>
      <c r="J54" s="137">
        <v>9230.0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247.0</v>
      </c>
      <c r="G55" s="93">
        <v>247.0</v>
      </c>
      <c r="H55" s="92"/>
      <c r="I55" s="92"/>
      <c r="J55" s="137">
        <v>9231.0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917.0</v>
      </c>
      <c r="G56" s="92"/>
      <c r="H56" s="143">
        <v>917.0</v>
      </c>
      <c r="I56" s="92"/>
      <c r="J56" s="137">
        <v>9232.0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156.0</v>
      </c>
      <c r="G57" s="93">
        <v>156.0</v>
      </c>
      <c r="H57" s="92"/>
      <c r="I57" s="92"/>
      <c r="J57" s="137">
        <v>9233.0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24.0</v>
      </c>
      <c r="G58" s="92"/>
      <c r="H58" s="143">
        <v>24.0</v>
      </c>
      <c r="I58" s="92"/>
      <c r="J58" s="137">
        <v>9234.0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759.0</v>
      </c>
      <c r="G59" s="93">
        <v>759.0</v>
      </c>
      <c r="H59" s="92"/>
      <c r="I59" s="92"/>
      <c r="J59" s="137">
        <v>9235.0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10.0</v>
      </c>
      <c r="G60" s="93">
        <v>10.0</v>
      </c>
      <c r="H60" s="92"/>
      <c r="I60" s="92"/>
      <c r="J60" s="137">
        <v>9236.0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1554.0</v>
      </c>
      <c r="G61" s="92"/>
      <c r="H61" s="143">
        <v>1554.0</v>
      </c>
      <c r="I61" s="92"/>
      <c r="J61" s="137">
        <v>9237.0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249.0</v>
      </c>
      <c r="G62" s="93">
        <v>249.0</v>
      </c>
      <c r="H62" s="92"/>
      <c r="I62" s="92"/>
      <c r="J62" s="137">
        <v>9238.0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102.0</v>
      </c>
      <c r="G63" s="93">
        <v>102.0</v>
      </c>
      <c r="H63" s="92"/>
      <c r="I63" s="92"/>
      <c r="J63" s="137">
        <v>9239.0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258.0</v>
      </c>
      <c r="G64" s="92"/>
      <c r="H64" s="143">
        <v>258.0</v>
      </c>
      <c r="I64" s="92"/>
      <c r="J64" s="162" t="s">
        <v>120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143.0</v>
      </c>
      <c r="G65" s="93">
        <v>143.0</v>
      </c>
      <c r="H65" s="92"/>
      <c r="I65" s="92"/>
      <c r="J65" s="137">
        <v>9241.0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686.0</v>
      </c>
      <c r="G66" s="93">
        <v>686.0</v>
      </c>
      <c r="H66" s="92"/>
      <c r="I66" s="92"/>
      <c r="J66" s="137">
        <v>9242.0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81.0</v>
      </c>
      <c r="G67" s="93">
        <v>81.0</v>
      </c>
      <c r="H67" s="92"/>
      <c r="I67" s="92"/>
      <c r="J67" s="137">
        <v>9243.0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994.0</v>
      </c>
      <c r="G68" s="92"/>
      <c r="H68" s="143">
        <v>994.0</v>
      </c>
      <c r="I68" s="92"/>
      <c r="J68" s="137">
        <v>9244.0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378.0</v>
      </c>
      <c r="G69" s="93">
        <v>378.0</v>
      </c>
      <c r="H69" s="92"/>
      <c r="I69" s="92"/>
      <c r="J69" s="137">
        <v>9245.0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269.0</v>
      </c>
      <c r="G70" s="93">
        <v>269.0</v>
      </c>
      <c r="H70" s="92"/>
      <c r="I70" s="92"/>
      <c r="J70" s="137">
        <v>9246.0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56">
        <v>382.0</v>
      </c>
      <c r="G71" s="93">
        <v>382.0</v>
      </c>
      <c r="H71" s="92"/>
      <c r="I71" s="92"/>
      <c r="J71" s="137">
        <v>9247.0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56">
        <v>626.0</v>
      </c>
      <c r="G72" s="93">
        <v>626.0</v>
      </c>
      <c r="H72" s="92"/>
      <c r="I72" s="92"/>
      <c r="J72" s="137">
        <v>9248.0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56">
        <v>104.0</v>
      </c>
      <c r="G73" s="92"/>
      <c r="H73" s="143">
        <v>104.0</v>
      </c>
      <c r="I73" s="92"/>
      <c r="J73" s="137">
        <v>9249.0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56">
        <v>1076.0</v>
      </c>
      <c r="G74" s="93">
        <v>1076.0</v>
      </c>
      <c r="H74" s="92"/>
      <c r="I74" s="92"/>
      <c r="J74" s="137">
        <v>9250.0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56">
        <v>249.0</v>
      </c>
      <c r="G75" s="93"/>
      <c r="H75" s="143">
        <v>249.0</v>
      </c>
      <c r="I75" s="92"/>
      <c r="J75" s="137">
        <v>9251.0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56">
        <v>144.0</v>
      </c>
      <c r="G76" s="93"/>
      <c r="H76" s="143">
        <v>144.0</v>
      </c>
      <c r="I76" s="93"/>
      <c r="J76" s="137">
        <v>9252.0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56">
        <v>333.0</v>
      </c>
      <c r="G77" s="93">
        <v>333.0</v>
      </c>
      <c r="H77" s="92"/>
      <c r="I77" s="92"/>
      <c r="J77" s="137">
        <v>9253.0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56">
        <v>1153.0</v>
      </c>
      <c r="G78" s="92"/>
      <c r="H78" s="92"/>
      <c r="I78" s="147">
        <v>1153.0</v>
      </c>
      <c r="J78" s="148" t="s">
        <v>121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56">
        <v>67.0</v>
      </c>
      <c r="G79" s="93">
        <v>67.0</v>
      </c>
      <c r="H79" s="92"/>
      <c r="I79" s="92"/>
      <c r="J79" s="137">
        <v>9255.0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56">
        <v>67.0</v>
      </c>
      <c r="G80" s="93">
        <v>67.0</v>
      </c>
      <c r="H80" s="92"/>
      <c r="I80" s="92"/>
      <c r="J80" s="137">
        <v>9256.0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56">
        <v>126.0</v>
      </c>
      <c r="G81" s="92"/>
      <c r="H81" s="143">
        <v>126.0</v>
      </c>
      <c r="I81" s="92"/>
      <c r="J81" s="137">
        <v>9257.0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49">
        <v>601.0</v>
      </c>
      <c r="G82" s="54">
        <v>601.0</v>
      </c>
      <c r="H82" s="61"/>
      <c r="I82" s="61"/>
      <c r="J82" s="137">
        <v>9258.0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49">
        <v>115.0</v>
      </c>
      <c r="G83" s="54">
        <v>115.0</v>
      </c>
      <c r="H83" s="61"/>
      <c r="I83" s="61"/>
      <c r="J83" s="137">
        <v>9259.0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49">
        <v>1008.0</v>
      </c>
      <c r="G84" s="61"/>
      <c r="H84" s="143">
        <v>1008.0</v>
      </c>
      <c r="I84" s="61"/>
      <c r="J84" s="137">
        <v>9260.0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49">
        <v>258.0</v>
      </c>
      <c r="G85" s="61"/>
      <c r="H85" s="61"/>
      <c r="I85" s="147">
        <v>258.0</v>
      </c>
      <c r="J85" s="148" t="s">
        <v>122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49">
        <v>216.0</v>
      </c>
      <c r="G86" s="61"/>
      <c r="H86" s="143">
        <v>216.0</v>
      </c>
      <c r="I86" s="61"/>
      <c r="J86" s="137">
        <v>9262.0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49">
        <v>580.0</v>
      </c>
      <c r="G87" s="61"/>
      <c r="H87" s="143">
        <v>580.0</v>
      </c>
      <c r="I87" s="61"/>
      <c r="J87" s="137">
        <v>9263.0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49">
        <v>50.0</v>
      </c>
      <c r="G88" s="61"/>
      <c r="H88" s="54">
        <v>50.0</v>
      </c>
      <c r="I88" s="61"/>
      <c r="J88" s="137">
        <v>9264.0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49">
        <v>78.0</v>
      </c>
      <c r="G89" s="61"/>
      <c r="H89" s="54">
        <v>78.0</v>
      </c>
      <c r="I89" s="61"/>
      <c r="J89" s="137">
        <v>9265.0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49">
        <v>102.0</v>
      </c>
      <c r="G90" s="61"/>
      <c r="H90" s="54">
        <v>102.0</v>
      </c>
      <c r="I90" s="61"/>
      <c r="J90" s="137">
        <v>9266.0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49">
        <v>176.0</v>
      </c>
      <c r="G91" s="54">
        <v>176.0</v>
      </c>
      <c r="H91" s="61"/>
      <c r="I91" s="61"/>
      <c r="J91" s="137">
        <v>9267.0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137">
        <v>9268.0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137">
        <v>9269.0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137">
        <v>9270.0</v>
      </c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137">
        <v>9271.0</v>
      </c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137">
        <v>9272.0</v>
      </c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36012</v>
      </c>
      <c r="G97" s="123">
        <f t="shared" si="4"/>
        <v>14666</v>
      </c>
      <c r="H97" s="123">
        <f t="shared" si="4"/>
        <v>19935</v>
      </c>
      <c r="I97" s="123">
        <f t="shared" si="4"/>
        <v>1411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32">
        <v>45970.0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23476.0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20039.0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25728.0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13949.53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8679.53</v>
      </c>
      <c r="D10" s="24"/>
      <c r="E10" s="43">
        <v>1.0</v>
      </c>
      <c r="F10" s="44">
        <v>223.0</v>
      </c>
      <c r="G10" s="45">
        <v>223.0</v>
      </c>
      <c r="H10" s="45"/>
      <c r="I10" s="45"/>
      <c r="J10" s="137">
        <v>9268.0</v>
      </c>
      <c r="K10" s="24"/>
      <c r="L10" s="47">
        <v>93.0</v>
      </c>
      <c r="M10" s="47"/>
      <c r="N10" s="48">
        <v>9169.0</v>
      </c>
      <c r="O10" s="49"/>
      <c r="P10" s="85" t="s">
        <v>119</v>
      </c>
      <c r="Q10" s="51"/>
      <c r="R10" s="52">
        <v>500.0</v>
      </c>
      <c r="S10" s="53"/>
      <c r="T10" s="54"/>
      <c r="U10" s="55"/>
      <c r="V10" s="24"/>
      <c r="W10" s="47">
        <v>357.76</v>
      </c>
      <c r="X10" s="47"/>
      <c r="Y10" s="47">
        <v>132.0</v>
      </c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4955</v>
      </c>
      <c r="D11" s="24"/>
      <c r="E11" s="43">
        <v>2.0</v>
      </c>
      <c r="F11" s="56">
        <v>293.0</v>
      </c>
      <c r="G11" s="57">
        <v>293.0</v>
      </c>
      <c r="H11" s="58"/>
      <c r="I11" s="59"/>
      <c r="J11" s="137">
        <v>9269.0</v>
      </c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7">
        <v>349.71</v>
      </c>
      <c r="X11" s="47"/>
      <c r="Y11" s="47">
        <v>133.0</v>
      </c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315</v>
      </c>
      <c r="D12" s="24"/>
      <c r="E12" s="43">
        <v>3.0</v>
      </c>
      <c r="F12" s="63">
        <v>57.0</v>
      </c>
      <c r="G12" s="64">
        <v>57.0</v>
      </c>
      <c r="H12" s="64"/>
      <c r="I12" s="65"/>
      <c r="J12" s="137">
        <v>9270.0</v>
      </c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93</v>
      </c>
      <c r="D13" s="24"/>
      <c r="E13" s="43">
        <v>4.0</v>
      </c>
      <c r="F13" s="56">
        <v>89.0</v>
      </c>
      <c r="G13" s="64">
        <v>89.0</v>
      </c>
      <c r="H13" s="65"/>
      <c r="I13" s="65"/>
      <c r="J13" s="137">
        <v>9271.0</v>
      </c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>
        <v>139.0</v>
      </c>
      <c r="G14" s="64"/>
      <c r="H14" s="139">
        <v>139.0</v>
      </c>
      <c r="I14" s="65"/>
      <c r="J14" s="137">
        <v>9272.0</v>
      </c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707.47</v>
      </c>
      <c r="D15" s="24"/>
      <c r="E15" s="43">
        <v>6.0</v>
      </c>
      <c r="F15" s="56">
        <v>158.0</v>
      </c>
      <c r="G15" s="64"/>
      <c r="H15" s="139">
        <v>158.0</v>
      </c>
      <c r="I15" s="65"/>
      <c r="J15" s="137">
        <v>9273.0</v>
      </c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500</v>
      </c>
      <c r="D16" s="24"/>
      <c r="E16" s="43">
        <v>7.0</v>
      </c>
      <c r="F16" s="56">
        <v>567.0</v>
      </c>
      <c r="G16" s="64">
        <v>567.0</v>
      </c>
      <c r="H16" s="64"/>
      <c r="I16" s="65"/>
      <c r="J16" s="137">
        <v>9274.0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500</v>
      </c>
      <c r="D17" s="24"/>
      <c r="E17" s="43">
        <v>8.0</v>
      </c>
      <c r="F17" s="56">
        <v>382.0</v>
      </c>
      <c r="G17" s="64">
        <v>382.0</v>
      </c>
      <c r="H17" s="64"/>
      <c r="I17" s="65"/>
      <c r="J17" s="137">
        <v>9275.0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111.0</v>
      </c>
      <c r="G18" s="64"/>
      <c r="H18" s="139">
        <v>111.0</v>
      </c>
      <c r="I18" s="65"/>
      <c r="J18" s="137">
        <v>9276.0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1035.0</v>
      </c>
      <c r="G19" s="64">
        <v>1020.0</v>
      </c>
      <c r="H19" s="139">
        <v>15.0</v>
      </c>
      <c r="I19" s="65"/>
      <c r="J19" s="137">
        <v>9277.0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25950</v>
      </c>
      <c r="D20" s="24"/>
      <c r="E20" s="43">
        <v>11.0</v>
      </c>
      <c r="F20" s="56">
        <v>93.0</v>
      </c>
      <c r="G20" s="64">
        <v>93.0</v>
      </c>
      <c r="H20" s="64"/>
      <c r="I20" s="65"/>
      <c r="J20" s="137">
        <v>9278.0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4955</v>
      </c>
      <c r="D21" s="24"/>
      <c r="E21" s="43">
        <v>12.0</v>
      </c>
      <c r="F21" s="56">
        <v>423.0</v>
      </c>
      <c r="G21" s="64"/>
      <c r="H21" s="139">
        <v>423.0</v>
      </c>
      <c r="I21" s="65"/>
      <c r="J21" s="137" t="s">
        <v>123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31748.53</v>
      </c>
      <c r="D22" s="24"/>
      <c r="E22" s="43">
        <v>13.0</v>
      </c>
      <c r="F22" s="56">
        <v>619.0</v>
      </c>
      <c r="G22" s="64">
        <v>269.0</v>
      </c>
      <c r="H22" s="139">
        <v>350.0</v>
      </c>
      <c r="I22" s="65"/>
      <c r="J22" s="137">
        <v>9280.0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41">
        <v>31825.53</v>
      </c>
      <c r="D23" s="24"/>
      <c r="E23" s="43">
        <v>14.0</v>
      </c>
      <c r="F23" s="56">
        <v>121.0</v>
      </c>
      <c r="G23" s="64">
        <v>121.0</v>
      </c>
      <c r="H23" s="65"/>
      <c r="I23" s="65"/>
      <c r="J23" s="137">
        <v>9281.0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-77</v>
      </c>
      <c r="D24" s="24"/>
      <c r="E24" s="43">
        <v>15.0</v>
      </c>
      <c r="F24" s="56">
        <v>188.0</v>
      </c>
      <c r="G24" s="64"/>
      <c r="H24" s="139">
        <v>188.0</v>
      </c>
      <c r="I24" s="65"/>
      <c r="J24" s="137">
        <v>9282.0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1384.0</v>
      </c>
      <c r="G25" s="64">
        <v>1384.0</v>
      </c>
      <c r="H25" s="65"/>
      <c r="I25" s="65"/>
      <c r="J25" s="137">
        <v>9283.0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14657</v>
      </c>
      <c r="D26" s="24"/>
      <c r="E26" s="43">
        <v>17.0</v>
      </c>
      <c r="F26" s="56">
        <v>445.0</v>
      </c>
      <c r="G26" s="64">
        <v>445.0</v>
      </c>
      <c r="H26" s="65"/>
      <c r="I26" s="65"/>
      <c r="J26" s="137">
        <v>9284.0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50.0</v>
      </c>
      <c r="D27" s="24"/>
      <c r="E27" s="43">
        <v>18.0</v>
      </c>
      <c r="F27" s="56">
        <v>1047.0</v>
      </c>
      <c r="G27" s="64"/>
      <c r="H27" s="139">
        <v>1047.0</v>
      </c>
      <c r="I27" s="65"/>
      <c r="J27" s="137">
        <v>9285.0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293.14</v>
      </c>
      <c r="D28" s="24"/>
      <c r="E28" s="43">
        <v>19.0</v>
      </c>
      <c r="F28" s="56">
        <v>258.0</v>
      </c>
      <c r="G28" s="64"/>
      <c r="H28" s="139">
        <v>258.0</v>
      </c>
      <c r="I28" s="65"/>
      <c r="J28" s="137">
        <v>9286.0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22.0</v>
      </c>
      <c r="G29" s="64">
        <v>22.0</v>
      </c>
      <c r="H29" s="65"/>
      <c r="I29" s="65"/>
      <c r="J29" s="137">
        <v>9287.0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499.0</v>
      </c>
      <c r="G30" s="93">
        <v>499.0</v>
      </c>
      <c r="H30" s="92"/>
      <c r="I30" s="93"/>
      <c r="J30" s="137">
        <v>9288.0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>
        <f>S33</f>
        <v>20039</v>
      </c>
      <c r="D31" s="24"/>
      <c r="E31" s="43">
        <v>22.0</v>
      </c>
      <c r="F31" s="56">
        <v>487.0</v>
      </c>
      <c r="G31" s="93">
        <v>54.0</v>
      </c>
      <c r="H31" s="143">
        <v>433.0</v>
      </c>
      <c r="I31" s="92"/>
      <c r="J31" s="137">
        <v>9289.0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500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>
        <v>247.0</v>
      </c>
      <c r="G32" s="93"/>
      <c r="H32" s="143">
        <v>247.0</v>
      </c>
      <c r="I32" s="92"/>
      <c r="J32" s="137">
        <v>9290.0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125.0</v>
      </c>
      <c r="G33" s="93">
        <v>125.0</v>
      </c>
      <c r="H33" s="92"/>
      <c r="I33" s="92"/>
      <c r="J33" s="137">
        <v>9291.0</v>
      </c>
      <c r="K33" s="24"/>
      <c r="L33" s="104">
        <f t="shared" ref="L33:M33" si="2">sum(L10:L32)</f>
        <v>93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>
        <v>20039.0</v>
      </c>
      <c r="T33" s="101"/>
      <c r="U33" s="55"/>
      <c r="V33" s="24"/>
      <c r="W33" s="104">
        <f t="shared" ref="W33:X33" si="3">sum(W10:W32)</f>
        <v>707.47</v>
      </c>
      <c r="X33" s="104">
        <f t="shared" si="3"/>
        <v>0</v>
      </c>
      <c r="Y33" s="104">
        <f>W33+X33</f>
        <v>707.47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404.0</v>
      </c>
      <c r="G34" s="93">
        <v>404.0</v>
      </c>
      <c r="H34" s="92"/>
      <c r="I34" s="92"/>
      <c r="J34" s="137">
        <v>9292.0</v>
      </c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260.0</v>
      </c>
      <c r="G35" s="93">
        <v>260.0</v>
      </c>
      <c r="H35" s="93"/>
      <c r="I35" s="92"/>
      <c r="J35" s="137">
        <v>9293.0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100.0</v>
      </c>
      <c r="G36" s="92"/>
      <c r="H36" s="143">
        <v>100.0</v>
      </c>
      <c r="I36" s="92"/>
      <c r="J36" s="137" t="s">
        <v>124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77.0</v>
      </c>
      <c r="G37" s="93">
        <v>77.0</v>
      </c>
      <c r="H37" s="92"/>
      <c r="I37" s="92"/>
      <c r="J37" s="137">
        <v>9295.0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87.0</v>
      </c>
      <c r="G38" s="93">
        <v>55.0</v>
      </c>
      <c r="H38" s="143">
        <v>32.0</v>
      </c>
      <c r="I38" s="92"/>
      <c r="J38" s="137">
        <v>9296.0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97.0</v>
      </c>
      <c r="G39" s="93">
        <v>97.0</v>
      </c>
      <c r="H39" s="93"/>
      <c r="I39" s="92"/>
      <c r="J39" s="137">
        <v>9297.0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140.0</v>
      </c>
      <c r="G40" s="93">
        <v>140.0</v>
      </c>
      <c r="H40" s="93"/>
      <c r="I40" s="92"/>
      <c r="J40" s="137">
        <v>9298.0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231.0</v>
      </c>
      <c r="G41" s="93">
        <v>231.0</v>
      </c>
      <c r="H41" s="93"/>
      <c r="I41" s="92"/>
      <c r="J41" s="137">
        <v>9299.0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90.0</v>
      </c>
      <c r="G42" s="93">
        <v>90.0</v>
      </c>
      <c r="H42" s="93"/>
      <c r="I42" s="92"/>
      <c r="J42" s="137">
        <v>9300.0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185.0</v>
      </c>
      <c r="G43" s="93">
        <v>185.0</v>
      </c>
      <c r="H43" s="92"/>
      <c r="I43" s="92"/>
      <c r="J43" s="137">
        <v>9301.0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51.0</v>
      </c>
      <c r="G44" s="93">
        <v>51.0</v>
      </c>
      <c r="H44" s="93"/>
      <c r="I44" s="92"/>
      <c r="J44" s="137">
        <v>9302.0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138.0</v>
      </c>
      <c r="G45" s="93">
        <v>138.0</v>
      </c>
      <c r="H45" s="92"/>
      <c r="I45" s="92"/>
      <c r="J45" s="137">
        <v>9303.0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501.0</v>
      </c>
      <c r="G46" s="93"/>
      <c r="H46" s="143">
        <v>501.0</v>
      </c>
      <c r="I46" s="92"/>
      <c r="J46" s="137">
        <v>9304.0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290.0</v>
      </c>
      <c r="G47" s="93">
        <v>290.0</v>
      </c>
      <c r="H47" s="93"/>
      <c r="I47" s="92"/>
      <c r="J47" s="137">
        <v>9305.0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315.0</v>
      </c>
      <c r="G48" s="93"/>
      <c r="H48" s="92"/>
      <c r="I48" s="93">
        <v>315.0</v>
      </c>
      <c r="J48" s="137" t="s">
        <v>125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283.0</v>
      </c>
      <c r="G49" s="93">
        <v>283.0</v>
      </c>
      <c r="H49" s="92"/>
      <c r="I49" s="92"/>
      <c r="J49" s="137">
        <v>9307.0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38.0</v>
      </c>
      <c r="G50" s="93">
        <v>38.0</v>
      </c>
      <c r="H50" s="93"/>
      <c r="I50" s="92"/>
      <c r="J50" s="137">
        <v>9308.0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70.0</v>
      </c>
      <c r="G51" s="93"/>
      <c r="H51" s="143">
        <v>70.0</v>
      </c>
      <c r="I51" s="92"/>
      <c r="J51" s="137">
        <v>9309.0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283.0</v>
      </c>
      <c r="G52" s="93">
        <v>283.0</v>
      </c>
      <c r="H52" s="92"/>
      <c r="I52" s="92"/>
      <c r="J52" s="137">
        <v>9310.0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213.0</v>
      </c>
      <c r="G53" s="93">
        <v>213.0</v>
      </c>
      <c r="H53" s="92"/>
      <c r="I53" s="92"/>
      <c r="J53" s="137">
        <v>9311.0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265.0</v>
      </c>
      <c r="G54" s="93">
        <v>265.0</v>
      </c>
      <c r="H54" s="92"/>
      <c r="I54" s="92"/>
      <c r="J54" s="137">
        <v>9312.0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689.0</v>
      </c>
      <c r="G55" s="93">
        <v>644.0</v>
      </c>
      <c r="H55" s="143">
        <v>45.0</v>
      </c>
      <c r="I55" s="92"/>
      <c r="J55" s="137">
        <v>9313.0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477.0</v>
      </c>
      <c r="G56" s="93"/>
      <c r="H56" s="143">
        <v>477.0</v>
      </c>
      <c r="I56" s="92"/>
      <c r="J56" s="137">
        <v>9314.0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145.0</v>
      </c>
      <c r="G57" s="92"/>
      <c r="H57" s="143">
        <v>145.0</v>
      </c>
      <c r="I57" s="92"/>
      <c r="J57" s="137">
        <v>9315.0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145.0</v>
      </c>
      <c r="G58" s="92"/>
      <c r="H58" s="143">
        <v>145.0</v>
      </c>
      <c r="I58" s="92"/>
      <c r="J58" s="137">
        <v>9316.0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71.0</v>
      </c>
      <c r="G59" s="92"/>
      <c r="H59" s="143">
        <v>71.0</v>
      </c>
      <c r="I59" s="92"/>
      <c r="J59" s="137">
        <v>9317.0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137">
        <v>9318.0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137">
        <v>9319.0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137">
        <v>9320.0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137">
        <v>9321.0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137">
        <v>9322.0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137">
        <v>9323.0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137">
        <v>9324.0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G67" s="92"/>
      <c r="H67" s="92"/>
      <c r="I67" s="92"/>
      <c r="J67" s="137">
        <v>9325.0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137">
        <v>9326.0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137">
        <v>9327.0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137">
        <v>9328.0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137">
        <v>9329.0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137">
        <v>9330.0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137">
        <v>9331.0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137">
        <v>9332.0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137">
        <v>9333.0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137">
        <v>9334.0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137">
        <v>9335.0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137">
        <v>9336.0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137">
        <v>9337.0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137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14657</v>
      </c>
      <c r="G97" s="123">
        <f t="shared" si="4"/>
        <v>9387</v>
      </c>
      <c r="H97" s="123">
        <f t="shared" si="4"/>
        <v>4955</v>
      </c>
      <c r="I97" s="123">
        <f t="shared" si="4"/>
        <v>315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32">
        <v>45972.0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31748.0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4955.0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25950.0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34775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18976</v>
      </c>
      <c r="D10" s="24"/>
      <c r="E10" s="43">
        <v>1.0</v>
      </c>
      <c r="F10" s="44">
        <v>1103.0</v>
      </c>
      <c r="G10" s="45">
        <v>1103.0</v>
      </c>
      <c r="H10" s="45"/>
      <c r="I10" s="45"/>
      <c r="J10" s="137">
        <v>4955.0</v>
      </c>
      <c r="K10" s="24"/>
      <c r="L10" s="47"/>
      <c r="M10" s="47"/>
      <c r="N10" s="48"/>
      <c r="O10" s="49"/>
      <c r="P10" s="85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7323</v>
      </c>
      <c r="D11" s="24"/>
      <c r="E11" s="43">
        <v>2.0</v>
      </c>
      <c r="F11" s="56">
        <v>1150.0</v>
      </c>
      <c r="G11" s="57"/>
      <c r="H11" s="136">
        <v>1150.0</v>
      </c>
      <c r="I11" s="59"/>
      <c r="J11" s="137">
        <v>9319.0</v>
      </c>
      <c r="K11" s="137"/>
      <c r="L11" s="48"/>
      <c r="M11" s="48"/>
      <c r="N11" s="48"/>
      <c r="O11" s="49"/>
      <c r="P11" s="72" t="s">
        <v>109</v>
      </c>
      <c r="Q11" s="51"/>
      <c r="R11" s="52">
        <v>50.0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8476</v>
      </c>
      <c r="D12" s="24"/>
      <c r="E12" s="43">
        <v>3.0</v>
      </c>
      <c r="F12" s="63">
        <v>188.0</v>
      </c>
      <c r="G12" s="64">
        <v>188.0</v>
      </c>
      <c r="H12" s="64"/>
      <c r="I12" s="65"/>
      <c r="J12" s="137">
        <v>9320.0</v>
      </c>
      <c r="K12" s="137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>
        <v>238.0</v>
      </c>
      <c r="G13" s="64">
        <v>238.0</v>
      </c>
      <c r="H13" s="65"/>
      <c r="I13" s="65"/>
      <c r="J13" s="137">
        <v>9321.0</v>
      </c>
      <c r="K13" s="137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>
        <v>195.0</v>
      </c>
      <c r="G14" s="64">
        <v>195.0</v>
      </c>
      <c r="H14" s="65"/>
      <c r="I14" s="65"/>
      <c r="J14" s="137">
        <v>9322.0</v>
      </c>
      <c r="K14" s="137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>
        <v>727.0</v>
      </c>
      <c r="G15" s="64">
        <v>727.0</v>
      </c>
      <c r="H15" s="64"/>
      <c r="I15" s="65"/>
      <c r="J15" s="137">
        <v>9323.0</v>
      </c>
      <c r="K15" s="137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50</v>
      </c>
      <c r="D16" s="24"/>
      <c r="E16" s="43">
        <v>7.0</v>
      </c>
      <c r="F16" s="56">
        <v>489.0</v>
      </c>
      <c r="G16" s="64">
        <v>489.0</v>
      </c>
      <c r="H16" s="64"/>
      <c r="I16" s="65"/>
      <c r="J16" s="137">
        <v>9324.0</v>
      </c>
      <c r="K16" s="137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50</v>
      </c>
      <c r="D17" s="24"/>
      <c r="E17" s="43">
        <v>8.0</v>
      </c>
      <c r="F17" s="56">
        <v>41.0</v>
      </c>
      <c r="G17" s="65"/>
      <c r="H17" s="139">
        <v>41.0</v>
      </c>
      <c r="I17" s="65"/>
      <c r="J17" s="137">
        <v>9325.0</v>
      </c>
      <c r="K17" s="137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121.0</v>
      </c>
      <c r="G18" s="64">
        <v>121.0</v>
      </c>
      <c r="H18" s="64"/>
      <c r="I18" s="65"/>
      <c r="J18" s="137">
        <v>9326.0</v>
      </c>
      <c r="K18" s="137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963.0</v>
      </c>
      <c r="G19" s="64">
        <v>963.0</v>
      </c>
      <c r="H19" s="65"/>
      <c r="I19" s="65"/>
      <c r="J19" s="137">
        <v>9327.0</v>
      </c>
      <c r="K19" s="137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34426</v>
      </c>
      <c r="D20" s="24"/>
      <c r="E20" s="43">
        <v>11.0</v>
      </c>
      <c r="F20" s="56">
        <v>452.0</v>
      </c>
      <c r="G20" s="64">
        <v>452.0</v>
      </c>
      <c r="H20" s="64"/>
      <c r="I20" s="65"/>
      <c r="J20" s="137">
        <v>9328.0</v>
      </c>
      <c r="K20" s="137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7323</v>
      </c>
      <c r="D21" s="24"/>
      <c r="E21" s="43">
        <v>12.0</v>
      </c>
      <c r="F21" s="56">
        <v>107.0</v>
      </c>
      <c r="G21" s="65"/>
      <c r="H21" s="139">
        <v>107.0</v>
      </c>
      <c r="I21" s="65"/>
      <c r="J21" s="137">
        <v>9329.0</v>
      </c>
      <c r="K21" s="137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47174</v>
      </c>
      <c r="D22" s="24"/>
      <c r="E22" s="43">
        <v>13.0</v>
      </c>
      <c r="F22" s="56">
        <v>142.0</v>
      </c>
      <c r="G22" s="64"/>
      <c r="H22" s="139">
        <v>142.0</v>
      </c>
      <c r="I22" s="65"/>
      <c r="J22" s="137">
        <v>9330.0</v>
      </c>
      <c r="K22" s="137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41">
        <v>47171.0</v>
      </c>
      <c r="D23" s="24"/>
      <c r="E23" s="43">
        <v>14.0</v>
      </c>
      <c r="F23" s="56">
        <v>257.0</v>
      </c>
      <c r="G23" s="64">
        <v>257.0</v>
      </c>
      <c r="H23" s="65"/>
      <c r="I23" s="65"/>
      <c r="J23" s="137">
        <v>9331.0</v>
      </c>
      <c r="K23" s="137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3</v>
      </c>
      <c r="D24" s="24"/>
      <c r="E24" s="43">
        <v>15.0</v>
      </c>
      <c r="F24" s="56">
        <v>60.0</v>
      </c>
      <c r="G24" s="64">
        <v>60.0</v>
      </c>
      <c r="H24" s="65"/>
      <c r="I24" s="65"/>
      <c r="J24" s="137">
        <v>9332.0</v>
      </c>
      <c r="K24" s="137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222.0</v>
      </c>
      <c r="G25" s="64">
        <v>222.0</v>
      </c>
      <c r="H25" s="65"/>
      <c r="I25" s="65"/>
      <c r="J25" s="137">
        <v>9333.0</v>
      </c>
      <c r="K25" s="137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34775</v>
      </c>
      <c r="D26" s="24"/>
      <c r="E26" s="43">
        <v>17.0</v>
      </c>
      <c r="F26" s="56">
        <v>93.0</v>
      </c>
      <c r="G26" s="64">
        <v>93.0</v>
      </c>
      <c r="H26" s="65"/>
      <c r="I26" s="65"/>
      <c r="J26" s="137">
        <v>9334.0</v>
      </c>
      <c r="K26" s="137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73.0</v>
      </c>
      <c r="D27" s="24"/>
      <c r="E27" s="43">
        <v>18.0</v>
      </c>
      <c r="F27" s="56">
        <v>145.0</v>
      </c>
      <c r="G27" s="64">
        <v>145.0</v>
      </c>
      <c r="H27" s="65"/>
      <c r="I27" s="65"/>
      <c r="J27" s="137">
        <v>9335.0</v>
      </c>
      <c r="K27" s="137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476.369863</v>
      </c>
      <c r="D28" s="24"/>
      <c r="E28" s="43">
        <v>19.0</v>
      </c>
      <c r="F28" s="56">
        <v>177.0</v>
      </c>
      <c r="G28" s="64">
        <v>177.0</v>
      </c>
      <c r="H28" s="65"/>
      <c r="I28" s="65"/>
      <c r="J28" s="137">
        <v>9336.0</v>
      </c>
      <c r="K28" s="137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753.0</v>
      </c>
      <c r="G29" s="64">
        <v>753.0</v>
      </c>
      <c r="H29" s="65"/>
      <c r="I29" s="64"/>
      <c r="J29" s="137">
        <v>9337.0</v>
      </c>
      <c r="K29" s="137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344.0</v>
      </c>
      <c r="G30" s="93">
        <v>344.0</v>
      </c>
      <c r="H30" s="92"/>
      <c r="I30" s="93"/>
      <c r="J30" s="137">
        <v>9338.0</v>
      </c>
      <c r="K30" s="137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>
        <f>S33</f>
        <v>4955</v>
      </c>
      <c r="D31" s="24"/>
      <c r="E31" s="43">
        <v>22.0</v>
      </c>
      <c r="F31" s="56">
        <v>74.0</v>
      </c>
      <c r="G31" s="93"/>
      <c r="H31" s="143">
        <v>74.0</v>
      </c>
      <c r="I31" s="92"/>
      <c r="J31" s="137">
        <v>9339.0</v>
      </c>
      <c r="K31" s="137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50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>
        <f>R34</f>
        <v>3500</v>
      </c>
      <c r="D32" s="24"/>
      <c r="E32" s="43">
        <v>23.0</v>
      </c>
      <c r="F32" s="56">
        <v>111.0</v>
      </c>
      <c r="G32" s="93"/>
      <c r="H32" s="143">
        <v>111.0</v>
      </c>
      <c r="I32" s="92"/>
      <c r="J32" s="137">
        <v>9340.0</v>
      </c>
      <c r="K32" s="137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151.0</v>
      </c>
      <c r="G33" s="93">
        <v>151.0</v>
      </c>
      <c r="H33" s="92"/>
      <c r="I33" s="92"/>
      <c r="J33" s="137">
        <v>9341.0</v>
      </c>
      <c r="K33" s="137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>
        <v>4955.0</v>
      </c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70.0</v>
      </c>
      <c r="G34" s="93">
        <v>70.0</v>
      </c>
      <c r="H34" s="92"/>
      <c r="I34" s="92"/>
      <c r="J34" s="137">
        <v>9342.0</v>
      </c>
      <c r="K34" s="137"/>
      <c r="L34" s="106"/>
      <c r="M34" s="106"/>
      <c r="N34" s="106"/>
      <c r="O34" s="106"/>
      <c r="P34" s="85" t="s">
        <v>40</v>
      </c>
      <c r="Q34" s="107"/>
      <c r="R34" s="144">
        <v>3500.0</v>
      </c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284.0</v>
      </c>
      <c r="G35" s="92"/>
      <c r="H35" s="143">
        <v>284.0</v>
      </c>
      <c r="I35" s="92"/>
      <c r="J35" s="137">
        <v>9343.0</v>
      </c>
      <c r="K35" s="137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1254.0</v>
      </c>
      <c r="G36" s="93">
        <v>1254.0</v>
      </c>
      <c r="H36" s="93"/>
      <c r="I36" s="92"/>
      <c r="J36" s="137">
        <v>9344.0</v>
      </c>
      <c r="K36" s="137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424.0</v>
      </c>
      <c r="G37" s="93"/>
      <c r="H37" s="143">
        <v>424.0</v>
      </c>
      <c r="I37" s="92"/>
      <c r="J37" s="137">
        <v>9345.0</v>
      </c>
      <c r="K37" s="137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248.0</v>
      </c>
      <c r="G38" s="93">
        <v>248.0</v>
      </c>
      <c r="H38" s="92"/>
      <c r="I38" s="92"/>
      <c r="J38" s="137">
        <v>9346.0</v>
      </c>
      <c r="K38" s="137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45.0</v>
      </c>
      <c r="G39" s="93">
        <v>45.0</v>
      </c>
      <c r="H39" s="93"/>
      <c r="I39" s="92"/>
      <c r="J39" s="137">
        <v>9347.0</v>
      </c>
      <c r="K39" s="137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6.0</v>
      </c>
      <c r="G40" s="93">
        <v>6.0</v>
      </c>
      <c r="H40" s="93"/>
      <c r="I40" s="92"/>
      <c r="J40" s="137">
        <v>9348.0</v>
      </c>
      <c r="K40" s="137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582.0</v>
      </c>
      <c r="G41" s="93">
        <v>582.0</v>
      </c>
      <c r="H41" s="93"/>
      <c r="I41" s="92"/>
      <c r="J41" s="137">
        <v>9349.0</v>
      </c>
      <c r="K41" s="137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62.0</v>
      </c>
      <c r="G42" s="93"/>
      <c r="H42" s="143">
        <v>62.0</v>
      </c>
      <c r="I42" s="92"/>
      <c r="J42" s="137">
        <v>9350.0</v>
      </c>
      <c r="K42" s="137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529.0</v>
      </c>
      <c r="G43" s="93">
        <v>529.0</v>
      </c>
      <c r="H43" s="92"/>
      <c r="I43" s="92"/>
      <c r="J43" s="137">
        <v>9351.0</v>
      </c>
      <c r="K43" s="137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445.0</v>
      </c>
      <c r="G44" s="93">
        <v>445.0</v>
      </c>
      <c r="H44" s="93"/>
      <c r="I44" s="92"/>
      <c r="J44" s="137">
        <v>9352.0</v>
      </c>
      <c r="K44" s="137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1276.0</v>
      </c>
      <c r="G45" s="93"/>
      <c r="H45" s="143">
        <v>1276.0</v>
      </c>
      <c r="I45" s="92"/>
      <c r="J45" s="137">
        <v>9353.0</v>
      </c>
      <c r="K45" s="137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277.0</v>
      </c>
      <c r="G46" s="93"/>
      <c r="H46" s="143">
        <v>277.0</v>
      </c>
      <c r="I46" s="92"/>
      <c r="J46" s="137">
        <v>9354.0</v>
      </c>
      <c r="K46" s="137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277.0</v>
      </c>
      <c r="G47" s="93">
        <v>277.0</v>
      </c>
      <c r="H47" s="93"/>
      <c r="I47" s="92"/>
      <c r="J47" s="137">
        <v>9355.0</v>
      </c>
      <c r="K47" s="137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225.0</v>
      </c>
      <c r="G48" s="93">
        <v>225.0</v>
      </c>
      <c r="H48" s="92"/>
      <c r="I48" s="92"/>
      <c r="J48" s="137">
        <v>9356.0</v>
      </c>
      <c r="K48" s="137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138.0</v>
      </c>
      <c r="G49" s="92"/>
      <c r="H49" s="143">
        <v>138.0</v>
      </c>
      <c r="I49" s="92"/>
      <c r="J49" s="137">
        <v>9357.0</v>
      </c>
      <c r="K49" s="137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284.0</v>
      </c>
      <c r="G50" s="93">
        <v>284.0</v>
      </c>
      <c r="H50" s="93"/>
      <c r="I50" s="92"/>
      <c r="J50" s="137">
        <v>9358.0</v>
      </c>
      <c r="K50" s="137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83.0</v>
      </c>
      <c r="G51" s="93">
        <v>83.0</v>
      </c>
      <c r="H51" s="92"/>
      <c r="I51" s="92"/>
      <c r="J51" s="137">
        <v>9359.0</v>
      </c>
      <c r="K51" s="137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291.0</v>
      </c>
      <c r="G52" s="93">
        <v>291.0</v>
      </c>
      <c r="H52" s="92"/>
      <c r="I52" s="92"/>
      <c r="J52" s="137">
        <v>9360.0</v>
      </c>
      <c r="K52" s="137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68.0</v>
      </c>
      <c r="G53" s="93">
        <v>68.0</v>
      </c>
      <c r="H53" s="153"/>
      <c r="I53" s="92"/>
      <c r="J53" s="137">
        <v>9361.0</v>
      </c>
      <c r="K53" s="137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99.0</v>
      </c>
      <c r="G54" s="92"/>
      <c r="H54" s="143">
        <v>99.0</v>
      </c>
      <c r="I54" s="92"/>
      <c r="J54" s="137">
        <v>9362.0</v>
      </c>
      <c r="K54" s="137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373.0</v>
      </c>
      <c r="G55" s="93">
        <v>11.0</v>
      </c>
      <c r="H55" s="143">
        <v>362.0</v>
      </c>
      <c r="I55" s="92"/>
      <c r="J55" s="137">
        <v>9363.0</v>
      </c>
      <c r="K55" s="137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521.0</v>
      </c>
      <c r="G56" s="92"/>
      <c r="H56" s="143">
        <v>521.0</v>
      </c>
      <c r="I56" s="92"/>
      <c r="J56" s="137">
        <v>9364.0</v>
      </c>
      <c r="K56" s="137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954.0</v>
      </c>
      <c r="G57" s="93">
        <v>954.0</v>
      </c>
      <c r="H57" s="92"/>
      <c r="I57" s="92"/>
      <c r="J57" s="137">
        <v>9365.0</v>
      </c>
      <c r="K57" s="137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87.0</v>
      </c>
      <c r="G58" s="93">
        <v>87.0</v>
      </c>
      <c r="H58" s="92"/>
      <c r="I58" s="92"/>
      <c r="J58" s="137">
        <v>9366.0</v>
      </c>
      <c r="K58" s="137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318.0</v>
      </c>
      <c r="G59" s="92"/>
      <c r="H59" s="143">
        <v>318.0</v>
      </c>
      <c r="I59" s="92"/>
      <c r="J59" s="137">
        <v>9367.0</v>
      </c>
      <c r="K59" s="137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22.0</v>
      </c>
      <c r="G60" s="92"/>
      <c r="H60" s="143">
        <v>22.0</v>
      </c>
      <c r="I60" s="92"/>
      <c r="J60" s="137">
        <v>9368.0</v>
      </c>
      <c r="K60" s="137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228.0</v>
      </c>
      <c r="G61" s="93">
        <v>200.0</v>
      </c>
      <c r="H61" s="143">
        <v>28.0</v>
      </c>
      <c r="I61" s="92"/>
      <c r="J61" s="137">
        <v>9369.0</v>
      </c>
      <c r="K61" s="137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379.0</v>
      </c>
      <c r="G62" s="93">
        <v>379.0</v>
      </c>
      <c r="H62" s="92"/>
      <c r="I62" s="92"/>
      <c r="J62" s="137">
        <v>9370.0</v>
      </c>
      <c r="K62" s="137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240.0</v>
      </c>
      <c r="G63" s="93">
        <v>240.0</v>
      </c>
      <c r="H63" s="92"/>
      <c r="I63" s="92"/>
      <c r="J63" s="137">
        <v>9371.0</v>
      </c>
      <c r="K63" s="137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268.0</v>
      </c>
      <c r="G64" s="93">
        <v>268.0</v>
      </c>
      <c r="H64" s="92"/>
      <c r="I64" s="92"/>
      <c r="J64" s="137">
        <v>9372.0</v>
      </c>
      <c r="K64" s="137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343.0</v>
      </c>
      <c r="G65" s="93">
        <v>343.0</v>
      </c>
      <c r="H65" s="92"/>
      <c r="I65" s="92"/>
      <c r="J65" s="137">
        <v>9373.0</v>
      </c>
      <c r="K65" s="137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299.0</v>
      </c>
      <c r="G66" s="93">
        <v>299.0</v>
      </c>
      <c r="H66" s="92"/>
      <c r="I66" s="92"/>
      <c r="J66" s="137">
        <v>9374.0</v>
      </c>
      <c r="K66" s="137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121.0</v>
      </c>
      <c r="G67" s="93">
        <v>121.0</v>
      </c>
      <c r="H67" s="92"/>
      <c r="I67" s="92"/>
      <c r="J67" s="137">
        <v>9375.0</v>
      </c>
      <c r="K67" s="137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329.0</v>
      </c>
      <c r="G68" s="93">
        <v>329.0</v>
      </c>
      <c r="H68" s="92"/>
      <c r="I68" s="92"/>
      <c r="J68" s="137">
        <v>9376.0</v>
      </c>
      <c r="K68" s="137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29.0</v>
      </c>
      <c r="G69" s="92"/>
      <c r="H69" s="143">
        <v>29.0</v>
      </c>
      <c r="I69" s="92"/>
      <c r="J69" s="137">
        <v>9377.0</v>
      </c>
      <c r="K69" s="137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115.0</v>
      </c>
      <c r="G70" s="93">
        <v>115.0</v>
      </c>
      <c r="H70" s="92"/>
      <c r="I70" s="93"/>
      <c r="J70" s="137">
        <v>9378.0</v>
      </c>
      <c r="K70" s="137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56">
        <v>223.0</v>
      </c>
      <c r="G71" s="92"/>
      <c r="H71" s="143">
        <v>223.0</v>
      </c>
      <c r="I71" s="92"/>
      <c r="J71" s="137">
        <v>9379.0</v>
      </c>
      <c r="K71" s="137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56">
        <v>7821.0</v>
      </c>
      <c r="G72" s="92"/>
      <c r="H72" s="92"/>
      <c r="I72" s="93">
        <v>7821.0</v>
      </c>
      <c r="J72" s="137" t="s">
        <v>126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56">
        <v>59.0</v>
      </c>
      <c r="G73" s="93">
        <v>59.0</v>
      </c>
      <c r="H73" s="92"/>
      <c r="I73" s="92"/>
      <c r="J73" s="137">
        <v>9381.0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56">
        <v>32.0</v>
      </c>
      <c r="G74" s="93">
        <v>32.0</v>
      </c>
      <c r="H74" s="92"/>
      <c r="I74" s="92"/>
      <c r="J74" s="137">
        <v>9382.0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56">
        <v>432.0</v>
      </c>
      <c r="G75" s="92"/>
      <c r="H75" s="143">
        <v>432.0</v>
      </c>
      <c r="I75" s="92"/>
      <c r="J75" s="137">
        <v>9383.0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56">
        <v>2127.0</v>
      </c>
      <c r="G76" s="93">
        <v>2127.0</v>
      </c>
      <c r="H76" s="92"/>
      <c r="I76" s="92"/>
      <c r="J76" s="137">
        <v>9384.0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56">
        <v>69.0</v>
      </c>
      <c r="G77" s="93">
        <v>69.0</v>
      </c>
      <c r="H77" s="92"/>
      <c r="I77" s="92"/>
      <c r="J77" s="137">
        <v>9385.0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56">
        <v>655.0</v>
      </c>
      <c r="G78" s="92"/>
      <c r="H78" s="92"/>
      <c r="I78" s="93">
        <v>655.0</v>
      </c>
      <c r="J78" s="137" t="s">
        <v>127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56">
        <v>1134.0</v>
      </c>
      <c r="G79" s="92"/>
      <c r="H79" s="143">
        <v>1134.0</v>
      </c>
      <c r="I79" s="92"/>
      <c r="J79" s="137">
        <v>9387.0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56">
        <v>69.0</v>
      </c>
      <c r="G80" s="92"/>
      <c r="H80" s="143">
        <v>69.0</v>
      </c>
      <c r="I80" s="92"/>
      <c r="J80" s="137">
        <v>9388.0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56">
        <v>2231.0</v>
      </c>
      <c r="G81" s="93">
        <v>2231.0</v>
      </c>
      <c r="H81" s="92"/>
      <c r="I81" s="92"/>
      <c r="J81" s="137">
        <v>9389.0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49">
        <v>27.0</v>
      </c>
      <c r="G82" s="54">
        <v>27.0</v>
      </c>
      <c r="H82" s="61"/>
      <c r="I82" s="61"/>
      <c r="J82" s="137">
        <v>9390.0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54"/>
      <c r="H83" s="61"/>
      <c r="I83" s="61"/>
      <c r="J83" s="137">
        <v>9391.0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137">
        <v>9392.0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137">
        <v>9393.0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137">
        <v>9394.0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137">
        <v>9395.0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137">
        <v>9396.0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137">
        <v>9397.0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137">
        <v>9398.0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137">
        <v>9399.0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137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137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137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34775</v>
      </c>
      <c r="G97" s="123">
        <f t="shared" si="4"/>
        <v>18976</v>
      </c>
      <c r="H97" s="123">
        <f t="shared" si="4"/>
        <v>7323</v>
      </c>
      <c r="I97" s="123">
        <f t="shared" si="4"/>
        <v>8476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63">
        <v>45941.0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32">
        <v>45972.0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47174.0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7323.0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34426.0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F110-C15</f>
        <v>30886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G110-W33</f>
        <v>12776</v>
      </c>
      <c r="D10" s="24"/>
      <c r="E10" s="43">
        <v>1.0</v>
      </c>
      <c r="F10" s="44">
        <v>269.0</v>
      </c>
      <c r="G10" s="45"/>
      <c r="H10" s="133">
        <v>269.0</v>
      </c>
      <c r="I10" s="45"/>
      <c r="J10" s="137">
        <v>9391.0</v>
      </c>
      <c r="K10" s="24"/>
      <c r="L10" s="47"/>
      <c r="M10" s="164">
        <v>655.0</v>
      </c>
      <c r="N10" s="48">
        <v>9386.0</v>
      </c>
      <c r="O10" s="49"/>
      <c r="P10" s="85" t="s">
        <v>128</v>
      </c>
      <c r="Q10" s="51"/>
      <c r="R10" s="52">
        <v>100.0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H110-X33</f>
        <v>13565</v>
      </c>
      <c r="D11" s="24"/>
      <c r="E11" s="43">
        <v>2.0</v>
      </c>
      <c r="F11" s="56">
        <v>550.0</v>
      </c>
      <c r="G11" s="57"/>
      <c r="H11" s="136">
        <v>550.0</v>
      </c>
      <c r="I11" s="59"/>
      <c r="J11" s="137">
        <v>9392.0</v>
      </c>
      <c r="K11" s="24"/>
      <c r="L11" s="48"/>
      <c r="M11" s="164">
        <v>170.0</v>
      </c>
      <c r="N11" s="47">
        <v>6614.0</v>
      </c>
      <c r="O11" s="49"/>
      <c r="P11" s="72" t="s">
        <v>109</v>
      </c>
      <c r="Q11" s="51"/>
      <c r="R11" s="52">
        <v>100.0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I110</f>
        <v>4545</v>
      </c>
      <c r="D12" s="24"/>
      <c r="E12" s="43">
        <v>3.0</v>
      </c>
      <c r="F12" s="63">
        <v>80.0</v>
      </c>
      <c r="G12" s="138">
        <v>30.0</v>
      </c>
      <c r="H12" s="139">
        <v>50.0</v>
      </c>
      <c r="I12" s="65"/>
      <c r="J12" s="137">
        <v>9393.0</v>
      </c>
      <c r="K12" s="24"/>
      <c r="L12" s="48"/>
      <c r="M12" s="48"/>
      <c r="N12" s="48"/>
      <c r="O12" s="49"/>
      <c r="P12" s="72"/>
      <c r="Q12" s="51"/>
      <c r="R12" s="52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>
        <v>1584.0</v>
      </c>
      <c r="G13" s="64"/>
      <c r="H13" s="65"/>
      <c r="I13" s="64">
        <v>1584.0</v>
      </c>
      <c r="J13" s="137" t="s">
        <v>129</v>
      </c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825</v>
      </c>
      <c r="D14" s="24"/>
      <c r="E14" s="43">
        <v>5.0</v>
      </c>
      <c r="F14" s="56">
        <v>573.0</v>
      </c>
      <c r="G14" s="138">
        <v>573.0</v>
      </c>
      <c r="H14" s="65"/>
      <c r="I14" s="65"/>
      <c r="J14" s="137">
        <v>9395.0</v>
      </c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>
        <v>194.0</v>
      </c>
      <c r="G15" s="138">
        <v>194.0</v>
      </c>
      <c r="H15" s="64"/>
      <c r="I15" s="65"/>
      <c r="J15" s="137">
        <v>9396.0</v>
      </c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200</v>
      </c>
      <c r="D16" s="24"/>
      <c r="E16" s="43">
        <v>7.0</v>
      </c>
      <c r="F16" s="56">
        <v>425.0</v>
      </c>
      <c r="G16" s="64"/>
      <c r="H16" s="139">
        <v>425.0</v>
      </c>
      <c r="I16" s="65"/>
      <c r="J16" s="137">
        <v>9397.0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200</v>
      </c>
      <c r="D17" s="24"/>
      <c r="E17" s="43">
        <v>8.0</v>
      </c>
      <c r="F17" s="56">
        <v>194.0</v>
      </c>
      <c r="G17" s="64"/>
      <c r="H17" s="64"/>
      <c r="I17" s="64">
        <v>194.0</v>
      </c>
      <c r="J17" s="137" t="s">
        <v>130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1006.0</v>
      </c>
      <c r="G18" s="64"/>
      <c r="H18" s="139">
        <v>1006.0</v>
      </c>
      <c r="I18" s="65"/>
      <c r="J18" s="137">
        <v>9399.0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235.0</v>
      </c>
      <c r="G19" s="138">
        <v>235.0</v>
      </c>
      <c r="H19" s="65"/>
      <c r="I19" s="65"/>
      <c r="J19" s="137">
        <v>9400.0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38146</v>
      </c>
      <c r="D20" s="24"/>
      <c r="E20" s="43">
        <v>11.0</v>
      </c>
      <c r="F20" s="56">
        <v>153.0</v>
      </c>
      <c r="G20" s="138">
        <v>153.0</v>
      </c>
      <c r="H20" s="64"/>
      <c r="I20" s="65"/>
      <c r="J20" s="137">
        <v>9401.0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14390</v>
      </c>
      <c r="D21" s="24"/>
      <c r="E21" s="43">
        <v>12.0</v>
      </c>
      <c r="F21" s="56">
        <v>387.0</v>
      </c>
      <c r="G21" s="138">
        <v>387.0</v>
      </c>
      <c r="H21" s="64"/>
      <c r="I21" s="65"/>
      <c r="J21" s="137">
        <v>9402.0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56250</v>
      </c>
      <c r="D22" s="24"/>
      <c r="E22" s="43">
        <v>13.0</v>
      </c>
      <c r="F22" s="56">
        <v>314.0</v>
      </c>
      <c r="G22" s="138">
        <v>314.0</v>
      </c>
      <c r="H22" s="64"/>
      <c r="I22" s="65"/>
      <c r="J22" s="137">
        <v>9403.0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41">
        <v>56247.0</v>
      </c>
      <c r="D23" s="24"/>
      <c r="E23" s="43">
        <v>14.0</v>
      </c>
      <c r="F23" s="56">
        <v>12.0</v>
      </c>
      <c r="G23" s="138">
        <v>12.0</v>
      </c>
      <c r="H23" s="65"/>
      <c r="I23" s="65"/>
      <c r="J23" s="137">
        <v>9404.0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3</v>
      </c>
      <c r="D24" s="24"/>
      <c r="E24" s="43">
        <v>15.0</v>
      </c>
      <c r="F24" s="56">
        <v>153.0</v>
      </c>
      <c r="G24" s="64"/>
      <c r="H24" s="139">
        <v>153.0</v>
      </c>
      <c r="I24" s="65"/>
      <c r="J24" s="137">
        <v>9405.0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145.0</v>
      </c>
      <c r="G25" s="138">
        <v>145.0</v>
      </c>
      <c r="H25" s="65"/>
      <c r="I25" s="65"/>
      <c r="J25" s="137">
        <v>9406.0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F110</f>
        <v>30886</v>
      </c>
      <c r="D26" s="24"/>
      <c r="E26" s="43">
        <v>17.0</v>
      </c>
      <c r="F26" s="56">
        <v>231.0</v>
      </c>
      <c r="G26" s="138">
        <v>231.0</v>
      </c>
      <c r="H26" s="65"/>
      <c r="I26" s="65"/>
      <c r="J26" s="137">
        <v>9407.0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100.0</v>
      </c>
      <c r="D27" s="24"/>
      <c r="E27" s="43">
        <v>18.0</v>
      </c>
      <c r="F27" s="56">
        <v>36.0</v>
      </c>
      <c r="G27" s="138">
        <v>36.0</v>
      </c>
      <c r="H27" s="65"/>
      <c r="I27" s="65"/>
      <c r="J27" s="137">
        <v>9408.0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308.86</v>
      </c>
      <c r="D28" s="24"/>
      <c r="E28" s="43">
        <v>19.0</v>
      </c>
      <c r="F28" s="56">
        <v>262.0</v>
      </c>
      <c r="G28" s="138">
        <v>262.0</v>
      </c>
      <c r="H28" s="65"/>
      <c r="I28" s="65"/>
      <c r="J28" s="137">
        <v>9409.0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307.0</v>
      </c>
      <c r="G29" s="64"/>
      <c r="H29" s="139">
        <v>307.0</v>
      </c>
      <c r="I29" s="65"/>
      <c r="J29" s="137">
        <v>9410.0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142.0</v>
      </c>
      <c r="G30" s="92"/>
      <c r="H30" s="143">
        <v>142.0</v>
      </c>
      <c r="I30" s="93"/>
      <c r="J30" s="137">
        <v>9411.0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>
        <f>S33</f>
        <v>7323</v>
      </c>
      <c r="D31" s="24"/>
      <c r="E31" s="43">
        <v>22.0</v>
      </c>
      <c r="F31" s="56">
        <v>194.0</v>
      </c>
      <c r="G31" s="142">
        <v>194.0</v>
      </c>
      <c r="H31" s="92"/>
      <c r="I31" s="92"/>
      <c r="J31" s="137">
        <v>9412.0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200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>
        <f>R34</f>
        <v>3500</v>
      </c>
      <c r="D32" s="24"/>
      <c r="E32" s="43">
        <v>23.0</v>
      </c>
      <c r="F32" s="56">
        <v>71.0</v>
      </c>
      <c r="G32" s="142">
        <v>71.0</v>
      </c>
      <c r="H32" s="92"/>
      <c r="I32" s="92"/>
      <c r="J32" s="137">
        <v>9413.0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88.0</v>
      </c>
      <c r="G33" s="93"/>
      <c r="H33" s="143">
        <v>88.0</v>
      </c>
      <c r="I33" s="92"/>
      <c r="J33" s="137">
        <v>9414.0</v>
      </c>
      <c r="K33" s="24"/>
      <c r="L33" s="104">
        <f t="shared" ref="L33:M33" si="2">sum(L10:L32)</f>
        <v>0</v>
      </c>
      <c r="M33" s="104">
        <f t="shared" si="2"/>
        <v>825</v>
      </c>
      <c r="N33" s="104"/>
      <c r="O33" s="105"/>
      <c r="P33" s="85" t="s">
        <v>38</v>
      </c>
      <c r="Q33" s="51"/>
      <c r="R33" s="100"/>
      <c r="S33" s="52">
        <v>7323.0</v>
      </c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759.0</v>
      </c>
      <c r="G34" s="93"/>
      <c r="H34" s="143">
        <v>759.0</v>
      </c>
      <c r="I34" s="92"/>
      <c r="J34" s="137">
        <v>9415.0</v>
      </c>
      <c r="K34" s="24"/>
      <c r="L34" s="106"/>
      <c r="M34" s="106"/>
      <c r="N34" s="106"/>
      <c r="O34" s="106"/>
      <c r="P34" s="85" t="s">
        <v>40</v>
      </c>
      <c r="Q34" s="107"/>
      <c r="R34" s="144">
        <v>3500.0</v>
      </c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50.0</v>
      </c>
      <c r="G35" s="142">
        <v>50.0</v>
      </c>
      <c r="H35" s="93"/>
      <c r="I35" s="92"/>
      <c r="J35" s="137">
        <v>9416.0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378.0</v>
      </c>
      <c r="G36" s="93"/>
      <c r="H36" s="143">
        <v>378.0</v>
      </c>
      <c r="I36" s="92"/>
      <c r="J36" s="137">
        <v>9417.0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101.0</v>
      </c>
      <c r="G37" s="142">
        <v>101.0</v>
      </c>
      <c r="H37" s="92"/>
      <c r="I37" s="92"/>
      <c r="J37" s="137">
        <v>9418.0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182.0</v>
      </c>
      <c r="G38" s="142">
        <v>182.0</v>
      </c>
      <c r="H38" s="92"/>
      <c r="I38" s="92"/>
      <c r="J38" s="137">
        <v>9419.0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261.0</v>
      </c>
      <c r="G39" s="93"/>
      <c r="H39" s="143">
        <v>261.0</v>
      </c>
      <c r="I39" s="92"/>
      <c r="J39" s="137">
        <v>9420.0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120.0</v>
      </c>
      <c r="G40" s="142">
        <v>120.0</v>
      </c>
      <c r="H40" s="93"/>
      <c r="I40" s="92"/>
      <c r="J40" s="137">
        <v>9421.0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32.0</v>
      </c>
      <c r="G41" s="142">
        <v>32.0</v>
      </c>
      <c r="H41" s="93"/>
      <c r="I41" s="92"/>
      <c r="J41" s="137">
        <v>9422.0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183.0</v>
      </c>
      <c r="G42" s="142">
        <v>183.0</v>
      </c>
      <c r="H42" s="93"/>
      <c r="I42" s="92"/>
      <c r="J42" s="137">
        <v>9423.0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136.0</v>
      </c>
      <c r="G43" s="142">
        <v>136.0</v>
      </c>
      <c r="H43" s="92"/>
      <c r="I43" s="92"/>
      <c r="J43" s="137">
        <v>9424.0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520.0</v>
      </c>
      <c r="G44" s="142">
        <v>520.0</v>
      </c>
      <c r="H44" s="93"/>
      <c r="I44" s="92"/>
      <c r="J44" s="137">
        <v>9425.0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300.0</v>
      </c>
      <c r="G45" s="142">
        <v>300.0</v>
      </c>
      <c r="H45" s="92"/>
      <c r="I45" s="92"/>
      <c r="J45" s="137">
        <v>9426.0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25.0</v>
      </c>
      <c r="G46" s="142">
        <v>25.0</v>
      </c>
      <c r="H46" s="92"/>
      <c r="I46" s="92"/>
      <c r="J46" s="137">
        <v>9427.0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546.0</v>
      </c>
      <c r="G47" s="142">
        <v>106.0</v>
      </c>
      <c r="H47" s="143">
        <v>440.0</v>
      </c>
      <c r="I47" s="92"/>
      <c r="J47" s="137">
        <v>9428.0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240.0</v>
      </c>
      <c r="G48" s="142">
        <v>240.0</v>
      </c>
      <c r="H48" s="92"/>
      <c r="I48" s="92"/>
      <c r="J48" s="137">
        <v>9429.0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10.0</v>
      </c>
      <c r="G49" s="92"/>
      <c r="H49" s="143">
        <v>10.0</v>
      </c>
      <c r="I49" s="92"/>
      <c r="J49" s="137">
        <v>9430.0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593.0</v>
      </c>
      <c r="G50" s="142">
        <v>593.0</v>
      </c>
      <c r="H50" s="93"/>
      <c r="I50" s="92"/>
      <c r="J50" s="137">
        <v>9431.0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285.0</v>
      </c>
      <c r="G51" s="92"/>
      <c r="H51" s="143">
        <v>285.0</v>
      </c>
      <c r="I51" s="92"/>
      <c r="J51" s="137">
        <v>9432.0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877.0</v>
      </c>
      <c r="G52" s="93"/>
      <c r="H52" s="143">
        <v>877.0</v>
      </c>
      <c r="I52" s="92"/>
      <c r="J52" s="137">
        <v>9433.0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132.0</v>
      </c>
      <c r="G53" s="142">
        <v>132.0</v>
      </c>
      <c r="H53" s="92"/>
      <c r="I53" s="92"/>
      <c r="J53" s="137">
        <v>9434.0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51">
        <v>350.0</v>
      </c>
      <c r="G54" s="142">
        <v>350.0</v>
      </c>
      <c r="H54" s="153"/>
      <c r="I54" s="92"/>
      <c r="J54" s="137">
        <v>9435.0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682.0</v>
      </c>
      <c r="G55" s="92"/>
      <c r="H55" s="143">
        <v>682.0</v>
      </c>
      <c r="I55" s="92"/>
      <c r="J55" s="137">
        <v>9436.0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135.0</v>
      </c>
      <c r="G56" s="142">
        <v>135.0</v>
      </c>
      <c r="H56" s="92"/>
      <c r="I56" s="92"/>
      <c r="J56" s="137">
        <v>9437.0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279.0</v>
      </c>
      <c r="G57" s="142">
        <v>279.0</v>
      </c>
      <c r="H57" s="92"/>
      <c r="I57" s="92"/>
      <c r="J57" s="137">
        <v>9438.0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88.0</v>
      </c>
      <c r="G58" s="142">
        <v>88.0</v>
      </c>
      <c r="H58" s="92"/>
      <c r="I58" s="92"/>
      <c r="J58" s="137">
        <v>9439.0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192.0</v>
      </c>
      <c r="G59" s="92"/>
      <c r="H59" s="143">
        <v>192.0</v>
      </c>
      <c r="I59" s="92"/>
      <c r="J59" s="137">
        <v>9440.0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240.0</v>
      </c>
      <c r="G60" s="92"/>
      <c r="H60" s="143">
        <v>240.0</v>
      </c>
      <c r="I60" s="92"/>
      <c r="J60" s="137">
        <v>9441.0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217.0</v>
      </c>
      <c r="G61" s="142">
        <v>217.0</v>
      </c>
      <c r="H61" s="92"/>
      <c r="I61" s="92"/>
      <c r="J61" s="137">
        <v>9442.0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333.0</v>
      </c>
      <c r="G62" s="142">
        <v>333.0</v>
      </c>
      <c r="H62" s="92"/>
      <c r="I62" s="92"/>
      <c r="J62" s="137">
        <v>9443.0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338.0</v>
      </c>
      <c r="G63" s="92"/>
      <c r="H63" s="143">
        <v>338.0</v>
      </c>
      <c r="I63" s="92"/>
      <c r="J63" s="137">
        <v>9444.0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51">
        <v>636.0</v>
      </c>
      <c r="G64" s="92"/>
      <c r="H64" s="143">
        <v>636.0</v>
      </c>
      <c r="I64" s="92"/>
      <c r="J64" s="137">
        <v>9445.0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151.0</v>
      </c>
      <c r="G65" s="92"/>
      <c r="H65" s="143">
        <v>151.0</v>
      </c>
      <c r="I65" s="92"/>
      <c r="J65" s="137">
        <v>9446.0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375.0</v>
      </c>
      <c r="G66" s="92"/>
      <c r="H66" s="143">
        <v>375.0</v>
      </c>
      <c r="I66" s="92"/>
      <c r="J66" s="137">
        <v>9447.0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323.0</v>
      </c>
      <c r="G67" s="142">
        <v>323.0</v>
      </c>
      <c r="H67" s="92"/>
      <c r="I67" s="92"/>
      <c r="J67" s="137">
        <v>9448.0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198.0</v>
      </c>
      <c r="G68" s="142">
        <v>198.0</v>
      </c>
      <c r="H68" s="92"/>
      <c r="I68" s="92"/>
      <c r="J68" s="137">
        <v>9449.0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10.0</v>
      </c>
      <c r="G69" s="142">
        <v>10.0</v>
      </c>
      <c r="H69" s="92"/>
      <c r="I69" s="92"/>
      <c r="J69" s="137">
        <v>9450.0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546.0</v>
      </c>
      <c r="G70" s="92"/>
      <c r="H70" s="143">
        <v>546.0</v>
      </c>
      <c r="I70" s="92"/>
      <c r="J70" s="137">
        <v>9451.0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56">
        <v>40.0</v>
      </c>
      <c r="G71" s="142">
        <v>40.0</v>
      </c>
      <c r="H71" s="92"/>
      <c r="I71" s="92"/>
      <c r="J71" s="137">
        <v>9452.0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56">
        <v>569.0</v>
      </c>
      <c r="G72" s="142">
        <v>569.0</v>
      </c>
      <c r="H72" s="92"/>
      <c r="I72" s="92"/>
      <c r="J72" s="137">
        <v>9453.0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56">
        <v>237.0</v>
      </c>
      <c r="G73" s="92"/>
      <c r="H73" s="92"/>
      <c r="I73" s="93">
        <v>237.0</v>
      </c>
      <c r="J73" s="137" t="s">
        <v>131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56">
        <v>632.0</v>
      </c>
      <c r="G74" s="142">
        <v>450.0</v>
      </c>
      <c r="H74" s="143">
        <v>182.0</v>
      </c>
      <c r="I74" s="92"/>
      <c r="J74" s="137">
        <v>9455.0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56">
        <v>30.0</v>
      </c>
      <c r="G75" s="92"/>
      <c r="H75" s="143">
        <v>30.0</v>
      </c>
      <c r="I75" s="92"/>
      <c r="J75" s="137">
        <v>9456.0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56">
        <v>149.0</v>
      </c>
      <c r="G76" s="92"/>
      <c r="H76" s="143">
        <v>149.0</v>
      </c>
      <c r="I76" s="92"/>
      <c r="J76" s="137">
        <v>9457.0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56">
        <v>30.0</v>
      </c>
      <c r="G77" s="142">
        <v>30.0</v>
      </c>
      <c r="H77" s="92"/>
      <c r="I77" s="92"/>
      <c r="J77" s="137">
        <v>9458.0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56">
        <v>1182.0</v>
      </c>
      <c r="G78" s="93"/>
      <c r="H78" s="143">
        <v>1182.0</v>
      </c>
      <c r="I78" s="93"/>
      <c r="J78" s="137">
        <v>9459.0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56">
        <v>40.0</v>
      </c>
      <c r="G79" s="142">
        <v>40.0</v>
      </c>
      <c r="H79" s="92"/>
      <c r="I79" s="92"/>
      <c r="J79" s="137">
        <v>9460.0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56">
        <v>44.0</v>
      </c>
      <c r="G80" s="92"/>
      <c r="H80" s="143">
        <v>44.0</v>
      </c>
      <c r="I80" s="92"/>
      <c r="J80" s="137">
        <v>9461.0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56">
        <v>102.0</v>
      </c>
      <c r="G81" s="92"/>
      <c r="H81" s="143">
        <v>102.0</v>
      </c>
      <c r="I81" s="92"/>
      <c r="J81" s="137">
        <v>9462.0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49">
        <v>68.0</v>
      </c>
      <c r="G82" s="142">
        <v>40.0</v>
      </c>
      <c r="H82" s="143">
        <v>28.0</v>
      </c>
      <c r="I82" s="61"/>
      <c r="J82" s="137">
        <v>9463.0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51">
        <v>823.0</v>
      </c>
      <c r="G83" s="61"/>
      <c r="H83" s="143">
        <v>823.0</v>
      </c>
      <c r="I83" s="61"/>
      <c r="J83" s="137">
        <v>9464.0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49">
        <v>88.0</v>
      </c>
      <c r="G84" s="61"/>
      <c r="H84" s="143">
        <v>88.0</v>
      </c>
      <c r="I84" s="61"/>
      <c r="J84" s="137">
        <v>9465.0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49">
        <v>493.0</v>
      </c>
      <c r="G85" s="142">
        <v>493.0</v>
      </c>
      <c r="H85" s="61"/>
      <c r="I85" s="61"/>
      <c r="J85" s="137">
        <v>9466.0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49">
        <v>114.0</v>
      </c>
      <c r="G86" s="61"/>
      <c r="H86" s="143">
        <v>114.0</v>
      </c>
      <c r="I86" s="61"/>
      <c r="J86" s="137">
        <v>9467.0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49">
        <v>318.0</v>
      </c>
      <c r="G87" s="142">
        <v>318.0</v>
      </c>
      <c r="H87" s="61"/>
      <c r="I87" s="61"/>
      <c r="J87" s="137">
        <v>9468.0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49">
        <v>180.0</v>
      </c>
      <c r="G88" s="142">
        <v>180.0</v>
      </c>
      <c r="H88" s="61"/>
      <c r="I88" s="61"/>
      <c r="J88" s="137">
        <v>9469.0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49">
        <v>71.0</v>
      </c>
      <c r="G89" s="142">
        <v>71.0</v>
      </c>
      <c r="H89" s="61"/>
      <c r="I89" s="61"/>
      <c r="J89" s="137">
        <v>9470.0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49">
        <v>433.0</v>
      </c>
      <c r="G90" s="142">
        <v>433.0</v>
      </c>
      <c r="H90" s="61"/>
      <c r="I90" s="61"/>
      <c r="J90" s="137">
        <v>9471.0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49">
        <v>11.0</v>
      </c>
      <c r="G91" s="142">
        <v>11.0</v>
      </c>
      <c r="H91" s="61"/>
      <c r="I91" s="61"/>
      <c r="J91" s="137">
        <v>9472.0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49">
        <v>571.0</v>
      </c>
      <c r="G92" s="142">
        <v>571.0</v>
      </c>
      <c r="H92" s="61"/>
      <c r="I92" s="61"/>
      <c r="J92" s="137">
        <v>9473.0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49">
        <v>102.0</v>
      </c>
      <c r="G93" s="142">
        <v>102.0</v>
      </c>
      <c r="H93" s="61"/>
      <c r="I93" s="61"/>
      <c r="J93" s="137">
        <v>9474.0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49">
        <v>120.0</v>
      </c>
      <c r="G94" s="142">
        <v>120.0</v>
      </c>
      <c r="H94" s="61"/>
      <c r="I94" s="61"/>
      <c r="J94" s="137">
        <v>9475.0</v>
      </c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49">
        <v>57.0</v>
      </c>
      <c r="G95" s="142">
        <v>57.0</v>
      </c>
      <c r="H95" s="61"/>
      <c r="I95" s="61"/>
      <c r="J95" s="137">
        <v>9476.0</v>
      </c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49">
        <v>739.0</v>
      </c>
      <c r="G96" s="142">
        <v>670.0</v>
      </c>
      <c r="H96" s="143">
        <v>69.0</v>
      </c>
      <c r="I96" s="61"/>
      <c r="J96" s="137">
        <v>9477.0</v>
      </c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24"/>
      <c r="E97" s="43">
        <v>88.0</v>
      </c>
      <c r="F97" s="149">
        <v>307.0</v>
      </c>
      <c r="G97" s="142">
        <v>307.0</v>
      </c>
      <c r="H97" s="61"/>
      <c r="I97" s="61"/>
      <c r="J97" s="137">
        <v>9478.0</v>
      </c>
      <c r="K97" s="24"/>
      <c r="L97" s="112"/>
      <c r="M97" s="112"/>
      <c r="N97" s="112"/>
      <c r="O97" s="112"/>
      <c r="P97" s="112"/>
      <c r="Q97" s="113"/>
      <c r="R97" s="114"/>
      <c r="S97" s="114"/>
      <c r="T97" s="114"/>
      <c r="U97" s="115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</row>
    <row r="98" ht="14.25" customHeight="1">
      <c r="A98" s="1"/>
      <c r="B98" s="1"/>
      <c r="C98" s="1"/>
      <c r="D98" s="24"/>
      <c r="E98" s="43">
        <v>89.0</v>
      </c>
      <c r="F98" s="151">
        <v>613.0</v>
      </c>
      <c r="G98" s="61"/>
      <c r="H98" s="143">
        <v>613.0</v>
      </c>
      <c r="I98" s="61"/>
      <c r="J98" s="137">
        <v>9479.0</v>
      </c>
      <c r="K98" s="24"/>
      <c r="L98" s="112"/>
      <c r="M98" s="112"/>
      <c r="N98" s="112"/>
      <c r="O98" s="112"/>
      <c r="P98" s="112"/>
      <c r="Q98" s="113"/>
      <c r="R98" s="114"/>
      <c r="S98" s="114"/>
      <c r="T98" s="114"/>
      <c r="U98" s="115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</row>
    <row r="99" ht="14.25" customHeight="1">
      <c r="A99" s="1"/>
      <c r="B99" s="1"/>
      <c r="C99" s="1"/>
      <c r="D99" s="24"/>
      <c r="E99" s="43">
        <v>90.0</v>
      </c>
      <c r="F99" s="149">
        <v>260.0</v>
      </c>
      <c r="G99" s="61"/>
      <c r="H99" s="143">
        <v>260.0</v>
      </c>
      <c r="I99" s="61"/>
      <c r="J99" s="137">
        <v>9480.0</v>
      </c>
      <c r="K99" s="24"/>
      <c r="L99" s="112"/>
      <c r="M99" s="112"/>
      <c r="N99" s="112"/>
      <c r="O99" s="112"/>
      <c r="P99" s="112"/>
      <c r="Q99" s="113"/>
      <c r="R99" s="114"/>
      <c r="S99" s="114"/>
      <c r="T99" s="114"/>
      <c r="U99" s="115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</row>
    <row r="100" ht="14.25" customHeight="1">
      <c r="A100" s="1"/>
      <c r="B100" s="1"/>
      <c r="C100" s="1"/>
      <c r="D100" s="24"/>
      <c r="E100" s="43">
        <v>91.0</v>
      </c>
      <c r="F100" s="149">
        <v>110.0</v>
      </c>
      <c r="G100" s="142">
        <v>110.0</v>
      </c>
      <c r="H100" s="61"/>
      <c r="I100" s="61"/>
      <c r="J100" s="137">
        <v>9481.0</v>
      </c>
      <c r="K100" s="24"/>
      <c r="L100" s="112"/>
      <c r="M100" s="112"/>
      <c r="N100" s="112"/>
      <c r="O100" s="112"/>
      <c r="P100" s="112"/>
      <c r="Q100" s="113"/>
      <c r="R100" s="114"/>
      <c r="S100" s="114"/>
      <c r="T100" s="114"/>
      <c r="U100" s="115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</row>
    <row r="101" ht="14.25" customHeight="1">
      <c r="A101" s="1"/>
      <c r="B101" s="1"/>
      <c r="C101" s="1"/>
      <c r="D101" s="24"/>
      <c r="E101" s="43">
        <v>92.0</v>
      </c>
      <c r="F101" s="149">
        <v>350.0</v>
      </c>
      <c r="G101" s="61"/>
      <c r="H101" s="143">
        <v>350.0</v>
      </c>
      <c r="I101" s="61"/>
      <c r="J101" s="137">
        <v>9482.0</v>
      </c>
      <c r="K101" s="24"/>
      <c r="L101" s="112"/>
      <c r="M101" s="112"/>
      <c r="N101" s="112"/>
      <c r="O101" s="112"/>
      <c r="P101" s="112"/>
      <c r="Q101" s="113"/>
      <c r="R101" s="114"/>
      <c r="S101" s="114"/>
      <c r="T101" s="114"/>
      <c r="U101" s="115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</row>
    <row r="102" ht="14.25" customHeight="1">
      <c r="A102" s="1"/>
      <c r="B102" s="1"/>
      <c r="C102" s="1"/>
      <c r="D102" s="24"/>
      <c r="E102" s="43">
        <v>93.0</v>
      </c>
      <c r="F102" s="149">
        <v>273.0</v>
      </c>
      <c r="G102" s="142">
        <v>273.0</v>
      </c>
      <c r="H102" s="61"/>
      <c r="I102" s="61"/>
      <c r="J102" s="137">
        <v>9483.0</v>
      </c>
      <c r="K102" s="24"/>
      <c r="L102" s="112"/>
      <c r="M102" s="112"/>
      <c r="N102" s="112"/>
      <c r="O102" s="112"/>
      <c r="P102" s="112"/>
      <c r="Q102" s="113"/>
      <c r="R102" s="114"/>
      <c r="S102" s="114"/>
      <c r="T102" s="114"/>
      <c r="U102" s="115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</row>
    <row r="103" ht="14.25" customHeight="1">
      <c r="A103" s="1"/>
      <c r="B103" s="1"/>
      <c r="C103" s="1"/>
      <c r="D103" s="24"/>
      <c r="E103" s="43">
        <v>94.0</v>
      </c>
      <c r="F103" s="149">
        <v>24.0</v>
      </c>
      <c r="G103" s="142">
        <v>24.0</v>
      </c>
      <c r="H103" s="61"/>
      <c r="I103" s="61"/>
      <c r="J103" s="137">
        <v>9484.0</v>
      </c>
      <c r="K103" s="24"/>
      <c r="L103" s="112"/>
      <c r="M103" s="112"/>
      <c r="N103" s="112"/>
      <c r="O103" s="112"/>
      <c r="P103" s="112"/>
      <c r="Q103" s="113"/>
      <c r="R103" s="114"/>
      <c r="S103" s="114"/>
      <c r="T103" s="114"/>
      <c r="U103" s="115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</row>
    <row r="104" ht="14.25" customHeight="1">
      <c r="A104" s="1"/>
      <c r="B104" s="1"/>
      <c r="C104" s="1"/>
      <c r="D104" s="24"/>
      <c r="E104" s="43">
        <v>95.0</v>
      </c>
      <c r="F104" s="149">
        <v>1800.0</v>
      </c>
      <c r="G104" s="61"/>
      <c r="H104" s="61"/>
      <c r="I104" s="54">
        <v>1800.0</v>
      </c>
      <c r="J104" s="137" t="s">
        <v>132</v>
      </c>
      <c r="K104" s="24"/>
      <c r="L104" s="112"/>
      <c r="M104" s="112"/>
      <c r="N104" s="112"/>
      <c r="O104" s="112"/>
      <c r="P104" s="112"/>
      <c r="Q104" s="113"/>
      <c r="R104" s="114"/>
      <c r="S104" s="114"/>
      <c r="T104" s="114"/>
      <c r="U104" s="115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</row>
    <row r="105" ht="14.25" customHeight="1">
      <c r="A105" s="1"/>
      <c r="B105" s="1"/>
      <c r="C105" s="1"/>
      <c r="D105" s="24"/>
      <c r="E105" s="43">
        <v>96.0</v>
      </c>
      <c r="F105" s="149">
        <v>121.0</v>
      </c>
      <c r="G105" s="142">
        <v>121.0</v>
      </c>
      <c r="H105" s="61"/>
      <c r="I105" s="54"/>
      <c r="J105" s="137">
        <v>9486.0</v>
      </c>
      <c r="K105" s="24"/>
      <c r="L105" s="112"/>
      <c r="M105" s="112"/>
      <c r="N105" s="112"/>
      <c r="O105" s="112"/>
      <c r="P105" s="112"/>
      <c r="Q105" s="113"/>
      <c r="R105" s="114"/>
      <c r="S105" s="114"/>
      <c r="T105" s="114"/>
      <c r="U105" s="115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</row>
    <row r="106" ht="14.25" customHeight="1">
      <c r="A106" s="1"/>
      <c r="B106" s="1"/>
      <c r="C106" s="1"/>
      <c r="D106" s="24"/>
      <c r="E106" s="43">
        <v>97.0</v>
      </c>
      <c r="F106" s="149">
        <v>730.0</v>
      </c>
      <c r="G106" s="61"/>
      <c r="H106" s="61"/>
      <c r="I106" s="54">
        <v>730.0</v>
      </c>
      <c r="J106" s="137" t="s">
        <v>133</v>
      </c>
      <c r="K106" s="24"/>
      <c r="L106" s="112"/>
      <c r="M106" s="112"/>
      <c r="N106" s="112"/>
      <c r="O106" s="112"/>
      <c r="P106" s="112"/>
      <c r="Q106" s="113"/>
      <c r="R106" s="114"/>
      <c r="S106" s="114"/>
      <c r="T106" s="114"/>
      <c r="U106" s="115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</row>
    <row r="107" ht="14.25" customHeight="1">
      <c r="A107" s="1"/>
      <c r="B107" s="1"/>
      <c r="C107" s="1"/>
      <c r="D107" s="24"/>
      <c r="E107" s="43">
        <v>98.0</v>
      </c>
      <c r="F107" s="149">
        <v>309.0</v>
      </c>
      <c r="G107" s="61"/>
      <c r="H107" s="143">
        <v>309.0</v>
      </c>
      <c r="I107" s="61"/>
      <c r="J107" s="137">
        <v>9488.0</v>
      </c>
      <c r="K107" s="24"/>
      <c r="L107" s="112"/>
      <c r="M107" s="112"/>
      <c r="N107" s="112"/>
      <c r="O107" s="112"/>
      <c r="P107" s="112"/>
      <c r="Q107" s="113"/>
      <c r="R107" s="114"/>
      <c r="S107" s="114"/>
      <c r="T107" s="114"/>
      <c r="U107" s="115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</row>
    <row r="108" ht="14.25" customHeight="1">
      <c r="A108" s="1"/>
      <c r="B108" s="1"/>
      <c r="C108" s="1"/>
      <c r="D108" s="24"/>
      <c r="E108" s="43"/>
      <c r="F108" s="149">
        <v>256.0</v>
      </c>
      <c r="G108" s="142">
        <v>256.0</v>
      </c>
      <c r="H108" s="153"/>
      <c r="I108" s="61"/>
      <c r="J108" s="137"/>
      <c r="K108" s="24"/>
      <c r="L108" s="112"/>
      <c r="M108" s="112"/>
      <c r="N108" s="112"/>
      <c r="O108" s="112"/>
      <c r="P108" s="112"/>
      <c r="Q108" s="113"/>
      <c r="R108" s="114"/>
      <c r="S108" s="114"/>
      <c r="T108" s="114"/>
      <c r="U108" s="115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</row>
    <row r="109" ht="14.25" customHeight="1">
      <c r="A109" s="1"/>
      <c r="B109" s="1"/>
      <c r="C109" s="1"/>
      <c r="D109" s="24"/>
      <c r="E109" s="43">
        <v>99.0</v>
      </c>
      <c r="F109" s="149">
        <v>62.0</v>
      </c>
      <c r="G109" s="61"/>
      <c r="H109" s="143">
        <v>62.0</v>
      </c>
      <c r="I109" s="61"/>
      <c r="J109" s="137">
        <v>9489.0</v>
      </c>
      <c r="K109" s="24"/>
      <c r="L109" s="112"/>
      <c r="M109" s="112"/>
      <c r="N109" s="112"/>
      <c r="O109" s="112"/>
      <c r="P109" s="112"/>
      <c r="Q109" s="113"/>
      <c r="R109" s="114"/>
      <c r="S109" s="114"/>
      <c r="T109" s="114"/>
      <c r="U109" s="115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</row>
    <row r="110" ht="14.25" customHeight="1">
      <c r="A110" s="1"/>
      <c r="B110" s="1"/>
      <c r="C110" s="1"/>
      <c r="D110" s="1"/>
      <c r="E110" s="122"/>
      <c r="F110" s="123">
        <f t="shared" ref="F110:I110" si="4">SUM(F10:F109)</f>
        <v>30886</v>
      </c>
      <c r="G110" s="123">
        <f t="shared" si="4"/>
        <v>12776</v>
      </c>
      <c r="H110" s="123">
        <f t="shared" si="4"/>
        <v>13565</v>
      </c>
      <c r="I110" s="123">
        <f t="shared" si="4"/>
        <v>4545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18"/>
      <c r="C111" s="118"/>
      <c r="D111" s="1"/>
      <c r="E111" s="124"/>
      <c r="F111" s="124"/>
      <c r="G111" s="124"/>
      <c r="H111" s="124"/>
      <c r="I111" s="125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18"/>
      <c r="C112" s="1"/>
      <c r="D112" s="1"/>
      <c r="E112" s="8"/>
      <c r="F112" s="8"/>
      <c r="G112" s="8"/>
      <c r="H112" s="8"/>
      <c r="I112" s="8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8"/>
      <c r="F113" s="8"/>
      <c r="G113" s="8"/>
      <c r="H113" s="8"/>
      <c r="I113" s="8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8"/>
      <c r="F114" s="8"/>
      <c r="G114" s="8"/>
      <c r="H114" s="8"/>
      <c r="I114" s="8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8"/>
      <c r="F115" s="8"/>
      <c r="G115" s="8"/>
      <c r="H115" s="8"/>
      <c r="I115" s="8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8"/>
      <c r="F116" s="8"/>
      <c r="G116" s="8"/>
      <c r="H116" s="8"/>
      <c r="I116" s="8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26"/>
      <c r="H123" s="12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32">
        <v>45973.0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56250.0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14390.0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38146.0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F112-C15</f>
        <v>34375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G112-W33</f>
        <v>23940</v>
      </c>
      <c r="D10" s="24"/>
      <c r="E10" s="43">
        <v>1.0</v>
      </c>
      <c r="F10" s="44">
        <v>124.0</v>
      </c>
      <c r="G10" s="45"/>
      <c r="H10" s="165">
        <v>124.0</v>
      </c>
      <c r="I10" s="45"/>
      <c r="J10" s="146" t="s">
        <v>134</v>
      </c>
      <c r="K10" s="24"/>
      <c r="L10" s="47">
        <v>1584.0</v>
      </c>
      <c r="M10" s="47"/>
      <c r="N10" s="48">
        <v>9394.0</v>
      </c>
      <c r="O10" s="49"/>
      <c r="P10" s="85" t="s">
        <v>135</v>
      </c>
      <c r="Q10" s="51"/>
      <c r="R10" s="52">
        <v>100.0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H112-X33</f>
        <v>10140</v>
      </c>
      <c r="D11" s="24"/>
      <c r="E11" s="43">
        <v>2.0</v>
      </c>
      <c r="F11" s="56">
        <v>224.0</v>
      </c>
      <c r="G11" s="57">
        <v>224.0</v>
      </c>
      <c r="H11" s="58"/>
      <c r="I11" s="59"/>
      <c r="J11" s="137">
        <v>9492.0</v>
      </c>
      <c r="K11" s="24"/>
      <c r="L11" s="48"/>
      <c r="M11" s="48"/>
      <c r="N11" s="48"/>
      <c r="O11" s="49"/>
      <c r="P11" s="72" t="s">
        <v>136</v>
      </c>
      <c r="Q11" s="51"/>
      <c r="R11" s="52">
        <v>200.0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I112</f>
        <v>295</v>
      </c>
      <c r="D12" s="24"/>
      <c r="E12" s="43">
        <v>3.0</v>
      </c>
      <c r="F12" s="63">
        <v>46.0</v>
      </c>
      <c r="G12" s="64">
        <v>46.0</v>
      </c>
      <c r="H12" s="64"/>
      <c r="I12" s="65"/>
      <c r="J12" s="137">
        <v>9493.0</v>
      </c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1584</v>
      </c>
      <c r="D13" s="24"/>
      <c r="E13" s="43">
        <v>4.0</v>
      </c>
      <c r="F13" s="56">
        <v>71.0</v>
      </c>
      <c r="G13" s="64"/>
      <c r="H13" s="140">
        <v>71.0</v>
      </c>
      <c r="I13" s="65"/>
      <c r="J13" s="137">
        <v>9494.0</v>
      </c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>
        <v>151.0</v>
      </c>
      <c r="G14" s="64">
        <v>151.0</v>
      </c>
      <c r="H14" s="65"/>
      <c r="I14" s="65"/>
      <c r="J14" s="137">
        <v>9495.0</v>
      </c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>
        <v>9.0</v>
      </c>
      <c r="G15" s="64">
        <v>9.0</v>
      </c>
      <c r="H15" s="64"/>
      <c r="I15" s="65"/>
      <c r="J15" s="137">
        <v>9496.0</v>
      </c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300</v>
      </c>
      <c r="D16" s="24"/>
      <c r="E16" s="43">
        <v>7.0</v>
      </c>
      <c r="F16" s="56">
        <v>449.0</v>
      </c>
      <c r="G16" s="64"/>
      <c r="H16" s="140">
        <v>449.0</v>
      </c>
      <c r="I16" s="65"/>
      <c r="J16" s="137">
        <v>9497.0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300</v>
      </c>
      <c r="D17" s="24"/>
      <c r="E17" s="43">
        <v>8.0</v>
      </c>
      <c r="F17" s="56">
        <v>185.0</v>
      </c>
      <c r="G17" s="64">
        <v>185.0</v>
      </c>
      <c r="H17" s="64"/>
      <c r="I17" s="65"/>
      <c r="J17" s="137">
        <v>9498.0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130.0</v>
      </c>
      <c r="G18" s="64">
        <v>130.0</v>
      </c>
      <c r="H18" s="64"/>
      <c r="I18" s="65"/>
      <c r="J18" s="137">
        <v>9499.0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228.0</v>
      </c>
      <c r="G19" s="64"/>
      <c r="H19" s="140">
        <v>228.0</v>
      </c>
      <c r="I19" s="65"/>
      <c r="J19" s="137">
        <v>9500.0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36857</v>
      </c>
      <c r="D20" s="24"/>
      <c r="E20" s="43">
        <v>11.0</v>
      </c>
      <c r="F20" s="56">
        <v>189.0</v>
      </c>
      <c r="G20" s="64">
        <v>189.0</v>
      </c>
      <c r="H20" s="64"/>
      <c r="I20" s="65"/>
      <c r="J20" s="137">
        <v>9501.0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10140</v>
      </c>
      <c r="D21" s="24"/>
      <c r="E21" s="43">
        <v>12.0</v>
      </c>
      <c r="F21" s="56">
        <v>145.0</v>
      </c>
      <c r="G21" s="64">
        <v>145.0</v>
      </c>
      <c r="H21" s="64"/>
      <c r="I21" s="65"/>
      <c r="J21" s="137">
        <v>9502.0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27974</v>
      </c>
      <c r="D22" s="24"/>
      <c r="E22" s="43">
        <v>13.0</v>
      </c>
      <c r="F22" s="56">
        <v>57.0</v>
      </c>
      <c r="G22" s="64">
        <v>57.0</v>
      </c>
      <c r="H22" s="64"/>
      <c r="I22" s="65"/>
      <c r="J22" s="137">
        <v>9503.0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41">
        <v>31471.0</v>
      </c>
      <c r="D23" s="24"/>
      <c r="E23" s="43">
        <v>14.0</v>
      </c>
      <c r="F23" s="56">
        <v>411.0</v>
      </c>
      <c r="G23" s="65"/>
      <c r="H23" s="140">
        <v>411.0</v>
      </c>
      <c r="I23" s="65"/>
      <c r="J23" s="137">
        <v>9504.0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-3497</v>
      </c>
      <c r="D24" s="24"/>
      <c r="E24" s="43">
        <v>15.0</v>
      </c>
      <c r="F24" s="56">
        <v>5.0</v>
      </c>
      <c r="G24" s="64"/>
      <c r="H24" s="140">
        <v>5.0</v>
      </c>
      <c r="I24" s="65"/>
      <c r="J24" s="137">
        <v>9505.0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286.0</v>
      </c>
      <c r="G25" s="64"/>
      <c r="H25" s="140">
        <v>286.0</v>
      </c>
      <c r="I25" s="65"/>
      <c r="J25" s="137">
        <v>9506.0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F112</f>
        <v>34375</v>
      </c>
      <c r="D26" s="24"/>
      <c r="E26" s="43">
        <v>17.0</v>
      </c>
      <c r="F26" s="56">
        <v>1325.0</v>
      </c>
      <c r="G26" s="64">
        <v>1325.0</v>
      </c>
      <c r="H26" s="65"/>
      <c r="I26" s="65"/>
      <c r="J26" s="137">
        <v>9507.0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96.0</v>
      </c>
      <c r="D27" s="24"/>
      <c r="E27" s="43">
        <v>18.0</v>
      </c>
      <c r="F27" s="56">
        <v>205.0</v>
      </c>
      <c r="G27" s="64">
        <v>205.0</v>
      </c>
      <c r="H27" s="65"/>
      <c r="I27" s="65"/>
      <c r="J27" s="137">
        <v>9508.0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358.0729167</v>
      </c>
      <c r="D28" s="24"/>
      <c r="E28" s="43">
        <v>19.0</v>
      </c>
      <c r="F28" s="56">
        <v>210.0</v>
      </c>
      <c r="G28" s="64"/>
      <c r="H28" s="140">
        <v>210.0</v>
      </c>
      <c r="I28" s="65"/>
      <c r="J28" s="137">
        <v>9509.0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1391.0</v>
      </c>
      <c r="G29" s="64">
        <v>1391.0</v>
      </c>
      <c r="H29" s="65"/>
      <c r="I29" s="65"/>
      <c r="J29" s="137">
        <v>9510.0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>
        <f>R32</f>
        <v>50000</v>
      </c>
      <c r="D30" s="24"/>
      <c r="E30" s="43">
        <v>21.0</v>
      </c>
      <c r="F30" s="56">
        <v>454.0</v>
      </c>
      <c r="G30" s="93">
        <v>454.0</v>
      </c>
      <c r="H30" s="92"/>
      <c r="I30" s="93"/>
      <c r="J30" s="137">
        <v>9511.0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>
        <f>S33</f>
        <v>14390</v>
      </c>
      <c r="D31" s="24"/>
      <c r="E31" s="43">
        <v>22.0</v>
      </c>
      <c r="F31" s="56">
        <v>257.0</v>
      </c>
      <c r="G31" s="93">
        <v>257.0</v>
      </c>
      <c r="H31" s="92"/>
      <c r="I31" s="92"/>
      <c r="J31" s="137">
        <v>9512.0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300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>
        <f>R34</f>
        <v>3500</v>
      </c>
      <c r="D32" s="24"/>
      <c r="E32" s="43">
        <v>23.0</v>
      </c>
      <c r="F32" s="56">
        <v>298.0</v>
      </c>
      <c r="G32" s="93">
        <v>298.0</v>
      </c>
      <c r="H32" s="92"/>
      <c r="I32" s="92"/>
      <c r="J32" s="137">
        <v>9513.0</v>
      </c>
      <c r="K32" s="24"/>
      <c r="L32" s="48"/>
      <c r="M32" s="48"/>
      <c r="N32" s="48"/>
      <c r="O32" s="98"/>
      <c r="P32" s="90" t="s">
        <v>37</v>
      </c>
      <c r="Q32" s="51"/>
      <c r="R32" s="99">
        <v>50000.0</v>
      </c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958.0</v>
      </c>
      <c r="G33" s="93">
        <v>958.0</v>
      </c>
      <c r="H33" s="92"/>
      <c r="I33" s="92"/>
      <c r="J33" s="137">
        <v>9514.0</v>
      </c>
      <c r="K33" s="24"/>
      <c r="L33" s="104">
        <f t="shared" ref="L33:M33" si="2">sum(L10:L32)</f>
        <v>1584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>
        <v>14390.0</v>
      </c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96.0</v>
      </c>
      <c r="G34" s="93">
        <v>96.0</v>
      </c>
      <c r="H34" s="92"/>
      <c r="I34" s="92"/>
      <c r="J34" s="137">
        <v>9515.0</v>
      </c>
      <c r="K34" s="24"/>
      <c r="L34" s="106"/>
      <c r="M34" s="106"/>
      <c r="N34" s="106"/>
      <c r="O34" s="106"/>
      <c r="P34" s="85" t="s">
        <v>40</v>
      </c>
      <c r="Q34" s="107"/>
      <c r="R34" s="144">
        <v>3500.0</v>
      </c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130.0</v>
      </c>
      <c r="G35" s="93">
        <v>100.0</v>
      </c>
      <c r="H35" s="153">
        <v>30.0</v>
      </c>
      <c r="I35" s="92"/>
      <c r="J35" s="137">
        <v>9516.0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10.0</v>
      </c>
      <c r="G36" s="92"/>
      <c r="H36" s="153">
        <v>10.0</v>
      </c>
      <c r="I36" s="92"/>
      <c r="J36" s="137">
        <v>9517.0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348.0</v>
      </c>
      <c r="G37" s="93"/>
      <c r="H37" s="153">
        <v>348.0</v>
      </c>
      <c r="I37" s="92"/>
      <c r="J37" s="137">
        <v>9518.0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220.0</v>
      </c>
      <c r="G38" s="93">
        <v>220.0</v>
      </c>
      <c r="H38" s="92"/>
      <c r="I38" s="92"/>
      <c r="J38" s="137">
        <v>9519.0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798.0</v>
      </c>
      <c r="G39" s="93">
        <v>798.0</v>
      </c>
      <c r="H39" s="93"/>
      <c r="I39" s="92"/>
      <c r="J39" s="137">
        <v>9520.0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652.0</v>
      </c>
      <c r="G40" s="92"/>
      <c r="H40" s="153">
        <v>652.0</v>
      </c>
      <c r="I40" s="92"/>
      <c r="J40" s="137">
        <v>9521.0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10.0</v>
      </c>
      <c r="G41" s="93">
        <v>10.0</v>
      </c>
      <c r="H41" s="93"/>
      <c r="I41" s="92"/>
      <c r="J41" s="137">
        <v>9522.0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299.0</v>
      </c>
      <c r="G42" s="93"/>
      <c r="H42" s="153">
        <v>299.0</v>
      </c>
      <c r="I42" s="92"/>
      <c r="J42" s="137">
        <v>9523.0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297.0</v>
      </c>
      <c r="G43" s="93"/>
      <c r="H43" s="93">
        <v>297.0</v>
      </c>
      <c r="I43" s="92"/>
      <c r="J43" s="137">
        <v>9524.0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120.0</v>
      </c>
      <c r="G44" s="92"/>
      <c r="H44" s="153">
        <v>120.0</v>
      </c>
      <c r="I44" s="92"/>
      <c r="J44" s="137">
        <v>9525.0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858.0</v>
      </c>
      <c r="G45" s="93">
        <v>830.0</v>
      </c>
      <c r="H45" s="93">
        <v>28.0</v>
      </c>
      <c r="I45" s="92"/>
      <c r="J45" s="137">
        <v>9526.0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464.0</v>
      </c>
      <c r="G46" s="93">
        <v>464.0</v>
      </c>
      <c r="H46" s="92"/>
      <c r="I46" s="92"/>
      <c r="J46" s="137">
        <v>9527.0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46.0</v>
      </c>
      <c r="G47" s="93">
        <v>46.0</v>
      </c>
      <c r="H47" s="93"/>
      <c r="I47" s="92"/>
      <c r="J47" s="137">
        <v>9528.0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125.0</v>
      </c>
      <c r="G48" s="93">
        <v>5.0</v>
      </c>
      <c r="H48" s="93">
        <v>120.0</v>
      </c>
      <c r="I48" s="92"/>
      <c r="J48" s="137">
        <v>9529.0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355.0</v>
      </c>
      <c r="G49" s="93">
        <v>355.0</v>
      </c>
      <c r="H49" s="92"/>
      <c r="I49" s="92"/>
      <c r="J49" s="137">
        <v>9530.0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47.0</v>
      </c>
      <c r="G50" s="92"/>
      <c r="H50" s="93">
        <v>47.0</v>
      </c>
      <c r="I50" s="92"/>
      <c r="J50" s="137">
        <v>9531.0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103.0</v>
      </c>
      <c r="G51" s="93">
        <v>103.0</v>
      </c>
      <c r="H51" s="92"/>
      <c r="I51" s="92"/>
      <c r="J51" s="137">
        <v>9532.0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527.0</v>
      </c>
      <c r="G52" s="92"/>
      <c r="H52" s="93">
        <v>527.0</v>
      </c>
      <c r="I52" s="92"/>
      <c r="J52" s="137">
        <v>9533.0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1036.0</v>
      </c>
      <c r="G53" s="92"/>
      <c r="H53" s="93">
        <v>1036.0</v>
      </c>
      <c r="I53" s="92"/>
      <c r="J53" s="137">
        <v>9534.0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17.0</v>
      </c>
      <c r="G54" s="92"/>
      <c r="H54" s="93">
        <v>17.0</v>
      </c>
      <c r="I54" s="92"/>
      <c r="J54" s="137">
        <v>9535.0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50.0</v>
      </c>
      <c r="G55" s="92"/>
      <c r="H55" s="93">
        <v>50.0</v>
      </c>
      <c r="I55" s="92"/>
      <c r="J55" s="137">
        <v>9536.0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10.0</v>
      </c>
      <c r="G56" s="92"/>
      <c r="H56" s="93">
        <v>10.0</v>
      </c>
      <c r="I56" s="92"/>
      <c r="J56" s="137">
        <v>9537.0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119.0</v>
      </c>
      <c r="G57" s="93">
        <v>119.0</v>
      </c>
      <c r="H57" s="92"/>
      <c r="I57" s="92"/>
      <c r="J57" s="137">
        <v>9538.0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70.0</v>
      </c>
      <c r="G58" s="93">
        <v>70.0</v>
      </c>
      <c r="H58" s="92"/>
      <c r="I58" s="92"/>
      <c r="J58" s="137">
        <v>9539.0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514.0</v>
      </c>
      <c r="G59" s="93">
        <v>514.0</v>
      </c>
      <c r="H59" s="92"/>
      <c r="I59" s="92"/>
      <c r="J59" s="137">
        <v>9540.0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467.0</v>
      </c>
      <c r="G60" s="92"/>
      <c r="H60" s="93">
        <v>467.0</v>
      </c>
      <c r="I60" s="92"/>
      <c r="J60" s="137">
        <v>9541.0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45.0</v>
      </c>
      <c r="G61" s="92"/>
      <c r="H61" s="93">
        <v>45.0</v>
      </c>
      <c r="I61" s="92"/>
      <c r="J61" s="137">
        <v>9542.0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145.0</v>
      </c>
      <c r="G62" s="93">
        <v>145.0</v>
      </c>
      <c r="H62" s="92"/>
      <c r="I62" s="92"/>
      <c r="J62" s="137">
        <v>9543.0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189.0</v>
      </c>
      <c r="G63" s="93">
        <v>189.0</v>
      </c>
      <c r="H63" s="92"/>
      <c r="I63" s="92"/>
      <c r="J63" s="137">
        <v>9544.0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446.0</v>
      </c>
      <c r="G64" s="93">
        <v>446.0</v>
      </c>
      <c r="H64" s="92"/>
      <c r="I64" s="92"/>
      <c r="J64" s="137">
        <v>9545.0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160.0</v>
      </c>
      <c r="G65" s="93">
        <v>160.0</v>
      </c>
      <c r="H65" s="92"/>
      <c r="I65" s="92"/>
      <c r="J65" s="137">
        <v>9546.0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228.0</v>
      </c>
      <c r="G66" s="92"/>
      <c r="H66" s="93">
        <v>228.0</v>
      </c>
      <c r="I66" s="92"/>
      <c r="J66" s="137">
        <v>9547.0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1119.0</v>
      </c>
      <c r="G67" s="93">
        <v>1119.0</v>
      </c>
      <c r="H67" s="92"/>
      <c r="I67" s="92"/>
      <c r="J67" s="137">
        <v>9548.0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754.0</v>
      </c>
      <c r="G68" s="92"/>
      <c r="H68" s="93">
        <v>754.0</v>
      </c>
      <c r="I68" s="92"/>
      <c r="J68" s="137">
        <v>9549.0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395.0</v>
      </c>
      <c r="G69" s="92"/>
      <c r="H69" s="93">
        <v>395.0</v>
      </c>
      <c r="I69" s="92"/>
      <c r="J69" s="137">
        <v>9550.0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120.0</v>
      </c>
      <c r="G70" s="92"/>
      <c r="H70" s="93">
        <v>120.0</v>
      </c>
      <c r="I70" s="92"/>
      <c r="J70" s="137">
        <v>9551.0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56">
        <v>356.0</v>
      </c>
      <c r="G71" s="93">
        <v>356.0</v>
      </c>
      <c r="H71" s="92"/>
      <c r="I71" s="92"/>
      <c r="J71" s="137">
        <v>9552.0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56">
        <v>147.0</v>
      </c>
      <c r="G72" s="93">
        <v>147.0</v>
      </c>
      <c r="H72" s="92"/>
      <c r="I72" s="92"/>
      <c r="J72" s="137">
        <v>9553.0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56">
        <v>45.0</v>
      </c>
      <c r="G73" s="92"/>
      <c r="H73" s="93">
        <v>45.0</v>
      </c>
      <c r="I73" s="92"/>
      <c r="J73" s="137">
        <v>9554.0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56">
        <v>254.0</v>
      </c>
      <c r="G74" s="93">
        <v>254.0</v>
      </c>
      <c r="H74" s="92"/>
      <c r="I74" s="92"/>
      <c r="J74" s="137">
        <v>9555.0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56">
        <v>50.0</v>
      </c>
      <c r="G75" s="92"/>
      <c r="H75" s="93">
        <v>50.0</v>
      </c>
      <c r="I75" s="92"/>
      <c r="J75" s="137">
        <v>9556.0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56">
        <v>4144.0</v>
      </c>
      <c r="G76" s="93">
        <v>4144.0</v>
      </c>
      <c r="H76" s="92"/>
      <c r="I76" s="93"/>
      <c r="J76" s="137">
        <v>9557.0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56">
        <v>44.0</v>
      </c>
      <c r="G77" s="93">
        <v>44.0</v>
      </c>
      <c r="H77" s="92"/>
      <c r="I77" s="92"/>
      <c r="J77" s="137">
        <v>9558.0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56">
        <v>108.0</v>
      </c>
      <c r="G78" s="93">
        <v>80.0</v>
      </c>
      <c r="H78" s="93">
        <v>28.0</v>
      </c>
      <c r="I78" s="92"/>
      <c r="J78" s="137">
        <v>9559.0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56">
        <v>657.0</v>
      </c>
      <c r="G79" s="93">
        <v>657.0</v>
      </c>
      <c r="H79" s="92"/>
      <c r="I79" s="92"/>
      <c r="J79" s="137">
        <v>9560.0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56">
        <v>155.0</v>
      </c>
      <c r="G80" s="92"/>
      <c r="H80" s="93">
        <v>155.0</v>
      </c>
      <c r="I80" s="92"/>
      <c r="J80" s="137">
        <v>9561.0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56">
        <v>196.0</v>
      </c>
      <c r="G81" s="93">
        <v>196.0</v>
      </c>
      <c r="H81" s="92"/>
      <c r="I81" s="92"/>
      <c r="J81" s="137">
        <v>9562.0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49">
        <v>1404.0</v>
      </c>
      <c r="G82" s="54">
        <v>1404.0</v>
      </c>
      <c r="H82" s="61"/>
      <c r="I82" s="61"/>
      <c r="J82" s="137">
        <v>9563.0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49">
        <v>386.0</v>
      </c>
      <c r="G83" s="54">
        <v>386.0</v>
      </c>
      <c r="H83" s="61"/>
      <c r="I83" s="61"/>
      <c r="J83" s="137">
        <v>9564.0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49">
        <v>504.0</v>
      </c>
      <c r="G84" s="61"/>
      <c r="H84" s="54">
        <v>504.0</v>
      </c>
      <c r="I84" s="61"/>
      <c r="J84" s="137">
        <v>9565.0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49">
        <v>260.0</v>
      </c>
      <c r="G85" s="54">
        <v>260.0</v>
      </c>
      <c r="H85" s="61"/>
      <c r="I85" s="61"/>
      <c r="J85" s="137">
        <v>9566.0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49">
        <v>303.0</v>
      </c>
      <c r="G86" s="61"/>
      <c r="H86" s="54">
        <v>303.0</v>
      </c>
      <c r="I86" s="61"/>
      <c r="J86" s="137">
        <v>9567.0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49">
        <v>549.0</v>
      </c>
      <c r="G87" s="61"/>
      <c r="H87" s="54">
        <v>549.0</v>
      </c>
      <c r="I87" s="61"/>
      <c r="J87" s="137">
        <v>9568.0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49">
        <v>51.0</v>
      </c>
      <c r="G88" s="61"/>
      <c r="H88" s="54">
        <v>51.0</v>
      </c>
      <c r="I88" s="61"/>
      <c r="J88" s="137">
        <v>9569.0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49">
        <v>223.0</v>
      </c>
      <c r="G89" s="54">
        <v>200.0</v>
      </c>
      <c r="H89" s="54">
        <v>23.0</v>
      </c>
      <c r="I89" s="61"/>
      <c r="J89" s="137">
        <v>9570.0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49">
        <v>121.0</v>
      </c>
      <c r="G90" s="61"/>
      <c r="H90" s="54">
        <v>121.0</v>
      </c>
      <c r="I90" s="61"/>
      <c r="J90" s="137">
        <v>9571.0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49">
        <v>65.0</v>
      </c>
      <c r="G91" s="54">
        <v>65.0</v>
      </c>
      <c r="H91" s="61"/>
      <c r="I91" s="61"/>
      <c r="J91" s="137">
        <v>9572.0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49">
        <v>566.0</v>
      </c>
      <c r="G92" s="54">
        <v>566.0</v>
      </c>
      <c r="H92" s="61"/>
      <c r="I92" s="61"/>
      <c r="J92" s="137">
        <v>9573.0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49">
        <v>200.0</v>
      </c>
      <c r="G93" s="54">
        <v>200.0</v>
      </c>
      <c r="H93" s="61"/>
      <c r="I93" s="61"/>
      <c r="J93" s="137">
        <v>9574.0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49">
        <v>113.0</v>
      </c>
      <c r="G94" s="54">
        <v>113.0</v>
      </c>
      <c r="H94" s="61"/>
      <c r="I94" s="61"/>
      <c r="J94" s="137">
        <v>9575.0</v>
      </c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49">
        <v>284.0</v>
      </c>
      <c r="G95" s="54">
        <v>284.0</v>
      </c>
      <c r="H95" s="61"/>
      <c r="I95" s="61"/>
      <c r="J95" s="137">
        <v>9576.0</v>
      </c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49">
        <v>295.0</v>
      </c>
      <c r="G96" s="61"/>
      <c r="H96" s="61"/>
      <c r="I96" s="54">
        <v>295.0</v>
      </c>
      <c r="J96" s="137" t="s">
        <v>137</v>
      </c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24"/>
      <c r="E97" s="43">
        <v>88.0</v>
      </c>
      <c r="F97" s="149">
        <v>47.0</v>
      </c>
      <c r="G97" s="54">
        <v>47.0</v>
      </c>
      <c r="H97" s="61"/>
      <c r="I97" s="61"/>
      <c r="J97" s="137">
        <v>9578.0</v>
      </c>
      <c r="K97" s="24"/>
      <c r="L97" s="112"/>
      <c r="M97" s="112"/>
      <c r="N97" s="112"/>
      <c r="O97" s="112"/>
      <c r="P97" s="112"/>
      <c r="Q97" s="113"/>
      <c r="R97" s="114"/>
      <c r="S97" s="114"/>
      <c r="T97" s="114"/>
      <c r="U97" s="115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</row>
    <row r="98" ht="14.25" customHeight="1">
      <c r="A98" s="1"/>
      <c r="B98" s="1"/>
      <c r="C98" s="1"/>
      <c r="D98" s="24"/>
      <c r="E98" s="43">
        <v>89.0</v>
      </c>
      <c r="F98" s="149">
        <v>2310.0</v>
      </c>
      <c r="G98" s="54">
        <v>2310.0</v>
      </c>
      <c r="H98" s="61"/>
      <c r="I98" s="61"/>
      <c r="J98" s="137">
        <v>9579.0</v>
      </c>
      <c r="K98" s="24"/>
      <c r="L98" s="112"/>
      <c r="M98" s="112"/>
      <c r="N98" s="112"/>
      <c r="O98" s="112"/>
      <c r="P98" s="112"/>
      <c r="Q98" s="113"/>
      <c r="R98" s="114"/>
      <c r="S98" s="114"/>
      <c r="T98" s="114"/>
      <c r="U98" s="115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</row>
    <row r="99" ht="14.25" customHeight="1">
      <c r="A99" s="1"/>
      <c r="B99" s="1"/>
      <c r="C99" s="1"/>
      <c r="D99" s="24"/>
      <c r="E99" s="43">
        <v>90.0</v>
      </c>
      <c r="F99" s="149">
        <v>163.0</v>
      </c>
      <c r="G99" s="54">
        <v>163.0</v>
      </c>
      <c r="H99" s="61"/>
      <c r="I99" s="61"/>
      <c r="J99" s="137">
        <v>9580.0</v>
      </c>
      <c r="K99" s="24"/>
      <c r="L99" s="112"/>
      <c r="M99" s="112"/>
      <c r="N99" s="112"/>
      <c r="O99" s="112"/>
      <c r="P99" s="112"/>
      <c r="Q99" s="113"/>
      <c r="R99" s="114"/>
      <c r="S99" s="114"/>
      <c r="T99" s="114"/>
      <c r="U99" s="115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</row>
    <row r="100" ht="14.25" customHeight="1">
      <c r="A100" s="1"/>
      <c r="B100" s="1"/>
      <c r="C100" s="1"/>
      <c r="D100" s="24"/>
      <c r="E100" s="43">
        <v>91.0</v>
      </c>
      <c r="F100" s="149">
        <v>573.0</v>
      </c>
      <c r="G100" s="61"/>
      <c r="H100" s="54">
        <v>573.0</v>
      </c>
      <c r="I100" s="54"/>
      <c r="J100" s="137">
        <v>9581.0</v>
      </c>
      <c r="K100" s="24"/>
      <c r="L100" s="112"/>
      <c r="M100" s="112"/>
      <c r="N100" s="112"/>
      <c r="O100" s="112"/>
      <c r="P100" s="112"/>
      <c r="Q100" s="113"/>
      <c r="R100" s="114"/>
      <c r="S100" s="114"/>
      <c r="T100" s="114"/>
      <c r="U100" s="115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</row>
    <row r="101" ht="14.25" customHeight="1">
      <c r="A101" s="1"/>
      <c r="B101" s="1"/>
      <c r="C101" s="1"/>
      <c r="D101" s="24"/>
      <c r="E101" s="43">
        <v>92.0</v>
      </c>
      <c r="F101" s="149">
        <v>6.0</v>
      </c>
      <c r="G101" s="61"/>
      <c r="H101" s="54">
        <v>6.0</v>
      </c>
      <c r="I101" s="61"/>
      <c r="J101" s="137">
        <v>9582.0</v>
      </c>
      <c r="K101" s="24"/>
      <c r="L101" s="112"/>
      <c r="M101" s="112"/>
      <c r="N101" s="112"/>
      <c r="O101" s="112"/>
      <c r="P101" s="112"/>
      <c r="Q101" s="113"/>
      <c r="R101" s="114"/>
      <c r="S101" s="114"/>
      <c r="T101" s="114"/>
      <c r="U101" s="115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</row>
    <row r="102" ht="14.25" customHeight="1">
      <c r="A102" s="1"/>
      <c r="B102" s="1"/>
      <c r="C102" s="1"/>
      <c r="D102" s="24"/>
      <c r="E102" s="43">
        <v>93.0</v>
      </c>
      <c r="F102" s="149">
        <v>118.0</v>
      </c>
      <c r="G102" s="54">
        <v>118.0</v>
      </c>
      <c r="H102" s="61"/>
      <c r="I102" s="61"/>
      <c r="J102" s="137">
        <v>9583.0</v>
      </c>
      <c r="K102" s="24"/>
      <c r="L102" s="112"/>
      <c r="M102" s="112"/>
      <c r="N102" s="112"/>
      <c r="O102" s="112"/>
      <c r="P102" s="112"/>
      <c r="Q102" s="113"/>
      <c r="R102" s="114"/>
      <c r="S102" s="114"/>
      <c r="T102" s="114"/>
      <c r="U102" s="115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</row>
    <row r="103" ht="14.25" customHeight="1">
      <c r="A103" s="1"/>
      <c r="B103" s="1"/>
      <c r="C103" s="1"/>
      <c r="D103" s="24"/>
      <c r="E103" s="43">
        <v>94.0</v>
      </c>
      <c r="F103" s="149">
        <v>305.0</v>
      </c>
      <c r="G103" s="61"/>
      <c r="H103" s="54">
        <v>305.0</v>
      </c>
      <c r="I103" s="61"/>
      <c r="J103" s="137">
        <v>9584.0</v>
      </c>
      <c r="K103" s="24"/>
      <c r="L103" s="112"/>
      <c r="M103" s="112"/>
      <c r="N103" s="112"/>
      <c r="O103" s="112"/>
      <c r="P103" s="112"/>
      <c r="Q103" s="113"/>
      <c r="R103" s="114"/>
      <c r="S103" s="114"/>
      <c r="T103" s="114"/>
      <c r="U103" s="115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</row>
    <row r="104" ht="14.25" customHeight="1">
      <c r="A104" s="1"/>
      <c r="B104" s="1"/>
      <c r="C104" s="1"/>
      <c r="D104" s="24"/>
      <c r="E104" s="43">
        <v>95.0</v>
      </c>
      <c r="F104" s="149">
        <v>43.0</v>
      </c>
      <c r="G104" s="61"/>
      <c r="H104" s="54">
        <v>43.0</v>
      </c>
      <c r="I104" s="61"/>
      <c r="J104" s="137">
        <v>9585.0</v>
      </c>
      <c r="K104" s="24"/>
      <c r="L104" s="112"/>
      <c r="M104" s="112"/>
      <c r="N104" s="112"/>
      <c r="O104" s="112"/>
      <c r="P104" s="112"/>
      <c r="Q104" s="113"/>
      <c r="R104" s="114"/>
      <c r="S104" s="114"/>
      <c r="T104" s="114"/>
      <c r="U104" s="115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</row>
    <row r="105" ht="14.25" customHeight="1">
      <c r="A105" s="1"/>
      <c r="B105" s="1"/>
      <c r="C105" s="1"/>
      <c r="D105" s="24"/>
      <c r="E105" s="43">
        <v>96.0</v>
      </c>
      <c r="F105" s="149">
        <v>133.0</v>
      </c>
      <c r="G105" s="54">
        <v>133.0</v>
      </c>
      <c r="H105" s="61"/>
      <c r="I105" s="61"/>
      <c r="J105" s="137">
        <v>9586.0</v>
      </c>
      <c r="K105" s="24"/>
      <c r="L105" s="112"/>
      <c r="M105" s="112"/>
      <c r="N105" s="112"/>
      <c r="O105" s="112"/>
      <c r="P105" s="112"/>
      <c r="Q105" s="113"/>
      <c r="R105" s="114"/>
      <c r="S105" s="114"/>
      <c r="T105" s="114"/>
      <c r="U105" s="115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</row>
    <row r="106" ht="14.25" customHeight="1">
      <c r="A106" s="1"/>
      <c r="B106" s="1"/>
      <c r="C106" s="1"/>
      <c r="D106" s="24"/>
      <c r="E106" s="43">
        <v>97.0</v>
      </c>
      <c r="F106" s="121"/>
      <c r="G106" s="61"/>
      <c r="H106" s="61"/>
      <c r="I106" s="61"/>
      <c r="J106" s="137">
        <v>9587.0</v>
      </c>
      <c r="K106" s="24"/>
      <c r="L106" s="112"/>
      <c r="M106" s="112"/>
      <c r="N106" s="112"/>
      <c r="O106" s="112"/>
      <c r="P106" s="112"/>
      <c r="Q106" s="113"/>
      <c r="R106" s="114"/>
      <c r="S106" s="114"/>
      <c r="T106" s="114"/>
      <c r="U106" s="115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</row>
    <row r="107" ht="14.25" customHeight="1">
      <c r="A107" s="1"/>
      <c r="B107" s="1"/>
      <c r="C107" s="1"/>
      <c r="D107" s="24"/>
      <c r="E107" s="43">
        <v>98.0</v>
      </c>
      <c r="F107" s="121"/>
      <c r="G107" s="61"/>
      <c r="H107" s="61"/>
      <c r="I107" s="61"/>
      <c r="J107" s="137">
        <v>9588.0</v>
      </c>
      <c r="K107" s="24"/>
      <c r="L107" s="112"/>
      <c r="M107" s="112"/>
      <c r="N107" s="112"/>
      <c r="O107" s="112"/>
      <c r="P107" s="112"/>
      <c r="Q107" s="113"/>
      <c r="R107" s="114"/>
      <c r="S107" s="114"/>
      <c r="T107" s="114"/>
      <c r="U107" s="115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</row>
    <row r="108" ht="14.25" customHeight="1">
      <c r="A108" s="1"/>
      <c r="B108" s="1"/>
      <c r="C108" s="1"/>
      <c r="D108" s="24"/>
      <c r="E108" s="43">
        <v>99.0</v>
      </c>
      <c r="F108" s="121"/>
      <c r="G108" s="61"/>
      <c r="H108" s="61"/>
      <c r="I108" s="61"/>
      <c r="J108" s="137">
        <v>9589.0</v>
      </c>
      <c r="K108" s="24"/>
      <c r="L108" s="112"/>
      <c r="M108" s="112"/>
      <c r="N108" s="112"/>
      <c r="O108" s="112"/>
      <c r="P108" s="112"/>
      <c r="Q108" s="113"/>
      <c r="R108" s="114"/>
      <c r="S108" s="114"/>
      <c r="T108" s="114"/>
      <c r="U108" s="115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</row>
    <row r="109" ht="14.25" customHeight="1">
      <c r="A109" s="1"/>
      <c r="B109" s="1"/>
      <c r="C109" s="1"/>
      <c r="D109" s="24"/>
      <c r="E109" s="43">
        <v>100.0</v>
      </c>
      <c r="F109" s="121"/>
      <c r="G109" s="61"/>
      <c r="H109" s="61"/>
      <c r="I109" s="61"/>
      <c r="J109" s="137">
        <v>9590.0</v>
      </c>
      <c r="K109" s="24"/>
      <c r="L109" s="112"/>
      <c r="M109" s="112"/>
      <c r="N109" s="112"/>
      <c r="O109" s="112"/>
      <c r="P109" s="112"/>
      <c r="Q109" s="113"/>
      <c r="R109" s="114"/>
      <c r="S109" s="114"/>
      <c r="T109" s="114"/>
      <c r="U109" s="115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</row>
    <row r="110" ht="14.25" customHeight="1">
      <c r="A110" s="1"/>
      <c r="B110" s="1"/>
      <c r="C110" s="1"/>
      <c r="D110" s="24"/>
      <c r="E110" s="43">
        <v>101.0</v>
      </c>
      <c r="F110" s="121"/>
      <c r="G110" s="61"/>
      <c r="H110" s="61"/>
      <c r="I110" s="61"/>
      <c r="J110" s="137">
        <v>9591.0</v>
      </c>
      <c r="K110" s="24"/>
      <c r="L110" s="112"/>
      <c r="M110" s="112"/>
      <c r="N110" s="112"/>
      <c r="O110" s="112"/>
      <c r="P110" s="112"/>
      <c r="Q110" s="113"/>
      <c r="R110" s="114"/>
      <c r="S110" s="114"/>
      <c r="T110" s="114"/>
      <c r="U110" s="115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</row>
    <row r="111" ht="14.25" customHeight="1">
      <c r="A111" s="1"/>
      <c r="B111" s="1"/>
      <c r="C111" s="1"/>
      <c r="D111" s="24"/>
      <c r="E111" s="43">
        <v>102.0</v>
      </c>
      <c r="F111" s="121"/>
      <c r="G111" s="61"/>
      <c r="H111" s="61"/>
      <c r="I111" s="61"/>
      <c r="J111" s="137">
        <v>9592.0</v>
      </c>
      <c r="K111" s="24"/>
      <c r="L111" s="112"/>
      <c r="M111" s="112"/>
      <c r="N111" s="112"/>
      <c r="O111" s="112"/>
      <c r="P111" s="112"/>
      <c r="Q111" s="113"/>
      <c r="R111" s="114"/>
      <c r="S111" s="114"/>
      <c r="T111" s="114"/>
      <c r="U111" s="115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</row>
    <row r="112" ht="14.25" customHeight="1">
      <c r="A112" s="1"/>
      <c r="B112" s="1"/>
      <c r="C112" s="1"/>
      <c r="D112" s="1"/>
      <c r="E112" s="122"/>
      <c r="F112" s="123">
        <f t="shared" ref="F112:I112" si="4">SUM(F10:F111)</f>
        <v>34375</v>
      </c>
      <c r="G112" s="123">
        <f t="shared" si="4"/>
        <v>23940</v>
      </c>
      <c r="H112" s="123">
        <f t="shared" si="4"/>
        <v>10140</v>
      </c>
      <c r="I112" s="123">
        <f t="shared" si="4"/>
        <v>295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18"/>
      <c r="C113" s="118"/>
      <c r="D113" s="1"/>
      <c r="E113" s="124"/>
      <c r="F113" s="124"/>
      <c r="G113" s="124"/>
      <c r="H113" s="124"/>
      <c r="I113" s="125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18"/>
      <c r="C114" s="1"/>
      <c r="D114" s="1"/>
      <c r="E114" s="8"/>
      <c r="F114" s="8"/>
      <c r="G114" s="8"/>
      <c r="H114" s="8"/>
      <c r="I114" s="8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8"/>
      <c r="F115" s="8"/>
      <c r="G115" s="8"/>
      <c r="H115" s="8"/>
      <c r="I115" s="8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8"/>
      <c r="F116" s="8"/>
      <c r="G116" s="8"/>
      <c r="H116" s="8"/>
      <c r="I116" s="8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8"/>
      <c r="F117" s="8"/>
      <c r="G117" s="8"/>
      <c r="H117" s="8"/>
      <c r="I117" s="8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8"/>
      <c r="F118" s="8"/>
      <c r="G118" s="8"/>
      <c r="H118" s="8"/>
      <c r="I118" s="8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26"/>
      <c r="H125" s="12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32">
        <v>45974.0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27974.0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10140.0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36857.0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31159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12777</v>
      </c>
      <c r="D10" s="24"/>
      <c r="E10" s="43">
        <v>1.0</v>
      </c>
      <c r="F10" s="44">
        <v>12.0</v>
      </c>
      <c r="G10" s="133">
        <v>12.0</v>
      </c>
      <c r="H10" s="45"/>
      <c r="I10" s="45"/>
      <c r="J10" s="137">
        <v>9587.0</v>
      </c>
      <c r="K10" s="24"/>
      <c r="L10" s="47"/>
      <c r="M10" s="47"/>
      <c r="N10" s="48"/>
      <c r="O10" s="49"/>
      <c r="P10" s="85" t="s">
        <v>138</v>
      </c>
      <c r="Q10" s="51"/>
      <c r="R10" s="52">
        <v>30.0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9615</v>
      </c>
      <c r="D11" s="24"/>
      <c r="E11" s="43">
        <v>2.0</v>
      </c>
      <c r="F11" s="56">
        <v>554.0</v>
      </c>
      <c r="G11" s="166">
        <v>554.0</v>
      </c>
      <c r="H11" s="58"/>
      <c r="I11" s="59"/>
      <c r="J11" s="137">
        <v>9588.0</v>
      </c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8764</v>
      </c>
      <c r="D12" s="24"/>
      <c r="E12" s="43">
        <v>3.0</v>
      </c>
      <c r="F12" s="63">
        <v>132.0</v>
      </c>
      <c r="G12" s="139">
        <v>132.0</v>
      </c>
      <c r="H12" s="64"/>
      <c r="I12" s="65"/>
      <c r="J12" s="137">
        <v>9589.0</v>
      </c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>
        <v>476.0</v>
      </c>
      <c r="G13" s="64"/>
      <c r="H13" s="64">
        <v>476.0</v>
      </c>
      <c r="I13" s="65"/>
      <c r="J13" s="137">
        <v>9590.0</v>
      </c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>
        <v>2169.0</v>
      </c>
      <c r="G14" s="139">
        <v>2169.0</v>
      </c>
      <c r="H14" s="65"/>
      <c r="I14" s="65"/>
      <c r="J14" s="137">
        <v>9591.0</v>
      </c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>
        <v>237.0</v>
      </c>
      <c r="G15" s="64"/>
      <c r="H15" s="64">
        <v>237.0</v>
      </c>
      <c r="I15" s="65"/>
      <c r="J15" s="137">
        <v>9592.0</v>
      </c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30</v>
      </c>
      <c r="D16" s="24"/>
      <c r="E16" s="43">
        <v>7.0</v>
      </c>
      <c r="F16" s="56">
        <v>226.0</v>
      </c>
      <c r="G16" s="139">
        <v>226.0</v>
      </c>
      <c r="H16" s="64"/>
      <c r="I16" s="65"/>
      <c r="J16" s="137">
        <v>9593.0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30</v>
      </c>
      <c r="D17" s="24"/>
      <c r="E17" s="43">
        <v>8.0</v>
      </c>
      <c r="F17" s="56">
        <v>121.0</v>
      </c>
      <c r="G17" s="139">
        <v>121.0</v>
      </c>
      <c r="H17" s="64"/>
      <c r="I17" s="65"/>
      <c r="J17" s="137">
        <v>9594.0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176.0</v>
      </c>
      <c r="G18" s="64"/>
      <c r="H18" s="64">
        <v>176.0</v>
      </c>
      <c r="I18" s="65"/>
      <c r="J18" s="137">
        <v>9595.0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403.0</v>
      </c>
      <c r="G19" s="139">
        <v>403.0</v>
      </c>
      <c r="H19" s="65"/>
      <c r="I19" s="65"/>
      <c r="J19" s="137">
        <v>9596.0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45621</v>
      </c>
      <c r="D20" s="24"/>
      <c r="E20" s="43">
        <v>11.0</v>
      </c>
      <c r="F20" s="56">
        <v>24.0</v>
      </c>
      <c r="G20" s="139">
        <v>24.0</v>
      </c>
      <c r="H20" s="64"/>
      <c r="I20" s="65"/>
      <c r="J20" s="137">
        <v>9597.0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9615</v>
      </c>
      <c r="D21" s="24"/>
      <c r="E21" s="43">
        <v>12.0</v>
      </c>
      <c r="F21" s="56">
        <v>70.0</v>
      </c>
      <c r="G21" s="139">
        <v>70.0</v>
      </c>
      <c r="H21" s="64"/>
      <c r="I21" s="65"/>
      <c r="J21" s="137">
        <v>9598.0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37221</v>
      </c>
      <c r="D22" s="24"/>
      <c r="E22" s="43">
        <v>13.0</v>
      </c>
      <c r="F22" s="56">
        <v>571.0</v>
      </c>
      <c r="G22" s="139">
        <v>571.0</v>
      </c>
      <c r="H22" s="64"/>
      <c r="I22" s="65"/>
      <c r="J22" s="137">
        <v>9599.0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41">
        <v>40718.0</v>
      </c>
      <c r="D23" s="24"/>
      <c r="E23" s="43">
        <v>14.0</v>
      </c>
      <c r="F23" s="56">
        <v>335.0</v>
      </c>
      <c r="G23" s="139">
        <v>335.0</v>
      </c>
      <c r="H23" s="65"/>
      <c r="I23" s="65"/>
      <c r="J23" s="137">
        <v>9600.0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-3497</v>
      </c>
      <c r="D24" s="24"/>
      <c r="E24" s="43">
        <v>15.0</v>
      </c>
      <c r="F24" s="56">
        <v>520.0</v>
      </c>
      <c r="G24" s="64"/>
      <c r="H24" s="64">
        <v>520.0</v>
      </c>
      <c r="I24" s="65"/>
      <c r="J24" s="137">
        <v>9601.0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87.0</v>
      </c>
      <c r="G25" s="139">
        <v>87.0</v>
      </c>
      <c r="H25" s="65"/>
      <c r="I25" s="65"/>
      <c r="J25" s="137">
        <v>9602.0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31159</v>
      </c>
      <c r="D26" s="24"/>
      <c r="E26" s="43">
        <v>17.0</v>
      </c>
      <c r="F26" s="56">
        <v>2482.0</v>
      </c>
      <c r="G26" s="64"/>
      <c r="H26" s="64">
        <v>2482.0</v>
      </c>
      <c r="I26" s="65"/>
      <c r="J26" s="137">
        <v>9603.0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70.0</v>
      </c>
      <c r="D27" s="24"/>
      <c r="E27" s="43">
        <v>18.0</v>
      </c>
      <c r="F27" s="56">
        <v>55.0</v>
      </c>
      <c r="G27" s="139">
        <v>55.0</v>
      </c>
      <c r="H27" s="65"/>
      <c r="I27" s="65"/>
      <c r="J27" s="137">
        <v>9604.0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445.1285714</v>
      </c>
      <c r="D28" s="24"/>
      <c r="E28" s="43">
        <v>19.0</v>
      </c>
      <c r="F28" s="56">
        <v>232.0</v>
      </c>
      <c r="G28" s="139">
        <v>232.0</v>
      </c>
      <c r="H28" s="65"/>
      <c r="I28" s="65"/>
      <c r="J28" s="137">
        <v>9605.0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108.0</v>
      </c>
      <c r="G29" s="64"/>
      <c r="H29" s="64">
        <v>108.0</v>
      </c>
      <c r="I29" s="65"/>
      <c r="J29" s="137">
        <v>9606.0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133.0</v>
      </c>
      <c r="G30" s="143">
        <v>133.0</v>
      </c>
      <c r="H30" s="92"/>
      <c r="I30" s="93"/>
      <c r="J30" s="137">
        <v>9607.0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>
        <f>S33</f>
        <v>10140</v>
      </c>
      <c r="D31" s="24"/>
      <c r="E31" s="43">
        <v>22.0</v>
      </c>
      <c r="F31" s="56">
        <v>130.0</v>
      </c>
      <c r="G31" s="143">
        <v>130.0</v>
      </c>
      <c r="H31" s="92"/>
      <c r="I31" s="92"/>
      <c r="J31" s="137">
        <v>9608.0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30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>
        <f>R34</f>
        <v>3500</v>
      </c>
      <c r="D32" s="24"/>
      <c r="E32" s="43">
        <v>23.0</v>
      </c>
      <c r="F32" s="56">
        <v>79.0</v>
      </c>
      <c r="G32" s="143">
        <v>79.0</v>
      </c>
      <c r="H32" s="92"/>
      <c r="I32" s="92"/>
      <c r="J32" s="137">
        <v>9609.0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825.0</v>
      </c>
      <c r="G33" s="93"/>
      <c r="H33" s="93">
        <v>825.0</v>
      </c>
      <c r="I33" s="92"/>
      <c r="J33" s="137">
        <v>9610.0</v>
      </c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>
        <v>10140.0</v>
      </c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379.0</v>
      </c>
      <c r="G34" s="143">
        <v>379.0</v>
      </c>
      <c r="H34" s="92"/>
      <c r="I34" s="92"/>
      <c r="J34" s="137">
        <v>9611.0</v>
      </c>
      <c r="K34" s="24"/>
      <c r="L34" s="106"/>
      <c r="M34" s="106"/>
      <c r="N34" s="106"/>
      <c r="O34" s="106"/>
      <c r="P34" s="85" t="s">
        <v>40</v>
      </c>
      <c r="Q34" s="107"/>
      <c r="R34" s="144">
        <v>3500.0</v>
      </c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629.0</v>
      </c>
      <c r="G35" s="143">
        <v>126.0</v>
      </c>
      <c r="H35" s="93">
        <v>500.0</v>
      </c>
      <c r="I35" s="92"/>
      <c r="J35" s="137">
        <v>9612.0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110.0</v>
      </c>
      <c r="G36" s="92"/>
      <c r="H36" s="93">
        <v>110.0</v>
      </c>
      <c r="I36" s="92"/>
      <c r="J36" s="137">
        <v>9613.0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660.0</v>
      </c>
      <c r="G37" s="93"/>
      <c r="H37" s="93">
        <v>660.0</v>
      </c>
      <c r="I37" s="92"/>
      <c r="J37" s="137">
        <v>9614.0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151.0</v>
      </c>
      <c r="G38" s="143">
        <v>151.0</v>
      </c>
      <c r="H38" s="92"/>
      <c r="I38" s="92"/>
      <c r="J38" s="137">
        <v>9615.0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379.0</v>
      </c>
      <c r="G39" s="93"/>
      <c r="H39" s="93">
        <v>379.0</v>
      </c>
      <c r="I39" s="92"/>
      <c r="J39" s="137">
        <v>9616.0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33.0</v>
      </c>
      <c r="G40" s="143">
        <v>33.0</v>
      </c>
      <c r="H40" s="93"/>
      <c r="I40" s="92"/>
      <c r="J40" s="137">
        <v>9617.0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611.0</v>
      </c>
      <c r="G41" s="143">
        <v>611.0</v>
      </c>
      <c r="H41" s="93"/>
      <c r="I41" s="92"/>
      <c r="J41" s="137">
        <v>9618.0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866.0</v>
      </c>
      <c r="G42" s="143">
        <v>866.0</v>
      </c>
      <c r="H42" s="93"/>
      <c r="I42" s="92"/>
      <c r="J42" s="137">
        <v>9619.0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523.0</v>
      </c>
      <c r="G43" s="93"/>
      <c r="H43" s="93">
        <v>523.0</v>
      </c>
      <c r="I43" s="92"/>
      <c r="J43" s="137">
        <v>9620.0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31.0</v>
      </c>
      <c r="G44" s="93">
        <v>31.0</v>
      </c>
      <c r="H44" s="93"/>
      <c r="I44" s="92"/>
      <c r="J44" s="137">
        <v>9621.0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228.0</v>
      </c>
      <c r="G45" s="93"/>
      <c r="H45" s="93">
        <v>228.0</v>
      </c>
      <c r="I45" s="92"/>
      <c r="J45" s="137">
        <v>9622.0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260.0</v>
      </c>
      <c r="G46" s="143">
        <v>260.0</v>
      </c>
      <c r="H46" s="92"/>
      <c r="I46" s="92"/>
      <c r="J46" s="137">
        <v>9623.0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352.0</v>
      </c>
      <c r="G47" s="143">
        <v>300.0</v>
      </c>
      <c r="H47" s="93">
        <v>52.0</v>
      </c>
      <c r="I47" s="92"/>
      <c r="J47" s="137">
        <v>9624.0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376.0</v>
      </c>
      <c r="G48" s="93"/>
      <c r="H48" s="93">
        <v>376.0</v>
      </c>
      <c r="I48" s="92"/>
      <c r="J48" s="137">
        <v>9625.0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399.0</v>
      </c>
      <c r="G49" s="143">
        <v>399.0</v>
      </c>
      <c r="H49" s="92"/>
      <c r="I49" s="92"/>
      <c r="J49" s="137">
        <v>9626.0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153.0</v>
      </c>
      <c r="G50" s="143">
        <v>153.0</v>
      </c>
      <c r="H50" s="93"/>
      <c r="I50" s="92"/>
      <c r="J50" s="137">
        <v>9627.0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290.0</v>
      </c>
      <c r="G51" s="92"/>
      <c r="H51" s="93">
        <v>290.0</v>
      </c>
      <c r="I51" s="92"/>
      <c r="J51" s="137">
        <v>9628.0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498.0</v>
      </c>
      <c r="G52" s="143">
        <v>498.0</v>
      </c>
      <c r="H52" s="92"/>
      <c r="I52" s="92"/>
      <c r="J52" s="137">
        <v>9629.0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505.0</v>
      </c>
      <c r="G53" s="92"/>
      <c r="H53" s="92"/>
      <c r="I53" s="93">
        <v>505.0</v>
      </c>
      <c r="J53" s="137">
        <v>9630.0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766.0</v>
      </c>
      <c r="G54" s="143">
        <v>766.0</v>
      </c>
      <c r="H54" s="92"/>
      <c r="I54" s="92"/>
      <c r="J54" s="137">
        <v>9631.0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996.0</v>
      </c>
      <c r="G55" s="93"/>
      <c r="H55" s="93">
        <v>996.0</v>
      </c>
      <c r="I55" s="92"/>
      <c r="J55" s="137">
        <v>9632.0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166.0</v>
      </c>
      <c r="G56" s="92"/>
      <c r="H56" s="93">
        <v>166.0</v>
      </c>
      <c r="I56" s="92"/>
      <c r="J56" s="137">
        <v>9633.0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308.0</v>
      </c>
      <c r="G57" s="143">
        <v>308.0</v>
      </c>
      <c r="H57" s="92"/>
      <c r="I57" s="92"/>
      <c r="J57" s="137">
        <v>9634.0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1352.0</v>
      </c>
      <c r="G58" s="167"/>
      <c r="H58" s="92"/>
      <c r="I58" s="93">
        <v>1352.0</v>
      </c>
      <c r="J58" s="137">
        <v>9635.0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167.0</v>
      </c>
      <c r="G59" s="143">
        <v>167.0</v>
      </c>
      <c r="H59" s="92"/>
      <c r="I59" s="92"/>
      <c r="J59" s="137">
        <v>9636.0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681.0</v>
      </c>
      <c r="G60" s="143">
        <v>681.0</v>
      </c>
      <c r="H60" s="92"/>
      <c r="I60" s="92"/>
      <c r="J60" s="137">
        <v>9637.0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258.0</v>
      </c>
      <c r="G61" s="143">
        <v>230.0</v>
      </c>
      <c r="H61" s="93">
        <v>28.0</v>
      </c>
      <c r="I61" s="92"/>
      <c r="J61" s="117">
        <v>9638.0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180.0</v>
      </c>
      <c r="G62" s="92"/>
      <c r="H62" s="93">
        <v>180.0</v>
      </c>
      <c r="I62" s="92"/>
      <c r="J62" s="137">
        <v>9639.0</v>
      </c>
      <c r="K62" s="24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68">
        <v>230.0</v>
      </c>
      <c r="G63" s="93">
        <v>230.0</v>
      </c>
      <c r="H63" s="92"/>
      <c r="I63" s="92"/>
      <c r="J63" s="137">
        <v>9640.0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68">
        <v>82.0</v>
      </c>
      <c r="G64" s="93">
        <v>82.0</v>
      </c>
      <c r="H64" s="92"/>
      <c r="I64" s="92"/>
      <c r="J64" s="137">
        <v>9641.0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62.0</v>
      </c>
      <c r="G65" s="92"/>
      <c r="H65" s="93">
        <v>62.0</v>
      </c>
      <c r="I65" s="92"/>
      <c r="J65" s="137">
        <v>9642.0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143.0</v>
      </c>
      <c r="G66" s="143">
        <v>143.0</v>
      </c>
      <c r="H66" s="92"/>
      <c r="I66" s="92"/>
      <c r="J66" s="137">
        <v>9643.0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98.0</v>
      </c>
      <c r="G67" s="143">
        <v>98.0</v>
      </c>
      <c r="H67" s="92"/>
      <c r="I67" s="92"/>
      <c r="J67" s="137">
        <v>9644.0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626.0</v>
      </c>
      <c r="G68" s="93"/>
      <c r="H68" s="92"/>
      <c r="I68" s="93">
        <v>626.0</v>
      </c>
      <c r="J68" s="137">
        <v>9645.0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3138.0</v>
      </c>
      <c r="G69" s="93"/>
      <c r="H69" s="92"/>
      <c r="I69" s="93">
        <v>3138.0</v>
      </c>
      <c r="J69" s="137">
        <v>9646.0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68">
        <v>145.0</v>
      </c>
      <c r="G70" s="93">
        <v>145.0</v>
      </c>
      <c r="H70" s="92"/>
      <c r="I70" s="92"/>
      <c r="J70" s="137">
        <v>9647.0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56">
        <v>59.0</v>
      </c>
      <c r="G71" s="92"/>
      <c r="H71" s="93">
        <v>59.0</v>
      </c>
      <c r="I71" s="92"/>
      <c r="J71" s="137">
        <v>9648.0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56">
        <v>133.0</v>
      </c>
      <c r="G72" s="92"/>
      <c r="H72" s="93">
        <v>133.0</v>
      </c>
      <c r="I72" s="92"/>
      <c r="J72" s="137">
        <v>9649.0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56">
        <v>2044.0</v>
      </c>
      <c r="G73" s="92"/>
      <c r="H73" s="92"/>
      <c r="I73" s="93">
        <v>2044.0</v>
      </c>
      <c r="J73" s="137">
        <v>9650.0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68">
        <v>572.0</v>
      </c>
      <c r="G74" s="93">
        <v>572.0</v>
      </c>
      <c r="H74" s="92"/>
      <c r="I74" s="92"/>
      <c r="J74" s="137">
        <v>9651.0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68">
        <v>20.0</v>
      </c>
      <c r="G75" s="93">
        <v>20.0</v>
      </c>
      <c r="H75" s="92"/>
      <c r="I75" s="92"/>
      <c r="J75" s="137">
        <v>9652.0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56">
        <v>1099.0</v>
      </c>
      <c r="G76" s="92"/>
      <c r="H76" s="92"/>
      <c r="I76" s="93">
        <v>1099.0</v>
      </c>
      <c r="J76" s="137">
        <v>9653.0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68">
        <v>195.0</v>
      </c>
      <c r="G77" s="93">
        <v>195.0</v>
      </c>
      <c r="H77" s="92"/>
      <c r="I77" s="92"/>
      <c r="J77" s="137">
        <v>9654.0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56">
        <v>35.0</v>
      </c>
      <c r="G78" s="92"/>
      <c r="H78" s="93">
        <v>35.0</v>
      </c>
      <c r="I78" s="92"/>
      <c r="J78" s="137">
        <v>9655.0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56">
        <v>14.0</v>
      </c>
      <c r="G79" s="92"/>
      <c r="H79" s="93">
        <v>14.0</v>
      </c>
      <c r="I79" s="92"/>
      <c r="J79" s="137">
        <v>9656.0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137">
        <v>9657.0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31159</v>
      </c>
      <c r="G97" s="123">
        <f t="shared" si="4"/>
        <v>12777</v>
      </c>
      <c r="H97" s="123">
        <f t="shared" si="4"/>
        <v>9615</v>
      </c>
      <c r="I97" s="123">
        <f t="shared" si="4"/>
        <v>8764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32">
        <v>45975.0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37221.0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9615.0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45621.0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30824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9852</v>
      </c>
      <c r="D10" s="24"/>
      <c r="E10" s="43">
        <v>1.0</v>
      </c>
      <c r="F10" s="44">
        <v>30.0</v>
      </c>
      <c r="G10" s="45">
        <v>30.0</v>
      </c>
      <c r="H10" s="45"/>
      <c r="I10" s="45"/>
      <c r="J10" s="137">
        <v>9657.0</v>
      </c>
      <c r="K10" s="24"/>
      <c r="L10" s="47">
        <v>3138.0</v>
      </c>
      <c r="M10" s="47"/>
      <c r="N10" s="47">
        <v>9648.0</v>
      </c>
      <c r="O10" s="49"/>
      <c r="P10" s="85" t="s">
        <v>109</v>
      </c>
      <c r="Q10" s="51"/>
      <c r="R10" s="52">
        <v>150.0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11561</v>
      </c>
      <c r="D11" s="24"/>
      <c r="E11" s="43">
        <v>2.0</v>
      </c>
      <c r="F11" s="56">
        <v>80.0</v>
      </c>
      <c r="G11" s="57">
        <v>80.0</v>
      </c>
      <c r="H11" s="58"/>
      <c r="I11" s="59"/>
      <c r="J11" s="137">
        <v>9658.0</v>
      </c>
      <c r="K11" s="24"/>
      <c r="L11" s="48"/>
      <c r="M11" s="47">
        <v>1800.0</v>
      </c>
      <c r="N11" s="48">
        <v>9485.0</v>
      </c>
      <c r="O11" s="49"/>
      <c r="P11" s="72" t="s">
        <v>139</v>
      </c>
      <c r="Q11" s="51"/>
      <c r="R11" s="52">
        <v>470.0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9411</v>
      </c>
      <c r="D12" s="24"/>
      <c r="E12" s="43">
        <v>3.0</v>
      </c>
      <c r="F12" s="63">
        <v>43.0</v>
      </c>
      <c r="G12" s="64">
        <v>43.0</v>
      </c>
      <c r="H12" s="64"/>
      <c r="I12" s="65"/>
      <c r="J12" s="137">
        <v>9659.0</v>
      </c>
      <c r="K12" s="24"/>
      <c r="L12" s="48"/>
      <c r="M12" s="47">
        <v>730.0</v>
      </c>
      <c r="N12" s="48">
        <v>9487.0</v>
      </c>
      <c r="O12" s="49"/>
      <c r="P12" s="72" t="s">
        <v>140</v>
      </c>
      <c r="Q12" s="51"/>
      <c r="R12" s="52">
        <v>30.0</v>
      </c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3138</v>
      </c>
      <c r="D13" s="24"/>
      <c r="E13" s="43">
        <v>4.0</v>
      </c>
      <c r="F13" s="56">
        <v>34.0</v>
      </c>
      <c r="G13" s="64">
        <v>34.0</v>
      </c>
      <c r="H13" s="65"/>
      <c r="I13" s="65"/>
      <c r="J13" s="137">
        <v>9660.0</v>
      </c>
      <c r="K13" s="24"/>
      <c r="L13" s="48"/>
      <c r="M13" s="47">
        <v>178.0</v>
      </c>
      <c r="N13" s="47">
        <v>8601.0</v>
      </c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2708</v>
      </c>
      <c r="D14" s="24"/>
      <c r="E14" s="43">
        <v>5.0</v>
      </c>
      <c r="F14" s="56">
        <v>547.0</v>
      </c>
      <c r="G14" s="64"/>
      <c r="H14" s="139">
        <v>514.0</v>
      </c>
      <c r="I14" s="169">
        <v>33.0</v>
      </c>
      <c r="J14" s="148" t="s">
        <v>141</v>
      </c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>
        <v>30.0</v>
      </c>
      <c r="G15" s="64">
        <v>30.0</v>
      </c>
      <c r="H15" s="64"/>
      <c r="I15" s="65"/>
      <c r="J15" s="137">
        <v>9662.0</v>
      </c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650</v>
      </c>
      <c r="D16" s="24"/>
      <c r="E16" s="43">
        <v>7.0</v>
      </c>
      <c r="F16" s="56">
        <v>472.0</v>
      </c>
      <c r="G16" s="64"/>
      <c r="H16" s="139">
        <v>472.0</v>
      </c>
      <c r="I16" s="65"/>
      <c r="J16" s="137">
        <v>9663.0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650</v>
      </c>
      <c r="D17" s="24"/>
      <c r="E17" s="43">
        <v>8.0</v>
      </c>
      <c r="F17" s="56">
        <v>228.0</v>
      </c>
      <c r="G17" s="64">
        <v>228.0</v>
      </c>
      <c r="H17" s="64"/>
      <c r="I17" s="65"/>
      <c r="J17" s="137">
        <v>9664.0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648.0</v>
      </c>
      <c r="G18" s="64">
        <v>648.0</v>
      </c>
      <c r="H18" s="64"/>
      <c r="I18" s="65"/>
      <c r="J18" s="137">
        <v>9665.0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280.0</v>
      </c>
      <c r="G19" s="64"/>
      <c r="H19" s="139">
        <v>280.0</v>
      </c>
      <c r="I19" s="65"/>
      <c r="J19" s="137">
        <v>9666.0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49186</v>
      </c>
      <c r="D20" s="24"/>
      <c r="E20" s="43">
        <v>11.0</v>
      </c>
      <c r="F20" s="56">
        <v>67.0</v>
      </c>
      <c r="G20" s="64">
        <v>67.0</v>
      </c>
      <c r="H20" s="64"/>
      <c r="I20" s="65"/>
      <c r="J20" s="137">
        <v>9667.0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14269</v>
      </c>
      <c r="D21" s="24"/>
      <c r="E21" s="43">
        <v>12.0</v>
      </c>
      <c r="F21" s="56">
        <v>99.0</v>
      </c>
      <c r="G21" s="64">
        <v>99.0</v>
      </c>
      <c r="H21" s="64"/>
      <c r="I21" s="65"/>
      <c r="J21" s="137">
        <v>9668.0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46061</v>
      </c>
      <c r="D22" s="24"/>
      <c r="E22" s="43">
        <v>13.0</v>
      </c>
      <c r="F22" s="56">
        <v>74.0</v>
      </c>
      <c r="G22" s="64">
        <v>74.0</v>
      </c>
      <c r="H22" s="64"/>
      <c r="I22" s="65"/>
      <c r="J22" s="137">
        <v>9669.0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41">
        <v>49558.0</v>
      </c>
      <c r="D23" s="24"/>
      <c r="E23" s="43">
        <v>14.0</v>
      </c>
      <c r="F23" s="56">
        <v>149.0</v>
      </c>
      <c r="G23" s="64">
        <v>149.0</v>
      </c>
      <c r="H23" s="65"/>
      <c r="I23" s="65"/>
      <c r="J23" s="137">
        <v>9670.0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-3497</v>
      </c>
      <c r="D24" s="24"/>
      <c r="E24" s="43">
        <v>15.0</v>
      </c>
      <c r="F24" s="56">
        <v>129.0</v>
      </c>
      <c r="G24" s="64">
        <v>129.0</v>
      </c>
      <c r="H24" s="65"/>
      <c r="I24" s="170"/>
      <c r="J24" s="137">
        <v>9671.0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672.0</v>
      </c>
      <c r="G25" s="64"/>
      <c r="H25" s="65"/>
      <c r="I25" s="169">
        <v>672.0</v>
      </c>
      <c r="J25" s="148" t="s">
        <v>142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30824</v>
      </c>
      <c r="D26" s="24"/>
      <c r="E26" s="43">
        <v>17.0</v>
      </c>
      <c r="F26" s="56">
        <v>45.0</v>
      </c>
      <c r="G26" s="64"/>
      <c r="H26" s="139">
        <v>45.0</v>
      </c>
      <c r="I26" s="65"/>
      <c r="J26" s="137">
        <v>9673.0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71.0</v>
      </c>
      <c r="D27" s="24"/>
      <c r="E27" s="43">
        <v>18.0</v>
      </c>
      <c r="F27" s="56">
        <v>510.0</v>
      </c>
      <c r="G27" s="64">
        <v>510.0</v>
      </c>
      <c r="H27" s="65"/>
      <c r="I27" s="65"/>
      <c r="J27" s="137">
        <v>9674.0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434.1408451</v>
      </c>
      <c r="D28" s="24"/>
      <c r="E28" s="43">
        <v>19.0</v>
      </c>
      <c r="F28" s="56">
        <v>609.0</v>
      </c>
      <c r="G28" s="64"/>
      <c r="H28" s="139">
        <v>609.0</v>
      </c>
      <c r="I28" s="65"/>
      <c r="J28" s="137">
        <v>9675.0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6116.0</v>
      </c>
      <c r="G29" s="64"/>
      <c r="H29" s="64"/>
      <c r="I29" s="169">
        <v>6116.0</v>
      </c>
      <c r="J29" s="148" t="s">
        <v>143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1897.0</v>
      </c>
      <c r="G30" s="93">
        <v>1897.0</v>
      </c>
      <c r="H30" s="92"/>
      <c r="I30" s="93"/>
      <c r="J30" s="137">
        <v>9677.0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>
        <f>S33</f>
        <v>9615</v>
      </c>
      <c r="D31" s="24"/>
      <c r="E31" s="43">
        <v>22.0</v>
      </c>
      <c r="F31" s="56">
        <v>28.0</v>
      </c>
      <c r="G31" s="93"/>
      <c r="H31" s="143">
        <v>28.0</v>
      </c>
      <c r="I31" s="92"/>
      <c r="J31" s="137">
        <v>9678.0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650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>
        <f>R34</f>
        <v>3500</v>
      </c>
      <c r="D32" s="24"/>
      <c r="E32" s="43">
        <v>23.0</v>
      </c>
      <c r="F32" s="56">
        <v>284.0</v>
      </c>
      <c r="G32" s="93"/>
      <c r="H32" s="143">
        <v>284.0</v>
      </c>
      <c r="I32" s="92"/>
      <c r="J32" s="137">
        <v>9679.0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592.0</v>
      </c>
      <c r="G33" s="93"/>
      <c r="H33" s="143">
        <v>592.0</v>
      </c>
      <c r="I33" s="92"/>
      <c r="J33" s="137">
        <v>9680.0</v>
      </c>
      <c r="K33" s="24"/>
      <c r="L33" s="104">
        <f t="shared" ref="L33:M33" si="2">sum(L10:L32)</f>
        <v>3138</v>
      </c>
      <c r="M33" s="104">
        <f t="shared" si="2"/>
        <v>2708</v>
      </c>
      <c r="N33" s="104"/>
      <c r="O33" s="105"/>
      <c r="P33" s="85" t="s">
        <v>38</v>
      </c>
      <c r="Q33" s="51"/>
      <c r="R33" s="100"/>
      <c r="S33" s="52">
        <v>9615.0</v>
      </c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1005.0</v>
      </c>
      <c r="G34" s="153"/>
      <c r="H34" s="143">
        <v>1005.0</v>
      </c>
      <c r="I34" s="92"/>
      <c r="J34" s="137">
        <v>9681.0</v>
      </c>
      <c r="K34" s="24"/>
      <c r="L34" s="106"/>
      <c r="M34" s="106"/>
      <c r="N34" s="106"/>
      <c r="O34" s="106"/>
      <c r="P34" s="85" t="s">
        <v>40</v>
      </c>
      <c r="Q34" s="107"/>
      <c r="R34" s="144">
        <v>3500.0</v>
      </c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501.0</v>
      </c>
      <c r="G35" s="93">
        <v>501.0</v>
      </c>
      <c r="H35" s="93"/>
      <c r="I35" s="92"/>
      <c r="J35" s="137">
        <v>9682.0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637.0</v>
      </c>
      <c r="G36" s="93">
        <v>637.0</v>
      </c>
      <c r="H36" s="93"/>
      <c r="I36" s="92"/>
      <c r="J36" s="137">
        <v>9683.0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275.0</v>
      </c>
      <c r="G37" s="93"/>
      <c r="H37" s="143">
        <v>275.0</v>
      </c>
      <c r="I37" s="92"/>
      <c r="J37" s="137">
        <v>9684.0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135.0</v>
      </c>
      <c r="G38" s="93"/>
      <c r="H38" s="143">
        <v>135.0</v>
      </c>
      <c r="I38" s="92"/>
      <c r="J38" s="137">
        <v>9685.0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550.0</v>
      </c>
      <c r="G39" s="93">
        <v>550.0</v>
      </c>
      <c r="H39" s="93"/>
      <c r="I39" s="92"/>
      <c r="J39" s="137">
        <v>9686.0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34.0</v>
      </c>
      <c r="G40" s="93">
        <v>34.0</v>
      </c>
      <c r="H40" s="93"/>
      <c r="I40" s="92"/>
      <c r="J40" s="137">
        <v>9687.0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392.0</v>
      </c>
      <c r="G41" s="93">
        <v>392.0</v>
      </c>
      <c r="H41" s="93"/>
      <c r="I41" s="92"/>
      <c r="J41" s="137">
        <v>9688.0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149.0</v>
      </c>
      <c r="G42" s="93">
        <v>149.0</v>
      </c>
      <c r="H42" s="93"/>
      <c r="I42" s="92"/>
      <c r="J42" s="137">
        <v>9689.0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1160.0</v>
      </c>
      <c r="G43" s="93"/>
      <c r="H43" s="143">
        <v>1160.0</v>
      </c>
      <c r="I43" s="92"/>
      <c r="J43" s="137">
        <v>9690.0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284.0</v>
      </c>
      <c r="G44" s="92"/>
      <c r="H44" s="143">
        <v>284.0</v>
      </c>
      <c r="I44" s="92"/>
      <c r="J44" s="137">
        <v>9691.0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33.0</v>
      </c>
      <c r="G45" s="93">
        <v>33.0</v>
      </c>
      <c r="H45" s="92"/>
      <c r="I45" s="92"/>
      <c r="J45" s="137">
        <v>9692.0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330.0</v>
      </c>
      <c r="G46" s="93"/>
      <c r="H46" s="143">
        <v>330.0</v>
      </c>
      <c r="I46" s="92"/>
      <c r="J46" s="137">
        <v>9693.0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176.0</v>
      </c>
      <c r="G47" s="92"/>
      <c r="H47" s="143">
        <v>176.0</v>
      </c>
      <c r="I47" s="92"/>
      <c r="J47" s="137">
        <v>9694.0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111.0</v>
      </c>
      <c r="G48" s="93">
        <v>111.0</v>
      </c>
      <c r="H48" s="92"/>
      <c r="I48" s="92"/>
      <c r="J48" s="137">
        <v>9695.0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30.0</v>
      </c>
      <c r="G49" s="93">
        <v>30.0</v>
      </c>
      <c r="H49" s="92"/>
      <c r="I49" s="92"/>
      <c r="J49" s="137">
        <v>9696.0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160.0</v>
      </c>
      <c r="G50" s="93">
        <v>160.0</v>
      </c>
      <c r="H50" s="93"/>
      <c r="I50" s="92"/>
      <c r="J50" s="137">
        <v>9697.0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474.0</v>
      </c>
      <c r="G51" s="92"/>
      <c r="H51" s="145">
        <v>474.0</v>
      </c>
      <c r="I51" s="92"/>
      <c r="J51" s="146" t="s">
        <v>144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149.0</v>
      </c>
      <c r="G52" s="93">
        <v>149.0</v>
      </c>
      <c r="H52" s="92"/>
      <c r="I52" s="92"/>
      <c r="J52" s="137">
        <v>9699.0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260.0</v>
      </c>
      <c r="G53" s="93">
        <v>260.0</v>
      </c>
      <c r="H53" s="92"/>
      <c r="I53" s="92"/>
      <c r="J53" s="137">
        <v>9700.0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427.0</v>
      </c>
      <c r="G54" s="93">
        <v>427.0</v>
      </c>
      <c r="H54" s="92"/>
      <c r="I54" s="92"/>
      <c r="J54" s="137">
        <v>9701.0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150.0</v>
      </c>
      <c r="G55" s="93">
        <v>150.0</v>
      </c>
      <c r="H55" s="92"/>
      <c r="I55" s="92"/>
      <c r="J55" s="137">
        <v>9702.0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454.0</v>
      </c>
      <c r="G56" s="92"/>
      <c r="H56" s="145">
        <v>454.0</v>
      </c>
      <c r="I56" s="92"/>
      <c r="J56" s="146" t="s">
        <v>145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231.0</v>
      </c>
      <c r="G57" s="92"/>
      <c r="H57" s="143">
        <v>231.0</v>
      </c>
      <c r="I57" s="92"/>
      <c r="J57" s="137">
        <v>9704.0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101.0</v>
      </c>
      <c r="G58" s="93">
        <v>1.0</v>
      </c>
      <c r="H58" s="143">
        <v>100.0</v>
      </c>
      <c r="I58" s="92"/>
      <c r="J58" s="137">
        <v>9705.0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160.0</v>
      </c>
      <c r="G59" s="93">
        <v>160.0</v>
      </c>
      <c r="H59" s="92"/>
      <c r="I59" s="92"/>
      <c r="J59" s="137">
        <v>9706.0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169.0</v>
      </c>
      <c r="G60" s="92"/>
      <c r="H60" s="143">
        <v>169.0</v>
      </c>
      <c r="I60" s="92"/>
      <c r="J60" s="137">
        <v>9707.0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370.0</v>
      </c>
      <c r="G61" s="92"/>
      <c r="H61" s="143">
        <v>370.0</v>
      </c>
      <c r="I61" s="92"/>
      <c r="J61" s="137">
        <v>9708.0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422.0</v>
      </c>
      <c r="G62" s="92"/>
      <c r="H62" s="143">
        <v>422.0</v>
      </c>
      <c r="I62" s="92"/>
      <c r="J62" s="137">
        <v>9709.0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236.0</v>
      </c>
      <c r="G63" s="92"/>
      <c r="H63" s="143">
        <v>236.0</v>
      </c>
      <c r="I63" s="92"/>
      <c r="J63" s="137">
        <v>9710.0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645.0</v>
      </c>
      <c r="G64" s="93">
        <v>645.0</v>
      </c>
      <c r="H64" s="92"/>
      <c r="I64" s="92"/>
      <c r="J64" s="137">
        <v>9711.0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555.0</v>
      </c>
      <c r="G65" s="92"/>
      <c r="H65" s="92"/>
      <c r="I65" s="147">
        <v>555.0</v>
      </c>
      <c r="J65" s="148" t="s">
        <v>146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247.0</v>
      </c>
      <c r="G66" s="92"/>
      <c r="H66" s="143">
        <v>247.0</v>
      </c>
      <c r="I66" s="92"/>
      <c r="J66" s="137">
        <v>9713.0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217.0</v>
      </c>
      <c r="G67" s="92"/>
      <c r="H67" s="143">
        <v>217.0</v>
      </c>
      <c r="I67" s="92"/>
      <c r="J67" s="137">
        <v>9714.0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50.0</v>
      </c>
      <c r="G68" s="92"/>
      <c r="H68" s="143">
        <v>50.0</v>
      </c>
      <c r="I68" s="92"/>
      <c r="J68" s="137">
        <v>9715.0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399.0</v>
      </c>
      <c r="G69" s="92"/>
      <c r="H69" s="143">
        <v>399.0</v>
      </c>
      <c r="I69" s="92"/>
      <c r="J69" s="137">
        <v>9716.0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489.0</v>
      </c>
      <c r="G70" s="93">
        <v>489.0</v>
      </c>
      <c r="H70" s="92"/>
      <c r="I70" s="92"/>
      <c r="J70" s="137">
        <v>9717.0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56">
        <v>508.0</v>
      </c>
      <c r="G71" s="93">
        <v>508.0</v>
      </c>
      <c r="H71" s="92"/>
      <c r="I71" s="92"/>
      <c r="J71" s="137">
        <v>9718.0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56">
        <v>42.0</v>
      </c>
      <c r="G72" s="93">
        <v>42.0</v>
      </c>
      <c r="H72" s="92"/>
      <c r="I72" s="92"/>
      <c r="J72" s="137">
        <v>9719.0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56">
        <v>761.0</v>
      </c>
      <c r="G73" s="93">
        <v>157.0</v>
      </c>
      <c r="H73" s="143">
        <v>604.0</v>
      </c>
      <c r="I73" s="92"/>
      <c r="J73" s="137">
        <v>9720.0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56">
        <v>209.0</v>
      </c>
      <c r="G74" s="93">
        <v>209.0</v>
      </c>
      <c r="H74" s="92"/>
      <c r="I74" s="92"/>
      <c r="J74" s="137">
        <v>9721.0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56">
        <v>824.0</v>
      </c>
      <c r="G75" s="92"/>
      <c r="H75" s="143">
        <v>824.0</v>
      </c>
      <c r="I75" s="92"/>
      <c r="J75" s="137">
        <v>9722.0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56">
        <v>585.0</v>
      </c>
      <c r="G76" s="92"/>
      <c r="H76" s="93"/>
      <c r="I76" s="147">
        <v>585.0</v>
      </c>
      <c r="J76" s="148" t="s">
        <v>147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56">
        <v>548.0</v>
      </c>
      <c r="G77" s="92"/>
      <c r="H77" s="143">
        <v>548.0</v>
      </c>
      <c r="I77" s="92"/>
      <c r="J77" s="137">
        <v>9724.0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56">
        <v>27.0</v>
      </c>
      <c r="G78" s="92"/>
      <c r="H78" s="143">
        <v>27.0</v>
      </c>
      <c r="I78" s="92"/>
      <c r="J78" s="137">
        <v>9725.0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56">
        <v>40.0</v>
      </c>
      <c r="G79" s="93">
        <v>40.0</v>
      </c>
      <c r="H79" s="153"/>
      <c r="I79" s="92"/>
      <c r="J79" s="135">
        <v>9726.0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56">
        <v>1450.0</v>
      </c>
      <c r="G80" s="92"/>
      <c r="H80" s="92"/>
      <c r="I80" s="93">
        <v>1450.0</v>
      </c>
      <c r="J80" s="137" t="s">
        <v>148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137">
        <v>9728.0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137">
        <v>9729.0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137">
        <v>9730.0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137">
        <v>9731.0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137">
        <v>9732.0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137">
        <v>9733.0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137">
        <v>9734.0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137">
        <v>9735.0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137">
        <v>9736.0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137">
        <v>9737.0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137">
        <v>9738.0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137">
        <v>9739.0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137">
        <v>9740.0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153"/>
      <c r="I94" s="61"/>
      <c r="J94" s="135">
        <v>9741.0</v>
      </c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137">
        <v>9742.0</v>
      </c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137">
        <v>9743.0</v>
      </c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30824</v>
      </c>
      <c r="G97" s="123">
        <f t="shared" si="4"/>
        <v>9852</v>
      </c>
      <c r="H97" s="123">
        <f t="shared" si="4"/>
        <v>11561</v>
      </c>
      <c r="I97" s="123">
        <f t="shared" si="4"/>
        <v>9411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32">
        <v>45976.0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46061.0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14269.0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49186.0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43824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22715</v>
      </c>
      <c r="D10" s="24"/>
      <c r="E10" s="43">
        <v>1.0</v>
      </c>
      <c r="F10" s="44">
        <v>135.0</v>
      </c>
      <c r="G10" s="45">
        <v>135.0</v>
      </c>
      <c r="H10" s="45"/>
      <c r="I10" s="45"/>
      <c r="J10" s="137">
        <v>9728.0</v>
      </c>
      <c r="K10" s="24"/>
      <c r="L10" s="47"/>
      <c r="M10" s="47">
        <v>1139.0</v>
      </c>
      <c r="N10" s="47">
        <v>8510.0</v>
      </c>
      <c r="O10" s="49"/>
      <c r="P10" s="85" t="s">
        <v>109</v>
      </c>
      <c r="Q10" s="51"/>
      <c r="R10" s="52">
        <v>50.0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16692</v>
      </c>
      <c r="D11" s="24"/>
      <c r="E11" s="43">
        <v>2.0</v>
      </c>
      <c r="F11" s="56">
        <v>118.0</v>
      </c>
      <c r="G11" s="57"/>
      <c r="H11" s="136">
        <v>118.0</v>
      </c>
      <c r="I11" s="59"/>
      <c r="J11" s="137">
        <v>9729.0</v>
      </c>
      <c r="K11" s="24"/>
      <c r="L11" s="47">
        <v>1099.0</v>
      </c>
      <c r="M11" s="48"/>
      <c r="N11" s="48">
        <v>9653.0</v>
      </c>
      <c r="O11" s="49"/>
      <c r="P11" s="72" t="s">
        <v>149</v>
      </c>
      <c r="Q11" s="51"/>
      <c r="R11" s="52">
        <v>200.0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4417</v>
      </c>
      <c r="D12" s="24"/>
      <c r="E12" s="43">
        <v>3.0</v>
      </c>
      <c r="F12" s="63">
        <v>461.0</v>
      </c>
      <c r="G12" s="64">
        <v>461.0</v>
      </c>
      <c r="H12" s="64"/>
      <c r="I12" s="65"/>
      <c r="J12" s="137">
        <v>9730.0</v>
      </c>
      <c r="K12" s="24"/>
      <c r="L12" s="47">
        <v>223.0</v>
      </c>
      <c r="M12" s="47">
        <v>5893.0</v>
      </c>
      <c r="N12" s="48">
        <v>9676.0</v>
      </c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1322</v>
      </c>
      <c r="D13" s="24"/>
      <c r="E13" s="43">
        <v>4.0</v>
      </c>
      <c r="F13" s="56">
        <v>228.0</v>
      </c>
      <c r="G13" s="64">
        <v>228.0</v>
      </c>
      <c r="H13" s="65"/>
      <c r="I13" s="65"/>
      <c r="J13" s="137">
        <v>9731.0</v>
      </c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7032</v>
      </c>
      <c r="D14" s="24"/>
      <c r="E14" s="43">
        <v>5.0</v>
      </c>
      <c r="F14" s="56">
        <v>113.0</v>
      </c>
      <c r="G14" s="64">
        <v>113.0</v>
      </c>
      <c r="H14" s="65"/>
      <c r="I14" s="65"/>
      <c r="J14" s="137">
        <v>9732.0</v>
      </c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>
        <v>34.0</v>
      </c>
      <c r="G15" s="64">
        <v>34.0</v>
      </c>
      <c r="H15" s="64"/>
      <c r="I15" s="65"/>
      <c r="J15" s="137">
        <v>9733.0</v>
      </c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250</v>
      </c>
      <c r="D16" s="24"/>
      <c r="E16" s="43">
        <v>7.0</v>
      </c>
      <c r="F16" s="56">
        <v>145.0</v>
      </c>
      <c r="G16" s="64">
        <v>145.0</v>
      </c>
      <c r="H16" s="64"/>
      <c r="I16" s="65"/>
      <c r="J16" s="137">
        <v>9734.0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250</v>
      </c>
      <c r="D17" s="24"/>
      <c r="E17" s="43">
        <v>8.0</v>
      </c>
      <c r="F17" s="56">
        <v>478.0</v>
      </c>
      <c r="G17" s="64">
        <v>478.0</v>
      </c>
      <c r="H17" s="64"/>
      <c r="I17" s="65"/>
      <c r="J17" s="137">
        <v>9735.0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1257.0</v>
      </c>
      <c r="G18" s="64">
        <v>1257.0</v>
      </c>
      <c r="H18" s="64"/>
      <c r="I18" s="65"/>
      <c r="J18" s="137">
        <v>9736.0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864.0</v>
      </c>
      <c r="G19" s="64">
        <v>864.0</v>
      </c>
      <c r="H19" s="65"/>
      <c r="I19" s="65"/>
      <c r="J19" s="137">
        <v>9737.0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45249</v>
      </c>
      <c r="D20" s="24"/>
      <c r="E20" s="43">
        <v>11.0</v>
      </c>
      <c r="F20" s="56">
        <v>864.0</v>
      </c>
      <c r="G20" s="64">
        <v>864.0</v>
      </c>
      <c r="H20" s="64"/>
      <c r="I20" s="65"/>
      <c r="J20" s="137">
        <v>9738.0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23724</v>
      </c>
      <c r="D21" s="24"/>
      <c r="E21" s="43">
        <v>12.0</v>
      </c>
      <c r="F21" s="56">
        <v>742.0</v>
      </c>
      <c r="G21" s="64">
        <v>742.0</v>
      </c>
      <c r="H21" s="64"/>
      <c r="I21" s="65"/>
      <c r="J21" s="137">
        <v>9739.0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66348</v>
      </c>
      <c r="D22" s="24"/>
      <c r="E22" s="43">
        <v>13.0</v>
      </c>
      <c r="F22" s="56">
        <v>1470.0</v>
      </c>
      <c r="G22" s="64">
        <v>1470.0</v>
      </c>
      <c r="H22" s="64"/>
      <c r="I22" s="65"/>
      <c r="J22" s="137">
        <v>9740.0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41">
        <v>69875.0</v>
      </c>
      <c r="D23" s="24"/>
      <c r="E23" s="43">
        <v>14.0</v>
      </c>
      <c r="F23" s="56">
        <v>400.0</v>
      </c>
      <c r="G23" s="65"/>
      <c r="H23" s="139">
        <v>400.0</v>
      </c>
      <c r="I23" s="65"/>
      <c r="J23" s="137">
        <v>9741.0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-3527</v>
      </c>
      <c r="D24" s="24"/>
      <c r="E24" s="43">
        <v>15.0</v>
      </c>
      <c r="F24" s="56">
        <v>126.0</v>
      </c>
      <c r="G24" s="64">
        <v>126.0</v>
      </c>
      <c r="H24" s="65"/>
      <c r="I24" s="65"/>
      <c r="J24" s="137">
        <v>9742.0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502.0</v>
      </c>
      <c r="G25" s="64"/>
      <c r="H25" s="139">
        <v>502.0</v>
      </c>
      <c r="I25" s="65"/>
      <c r="J25" s="137">
        <v>9743.0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43824</v>
      </c>
      <c r="D26" s="24"/>
      <c r="E26" s="43">
        <v>17.0</v>
      </c>
      <c r="F26" s="56">
        <v>1451.0</v>
      </c>
      <c r="G26" s="64"/>
      <c r="H26" s="139">
        <v>1451.0</v>
      </c>
      <c r="I26" s="65"/>
      <c r="J26" s="137">
        <v>9744.0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84.0</v>
      </c>
      <c r="D27" s="24"/>
      <c r="E27" s="43">
        <v>18.0</v>
      </c>
      <c r="F27" s="56">
        <v>600.0</v>
      </c>
      <c r="G27" s="64">
        <v>600.0</v>
      </c>
      <c r="H27" s="65"/>
      <c r="I27" s="65"/>
      <c r="J27" s="137">
        <v>9745.0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521.7142857</v>
      </c>
      <c r="D28" s="24"/>
      <c r="E28" s="43">
        <v>19.0</v>
      </c>
      <c r="F28" s="56">
        <v>134.0</v>
      </c>
      <c r="G28" s="64"/>
      <c r="H28" s="139">
        <v>134.0</v>
      </c>
      <c r="I28" s="65"/>
      <c r="J28" s="137">
        <v>9746.0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254.0</v>
      </c>
      <c r="G29" s="64"/>
      <c r="H29" s="65"/>
      <c r="I29" s="138">
        <v>254.0</v>
      </c>
      <c r="J29" s="161" t="s">
        <v>150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170.0</v>
      </c>
      <c r="G30" s="93">
        <v>170.0</v>
      </c>
      <c r="H30" s="92"/>
      <c r="I30" s="93"/>
      <c r="J30" s="137">
        <v>9748.0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>
        <f>S33</f>
        <v>14269</v>
      </c>
      <c r="D31" s="24"/>
      <c r="E31" s="43">
        <v>22.0</v>
      </c>
      <c r="F31" s="56">
        <v>454.0</v>
      </c>
      <c r="G31" s="93">
        <v>454.0</v>
      </c>
      <c r="H31" s="92"/>
      <c r="I31" s="92"/>
      <c r="J31" s="137">
        <v>9749.0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250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>
        <f>R34</f>
        <v>3500</v>
      </c>
      <c r="D32" s="24"/>
      <c r="E32" s="43">
        <v>23.0</v>
      </c>
      <c r="F32" s="56">
        <v>304.0</v>
      </c>
      <c r="G32" s="93">
        <v>304.0</v>
      </c>
      <c r="H32" s="92"/>
      <c r="I32" s="92"/>
      <c r="J32" s="137">
        <v>9750.0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93.0</v>
      </c>
      <c r="G33" s="93">
        <v>93.0</v>
      </c>
      <c r="H33" s="92"/>
      <c r="I33" s="92"/>
      <c r="J33" s="137">
        <v>9751.0</v>
      </c>
      <c r="K33" s="24"/>
      <c r="L33" s="104">
        <f t="shared" ref="L33:M33" si="2">sum(L10:L32)</f>
        <v>1322</v>
      </c>
      <c r="M33" s="104">
        <f t="shared" si="2"/>
        <v>7032</v>
      </c>
      <c r="N33" s="104"/>
      <c r="O33" s="105"/>
      <c r="P33" s="85" t="s">
        <v>38</v>
      </c>
      <c r="Q33" s="51"/>
      <c r="R33" s="100"/>
      <c r="S33" s="52">
        <v>14269.0</v>
      </c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235.0</v>
      </c>
      <c r="G34" s="93">
        <v>235.0</v>
      </c>
      <c r="H34" s="92"/>
      <c r="I34" s="92"/>
      <c r="J34" s="137">
        <v>9752.0</v>
      </c>
      <c r="K34" s="24"/>
      <c r="L34" s="106"/>
      <c r="M34" s="106"/>
      <c r="N34" s="106"/>
      <c r="O34" s="106"/>
      <c r="P34" s="85" t="s">
        <v>40</v>
      </c>
      <c r="Q34" s="107"/>
      <c r="R34" s="144">
        <v>3500.0</v>
      </c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571.0</v>
      </c>
      <c r="G35" s="92"/>
      <c r="H35" s="145">
        <v>571.0</v>
      </c>
      <c r="I35" s="92"/>
      <c r="J35" s="146" t="s">
        <v>151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49.0</v>
      </c>
      <c r="G36" s="92"/>
      <c r="H36" s="143">
        <v>49.0</v>
      </c>
      <c r="I36" s="92"/>
      <c r="J36" s="137">
        <v>9754.0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1486.0</v>
      </c>
      <c r="G37" s="93"/>
      <c r="H37" s="143">
        <v>1486.0</v>
      </c>
      <c r="I37" s="92"/>
      <c r="J37" s="137">
        <v>9755.0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267.0</v>
      </c>
      <c r="G38" s="93"/>
      <c r="H38" s="143">
        <v>267.0</v>
      </c>
      <c r="I38" s="92"/>
      <c r="J38" s="137">
        <v>9756.0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18.0</v>
      </c>
      <c r="G39" s="93">
        <v>18.0</v>
      </c>
      <c r="H39" s="93"/>
      <c r="I39" s="92"/>
      <c r="J39" s="137">
        <v>9757.0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426.0</v>
      </c>
      <c r="G40" s="92"/>
      <c r="H40" s="143">
        <v>361.0</v>
      </c>
      <c r="I40" s="142">
        <v>65.0</v>
      </c>
      <c r="J40" s="161" t="s">
        <v>152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870.0</v>
      </c>
      <c r="G41" s="93">
        <v>870.0</v>
      </c>
      <c r="H41" s="93"/>
      <c r="I41" s="92"/>
      <c r="J41" s="137">
        <v>9759.0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402.0</v>
      </c>
      <c r="G42" s="93">
        <v>402.0</v>
      </c>
      <c r="H42" s="93"/>
      <c r="I42" s="92"/>
      <c r="J42" s="137">
        <v>9760.0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132.0</v>
      </c>
      <c r="G43" s="93">
        <v>132.0</v>
      </c>
      <c r="H43" s="92"/>
      <c r="I43" s="92"/>
      <c r="J43" s="137">
        <v>9761.0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45.0</v>
      </c>
      <c r="G44" s="92"/>
      <c r="H44" s="143">
        <v>45.0</v>
      </c>
      <c r="I44" s="92"/>
      <c r="J44" s="137">
        <v>9762.0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534.0</v>
      </c>
      <c r="G45" s="93"/>
      <c r="H45" s="143">
        <v>534.0</v>
      </c>
      <c r="I45" s="92"/>
      <c r="J45" s="137">
        <v>9763.0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50.0</v>
      </c>
      <c r="G46" s="93">
        <v>50.0</v>
      </c>
      <c r="H46" s="92"/>
      <c r="I46" s="92"/>
      <c r="J46" s="137">
        <v>9764.0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189.0</v>
      </c>
      <c r="G47" s="93">
        <v>189.0</v>
      </c>
      <c r="H47" s="93"/>
      <c r="I47" s="92"/>
      <c r="J47" s="137">
        <v>9765.0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333.0</v>
      </c>
      <c r="G48" s="92"/>
      <c r="H48" s="143">
        <v>333.0</v>
      </c>
      <c r="I48" s="92"/>
      <c r="J48" s="137">
        <v>9766.0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805.0</v>
      </c>
      <c r="G49" s="92"/>
      <c r="H49" s="143">
        <v>805.0</v>
      </c>
      <c r="I49" s="92"/>
      <c r="J49" s="137">
        <v>9767.0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466.0</v>
      </c>
      <c r="G50" s="93">
        <v>466.0</v>
      </c>
      <c r="H50" s="93"/>
      <c r="I50" s="92"/>
      <c r="J50" s="137">
        <v>9768.0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71.0</v>
      </c>
      <c r="G51" s="93">
        <v>71.0</v>
      </c>
      <c r="H51" s="92"/>
      <c r="I51" s="92"/>
      <c r="J51" s="137">
        <v>9769.0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83.0</v>
      </c>
      <c r="G52" s="93">
        <v>83.0</v>
      </c>
      <c r="H52" s="92"/>
      <c r="I52" s="92"/>
      <c r="J52" s="137">
        <v>9770.0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523.0</v>
      </c>
      <c r="G53" s="93">
        <v>523.0</v>
      </c>
      <c r="H53" s="92"/>
      <c r="I53" s="92"/>
      <c r="J53" s="137">
        <v>9771.0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1144.0</v>
      </c>
      <c r="G54" s="92"/>
      <c r="H54" s="143">
        <v>1144.0</v>
      </c>
      <c r="I54" s="92"/>
      <c r="J54" s="137">
        <v>9772.0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227.0</v>
      </c>
      <c r="G55" s="93">
        <v>227.0</v>
      </c>
      <c r="H55" s="92"/>
      <c r="I55" s="92"/>
      <c r="J55" s="137">
        <v>9773.0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427.0</v>
      </c>
      <c r="G56" s="93">
        <v>427.0</v>
      </c>
      <c r="H56" s="92"/>
      <c r="I56" s="92"/>
      <c r="J56" s="137">
        <v>9774.0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268.0</v>
      </c>
      <c r="G57" s="93">
        <v>268.0</v>
      </c>
      <c r="H57" s="92"/>
      <c r="I57" s="92"/>
      <c r="J57" s="137">
        <v>9775.0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218.0</v>
      </c>
      <c r="G58" s="93">
        <v>218.0</v>
      </c>
      <c r="H58" s="92"/>
      <c r="I58" s="92"/>
      <c r="J58" s="137">
        <v>9776.0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270.0</v>
      </c>
      <c r="G59" s="93">
        <v>270.0</v>
      </c>
      <c r="H59" s="92"/>
      <c r="I59" s="92"/>
      <c r="J59" s="137">
        <v>9777.0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338.0</v>
      </c>
      <c r="G60" s="93">
        <v>338.0</v>
      </c>
      <c r="H60" s="92"/>
      <c r="I60" s="92"/>
      <c r="J60" s="137">
        <v>9778.0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40.0</v>
      </c>
      <c r="G61" s="93">
        <v>40.0</v>
      </c>
      <c r="H61" s="92"/>
      <c r="I61" s="92"/>
      <c r="J61" s="137">
        <v>9779.0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372.0</v>
      </c>
      <c r="G62" s="93">
        <v>372.0</v>
      </c>
      <c r="H62" s="92"/>
      <c r="I62" s="92"/>
      <c r="J62" s="137">
        <v>9780.0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196.0</v>
      </c>
      <c r="G63" s="93">
        <v>196.0</v>
      </c>
      <c r="H63" s="92"/>
      <c r="I63" s="92"/>
      <c r="J63" s="137">
        <v>9781.0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928.0</v>
      </c>
      <c r="G64" s="93">
        <v>900.0</v>
      </c>
      <c r="H64" s="143">
        <v>28.0</v>
      </c>
      <c r="I64" s="92"/>
      <c r="J64" s="137">
        <v>9782.0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1014.0</v>
      </c>
      <c r="G65" s="93">
        <v>1014.0</v>
      </c>
      <c r="H65" s="92"/>
      <c r="I65" s="92"/>
      <c r="J65" s="137">
        <v>9783.0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1962.0</v>
      </c>
      <c r="G66" s="92"/>
      <c r="H66" s="92"/>
      <c r="I66" s="142">
        <v>1962.0</v>
      </c>
      <c r="J66" s="161" t="s">
        <v>153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75.0</v>
      </c>
      <c r="G67" s="93">
        <v>75.0</v>
      </c>
      <c r="H67" s="92"/>
      <c r="I67" s="92"/>
      <c r="J67" s="137">
        <v>9785.0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352.0</v>
      </c>
      <c r="G68" s="92"/>
      <c r="H68" s="92"/>
      <c r="I68" s="142">
        <v>352.0</v>
      </c>
      <c r="J68" s="161" t="s">
        <v>154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294.0</v>
      </c>
      <c r="G69" s="93">
        <v>294.0</v>
      </c>
      <c r="H69" s="92"/>
      <c r="I69" s="92"/>
      <c r="J69" s="137">
        <v>9787.0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124.0</v>
      </c>
      <c r="G70" s="92"/>
      <c r="H70" s="143">
        <v>124.0</v>
      </c>
      <c r="I70" s="92"/>
      <c r="J70" s="137">
        <v>9788.0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56">
        <v>4630.0</v>
      </c>
      <c r="G71" s="93">
        <v>4600.0</v>
      </c>
      <c r="H71" s="143">
        <v>30.0</v>
      </c>
      <c r="I71" s="92"/>
      <c r="J71" s="137">
        <v>9789.0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56">
        <v>1252.0</v>
      </c>
      <c r="G72" s="92"/>
      <c r="H72" s="143">
        <v>1252.0</v>
      </c>
      <c r="I72" s="92"/>
      <c r="J72" s="137">
        <v>9790.0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56">
        <v>1969.0</v>
      </c>
      <c r="G73" s="93">
        <v>69.0</v>
      </c>
      <c r="H73" s="143">
        <v>1900.0</v>
      </c>
      <c r="I73" s="92"/>
      <c r="J73" s="137">
        <v>9791.0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56">
        <v>34.0</v>
      </c>
      <c r="G74" s="93">
        <v>34.0</v>
      </c>
      <c r="H74" s="92"/>
      <c r="I74" s="92"/>
      <c r="J74" s="137">
        <v>9792.0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56">
        <v>314.0</v>
      </c>
      <c r="G75" s="93">
        <v>300.0</v>
      </c>
      <c r="H75" s="143">
        <v>14.0</v>
      </c>
      <c r="I75" s="92"/>
      <c r="J75" s="137">
        <v>9793.0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56">
        <v>1233.0</v>
      </c>
      <c r="G76" s="92"/>
      <c r="H76" s="143">
        <v>1233.0</v>
      </c>
      <c r="I76" s="92"/>
      <c r="J76" s="137">
        <v>9794.0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56">
        <v>46.0</v>
      </c>
      <c r="G77" s="92"/>
      <c r="H77" s="143">
        <v>46.0</v>
      </c>
      <c r="I77" s="92"/>
      <c r="J77" s="137">
        <v>9795.0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56">
        <v>617.0</v>
      </c>
      <c r="G78" s="93"/>
      <c r="H78" s="143">
        <v>617.0</v>
      </c>
      <c r="I78" s="92"/>
      <c r="J78" s="137">
        <v>9796.0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56">
        <v>1470.0</v>
      </c>
      <c r="G79" s="92"/>
      <c r="H79" s="143">
        <v>1470.0</v>
      </c>
      <c r="I79" s="92"/>
      <c r="J79" s="137">
        <v>9797.0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56">
        <v>124.0</v>
      </c>
      <c r="G80" s="93">
        <v>124.0</v>
      </c>
      <c r="H80" s="93"/>
      <c r="I80" s="92"/>
      <c r="J80" s="137">
        <v>9798.0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56">
        <v>740.0</v>
      </c>
      <c r="G81" s="93">
        <v>740.0</v>
      </c>
      <c r="H81" s="92"/>
      <c r="I81" s="92"/>
      <c r="J81" s="137">
        <v>9799.0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49">
        <v>491.0</v>
      </c>
      <c r="G82" s="61"/>
      <c r="H82" s="61"/>
      <c r="I82" s="54">
        <v>491.0</v>
      </c>
      <c r="J82" s="137">
        <v>9800.0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49">
        <v>335.0</v>
      </c>
      <c r="G83" s="54">
        <v>335.0</v>
      </c>
      <c r="H83" s="61"/>
      <c r="I83" s="61"/>
      <c r="J83" s="137">
        <v>9801.0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49">
        <v>517.0</v>
      </c>
      <c r="G84" s="61"/>
      <c r="H84" s="54">
        <v>517.0</v>
      </c>
      <c r="I84" s="61"/>
      <c r="J84" s="137">
        <v>9802.0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49">
        <v>50.0</v>
      </c>
      <c r="G85" s="54">
        <v>50.0</v>
      </c>
      <c r="H85" s="61"/>
      <c r="I85" s="61"/>
      <c r="J85" s="137">
        <v>9803.0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49">
        <v>152.0</v>
      </c>
      <c r="G86" s="61"/>
      <c r="H86" s="54">
        <v>152.0</v>
      </c>
      <c r="I86" s="61"/>
      <c r="J86" s="137">
        <v>9804.0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49">
        <v>693.0</v>
      </c>
      <c r="G87" s="61"/>
      <c r="H87" s="54">
        <v>693.0</v>
      </c>
      <c r="I87" s="61"/>
      <c r="J87" s="137">
        <v>9805.0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49">
        <v>247.0</v>
      </c>
      <c r="G88" s="54">
        <v>247.0</v>
      </c>
      <c r="H88" s="54"/>
      <c r="I88" s="61"/>
      <c r="J88" s="137">
        <v>9806.0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49">
        <v>400.0</v>
      </c>
      <c r="G89" s="61"/>
      <c r="H89" s="61"/>
      <c r="I89" s="54">
        <v>400.0</v>
      </c>
      <c r="J89" s="161" t="s">
        <v>155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49">
        <v>400.0</v>
      </c>
      <c r="G90" s="61"/>
      <c r="H90" s="61"/>
      <c r="I90" s="54">
        <v>400.0</v>
      </c>
      <c r="J90" s="161" t="s">
        <v>155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49">
        <v>416.0</v>
      </c>
      <c r="G91" s="61"/>
      <c r="H91" s="54">
        <v>416.0</v>
      </c>
      <c r="I91" s="54" t="s">
        <v>82</v>
      </c>
      <c r="J91" s="146" t="s">
        <v>156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49">
        <v>217.0</v>
      </c>
      <c r="G92" s="61"/>
      <c r="H92" s="61"/>
      <c r="I92" s="54">
        <v>217.0</v>
      </c>
      <c r="J92" s="161" t="s">
        <v>157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49">
        <v>276.0</v>
      </c>
      <c r="G93" s="61"/>
      <c r="H93" s="61"/>
      <c r="I93" s="54">
        <v>276.0</v>
      </c>
      <c r="J93" s="137" t="s">
        <v>158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49"/>
      <c r="G94" s="61"/>
      <c r="H94" s="61"/>
      <c r="I94" s="61"/>
      <c r="J94" s="137">
        <v>9812.0</v>
      </c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137">
        <v>9813.0</v>
      </c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137">
        <v>9814.0</v>
      </c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43824</v>
      </c>
      <c r="G97" s="123">
        <f t="shared" si="4"/>
        <v>22715</v>
      </c>
      <c r="H97" s="123">
        <f t="shared" si="4"/>
        <v>16692</v>
      </c>
      <c r="I97" s="123">
        <f t="shared" si="4"/>
        <v>4417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32">
        <v>45977.0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66348.0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23724.0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45249.0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32760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12435</v>
      </c>
      <c r="D10" s="24"/>
      <c r="E10" s="43">
        <v>1.0</v>
      </c>
      <c r="F10" s="44">
        <v>1185.0</v>
      </c>
      <c r="G10" s="45">
        <v>1185.0</v>
      </c>
      <c r="H10" s="45"/>
      <c r="I10" s="45"/>
      <c r="J10" s="137">
        <v>9812.0</v>
      </c>
      <c r="K10" s="24"/>
      <c r="L10" s="47">
        <v>400.0</v>
      </c>
      <c r="M10" s="47"/>
      <c r="N10" s="48">
        <v>9807.0</v>
      </c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14328</v>
      </c>
      <c r="D11" s="24"/>
      <c r="E11" s="43">
        <v>2.0</v>
      </c>
      <c r="F11" s="56">
        <v>128.0</v>
      </c>
      <c r="G11" s="57">
        <v>128.0</v>
      </c>
      <c r="H11" s="58"/>
      <c r="I11" s="59"/>
      <c r="J11" s="137">
        <v>9813.0</v>
      </c>
      <c r="K11" s="24"/>
      <c r="L11" s="47">
        <v>400.0</v>
      </c>
      <c r="M11" s="48"/>
      <c r="N11" s="48">
        <v>9807.0</v>
      </c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5997</v>
      </c>
      <c r="D12" s="24"/>
      <c r="E12" s="43">
        <v>3.0</v>
      </c>
      <c r="F12" s="63">
        <v>863.0</v>
      </c>
      <c r="G12" s="64"/>
      <c r="H12" s="64"/>
      <c r="I12" s="64">
        <v>863.0</v>
      </c>
      <c r="J12" s="137" t="s">
        <v>159</v>
      </c>
      <c r="K12" s="24"/>
      <c r="L12" s="47">
        <v>276.0</v>
      </c>
      <c r="M12" s="48"/>
      <c r="N12" s="48">
        <v>9811.0</v>
      </c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1076</v>
      </c>
      <c r="D13" s="24"/>
      <c r="E13" s="43">
        <v>4.0</v>
      </c>
      <c r="F13" s="56">
        <v>180.0</v>
      </c>
      <c r="G13" s="64">
        <v>180.0</v>
      </c>
      <c r="H13" s="65"/>
      <c r="I13" s="65"/>
      <c r="J13" s="137">
        <v>9815.0</v>
      </c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>
        <v>619.0</v>
      </c>
      <c r="G14" s="64"/>
      <c r="H14" s="139">
        <v>619.0</v>
      </c>
      <c r="I14" s="65"/>
      <c r="J14" s="137">
        <v>9816.0</v>
      </c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>
        <v>399.0</v>
      </c>
      <c r="G15" s="64"/>
      <c r="H15" s="64"/>
      <c r="I15" s="64">
        <v>399.0</v>
      </c>
      <c r="J15" s="137" t="s">
        <v>160</v>
      </c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>
        <v>399.0</v>
      </c>
      <c r="G16" s="64"/>
      <c r="H16" s="139">
        <v>399.0</v>
      </c>
      <c r="I16" s="65"/>
      <c r="J16" s="137">
        <v>9818.0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>
        <v>64.0</v>
      </c>
      <c r="G17" s="65"/>
      <c r="H17" s="139">
        <v>64.0</v>
      </c>
      <c r="I17" s="65"/>
      <c r="J17" s="137">
        <v>9819.0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139.0</v>
      </c>
      <c r="G18" s="64">
        <v>139.0</v>
      </c>
      <c r="H18" s="64"/>
      <c r="I18" s="65"/>
      <c r="J18" s="137">
        <v>9820.0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39.0</v>
      </c>
      <c r="G19" s="64">
        <v>39.0</v>
      </c>
      <c r="H19" s="64"/>
      <c r="I19" s="65"/>
      <c r="J19" s="137">
        <v>9821.0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50170</v>
      </c>
      <c r="D20" s="24"/>
      <c r="E20" s="43">
        <v>11.0</v>
      </c>
      <c r="F20" s="56">
        <v>186.0</v>
      </c>
      <c r="G20" s="64"/>
      <c r="H20" s="139">
        <v>186.0</v>
      </c>
      <c r="I20" s="65"/>
      <c r="J20" s="137">
        <v>9822.0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14328</v>
      </c>
      <c r="D21" s="24"/>
      <c r="E21" s="43">
        <v>12.0</v>
      </c>
      <c r="F21" s="56">
        <v>399.0</v>
      </c>
      <c r="G21" s="64"/>
      <c r="H21" s="64"/>
      <c r="I21" s="64">
        <v>399.0</v>
      </c>
      <c r="J21" s="137" t="s">
        <v>161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79859</v>
      </c>
      <c r="D22" s="24"/>
      <c r="E22" s="43">
        <v>13.0</v>
      </c>
      <c r="F22" s="56">
        <v>284.0</v>
      </c>
      <c r="G22" s="64"/>
      <c r="H22" s="139">
        <v>284.0</v>
      </c>
      <c r="I22" s="64"/>
      <c r="J22" s="137">
        <v>9824.0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41">
        <v>83386.0</v>
      </c>
      <c r="D23" s="24"/>
      <c r="E23" s="43">
        <v>14.0</v>
      </c>
      <c r="F23" s="56">
        <v>269.0</v>
      </c>
      <c r="G23" s="64">
        <v>100.0</v>
      </c>
      <c r="H23" s="139">
        <v>169.0</v>
      </c>
      <c r="I23" s="65"/>
      <c r="J23" s="137">
        <v>9825.0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-3527</v>
      </c>
      <c r="D24" s="24"/>
      <c r="E24" s="43">
        <v>15.0</v>
      </c>
      <c r="F24" s="56">
        <v>399.0</v>
      </c>
      <c r="G24" s="64"/>
      <c r="H24" s="65"/>
      <c r="I24" s="64">
        <v>399.0</v>
      </c>
      <c r="J24" s="137" t="s">
        <v>162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399.0</v>
      </c>
      <c r="G25" s="64"/>
      <c r="H25" s="65"/>
      <c r="I25" s="64">
        <v>399.0</v>
      </c>
      <c r="J25" s="137" t="s">
        <v>163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32760</v>
      </c>
      <c r="D26" s="24"/>
      <c r="E26" s="43">
        <v>17.0</v>
      </c>
      <c r="F26" s="56">
        <v>399.0</v>
      </c>
      <c r="G26" s="64"/>
      <c r="H26" s="65"/>
      <c r="I26" s="64">
        <v>399.0</v>
      </c>
      <c r="J26" s="137" t="s">
        <v>164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83.0</v>
      </c>
      <c r="D27" s="24"/>
      <c r="E27" s="43">
        <v>18.0</v>
      </c>
      <c r="F27" s="56">
        <v>399.0</v>
      </c>
      <c r="G27" s="64"/>
      <c r="H27" s="65"/>
      <c r="I27" s="64">
        <v>399.0</v>
      </c>
      <c r="J27" s="137" t="s">
        <v>165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394.6987952</v>
      </c>
      <c r="D28" s="24"/>
      <c r="E28" s="43">
        <v>19.0</v>
      </c>
      <c r="F28" s="56">
        <v>399.0</v>
      </c>
      <c r="G28" s="64"/>
      <c r="H28" s="65"/>
      <c r="I28" s="64">
        <v>399.0</v>
      </c>
      <c r="J28" s="137" t="s">
        <v>166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4.0</v>
      </c>
      <c r="G29" s="64">
        <v>4.0</v>
      </c>
      <c r="H29" s="65"/>
      <c r="I29" s="65"/>
      <c r="J29" s="137">
        <v>9831.0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399.0</v>
      </c>
      <c r="G30" s="92"/>
      <c r="H30" s="92"/>
      <c r="I30" s="93">
        <v>399.0</v>
      </c>
      <c r="J30" s="137" t="s">
        <v>167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>
        <f>S33</f>
        <v>23724</v>
      </c>
      <c r="D31" s="24"/>
      <c r="E31" s="43">
        <v>22.0</v>
      </c>
      <c r="F31" s="56">
        <v>236.0</v>
      </c>
      <c r="G31" s="93">
        <v>236.0</v>
      </c>
      <c r="H31" s="92"/>
      <c r="I31" s="93"/>
      <c r="J31" s="137">
        <v>9833.0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>
        <v>1052.0</v>
      </c>
      <c r="G32" s="93">
        <v>1000.0</v>
      </c>
      <c r="H32" s="143">
        <v>52.0</v>
      </c>
      <c r="I32" s="92"/>
      <c r="J32" s="137">
        <v>9834.0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45.0</v>
      </c>
      <c r="G33" s="93">
        <v>45.0</v>
      </c>
      <c r="H33" s="92"/>
      <c r="I33" s="92"/>
      <c r="J33" s="137">
        <v>9835.0</v>
      </c>
      <c r="K33" s="24"/>
      <c r="L33" s="104">
        <f t="shared" ref="L33:M33" si="2">sum(L10:L32)</f>
        <v>1076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>
        <v>23724.0</v>
      </c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117.0</v>
      </c>
      <c r="G34" s="93"/>
      <c r="H34" s="143">
        <v>117.0</v>
      </c>
      <c r="I34" s="92"/>
      <c r="J34" s="137">
        <v>9836.0</v>
      </c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664.0</v>
      </c>
      <c r="G35" s="92"/>
      <c r="H35" s="143">
        <v>664.0</v>
      </c>
      <c r="I35" s="92"/>
      <c r="J35" s="137">
        <v>9837.0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1957.0</v>
      </c>
      <c r="G36" s="93">
        <v>1957.0</v>
      </c>
      <c r="H36" s="93"/>
      <c r="I36" s="92"/>
      <c r="J36" s="137">
        <v>9838.0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758.0</v>
      </c>
      <c r="G37" s="93"/>
      <c r="H37" s="143">
        <v>758.0</v>
      </c>
      <c r="I37" s="92"/>
      <c r="J37" s="137">
        <v>9839.0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44.0</v>
      </c>
      <c r="G38" s="93">
        <v>44.0</v>
      </c>
      <c r="H38" s="92"/>
      <c r="I38" s="92"/>
      <c r="J38" s="137">
        <v>9840.0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101.0</v>
      </c>
      <c r="G39" s="93">
        <v>101.0</v>
      </c>
      <c r="H39" s="93"/>
      <c r="I39" s="92"/>
      <c r="J39" s="137">
        <v>9841.0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70.0</v>
      </c>
      <c r="G40" s="93">
        <v>70.0</v>
      </c>
      <c r="H40" s="93"/>
      <c r="I40" s="92"/>
      <c r="J40" s="137">
        <v>9842.0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377.0</v>
      </c>
      <c r="G41" s="92"/>
      <c r="H41" s="143">
        <v>377.0</v>
      </c>
      <c r="I41" s="92"/>
      <c r="J41" s="137">
        <v>9843.0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399.0</v>
      </c>
      <c r="G42" s="93">
        <v>399.0</v>
      </c>
      <c r="H42" s="93"/>
      <c r="I42" s="92"/>
      <c r="J42" s="137">
        <v>9844.0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399.0</v>
      </c>
      <c r="G43" s="93">
        <v>399.0</v>
      </c>
      <c r="H43" s="92"/>
      <c r="I43" s="92"/>
      <c r="J43" s="137">
        <v>9845.0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11.0</v>
      </c>
      <c r="G44" s="93">
        <v>11.0</v>
      </c>
      <c r="H44" s="93"/>
      <c r="I44" s="92"/>
      <c r="J44" s="137">
        <v>9846.0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217.0</v>
      </c>
      <c r="G45" s="93">
        <v>217.0</v>
      </c>
      <c r="H45" s="92"/>
      <c r="I45" s="92"/>
      <c r="J45" s="137">
        <v>9847.0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261.0</v>
      </c>
      <c r="G46" s="93">
        <v>261.0</v>
      </c>
      <c r="H46" s="92"/>
      <c r="I46" s="92"/>
      <c r="J46" s="137">
        <v>9848.0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1594.0</v>
      </c>
      <c r="G47" s="93">
        <v>580.0</v>
      </c>
      <c r="H47" s="143">
        <v>1014.0</v>
      </c>
      <c r="I47" s="92"/>
      <c r="J47" s="137">
        <v>9849.0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413.0</v>
      </c>
      <c r="G48" s="93">
        <v>413.0</v>
      </c>
      <c r="H48" s="92"/>
      <c r="I48" s="92"/>
      <c r="J48" s="137">
        <v>9850.0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1968.0</v>
      </c>
      <c r="G49" s="92"/>
      <c r="H49" s="143">
        <v>1968.0</v>
      </c>
      <c r="I49" s="92"/>
      <c r="J49" s="137">
        <v>9851.0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1179.0</v>
      </c>
      <c r="G50" s="92"/>
      <c r="H50" s="143">
        <v>1179.0</v>
      </c>
      <c r="I50" s="92"/>
      <c r="J50" s="137">
        <v>9852.0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1505.0</v>
      </c>
      <c r="G51" s="92"/>
      <c r="H51" s="145">
        <v>1505.0</v>
      </c>
      <c r="I51" s="92"/>
      <c r="J51" s="146" t="s">
        <v>168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219.0</v>
      </c>
      <c r="G52" s="92"/>
      <c r="H52" s="143">
        <v>219.0</v>
      </c>
      <c r="I52" s="92"/>
      <c r="J52" s="137">
        <v>9854.0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315.0</v>
      </c>
      <c r="G53" s="92"/>
      <c r="H53" s="143">
        <v>315.0</v>
      </c>
      <c r="I53" s="92"/>
      <c r="J53" s="137">
        <v>9855.0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440.0</v>
      </c>
      <c r="G54" s="92"/>
      <c r="H54" s="143">
        <v>440.0</v>
      </c>
      <c r="I54" s="92"/>
      <c r="J54" s="137">
        <v>9856.0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565.0</v>
      </c>
      <c r="G55" s="93">
        <v>565.0</v>
      </c>
      <c r="H55" s="92"/>
      <c r="I55" s="92"/>
      <c r="J55" s="137">
        <v>9857.0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114.0</v>
      </c>
      <c r="G56" s="92"/>
      <c r="H56" s="143">
        <v>114.0</v>
      </c>
      <c r="I56" s="92"/>
      <c r="J56" s="137">
        <v>9858.0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125.0</v>
      </c>
      <c r="G57" s="92"/>
      <c r="H57" s="145">
        <v>125.0</v>
      </c>
      <c r="I57" s="92"/>
      <c r="J57" s="146" t="s">
        <v>169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237.0</v>
      </c>
      <c r="G58" s="93">
        <v>237.0</v>
      </c>
      <c r="H58" s="92"/>
      <c r="I58" s="92"/>
      <c r="J58" s="137">
        <v>9860.0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40.0</v>
      </c>
      <c r="G59" s="92"/>
      <c r="H59" s="143">
        <v>40.0</v>
      </c>
      <c r="I59" s="92"/>
      <c r="J59" s="137">
        <v>9861.0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260.0</v>
      </c>
      <c r="G60" s="93">
        <v>260.0</v>
      </c>
      <c r="H60" s="92"/>
      <c r="I60" s="92"/>
      <c r="J60" s="137">
        <v>9862.0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508.0</v>
      </c>
      <c r="G61" s="92"/>
      <c r="H61" s="145">
        <v>508.0</v>
      </c>
      <c r="I61" s="92"/>
      <c r="J61" s="146" t="s">
        <v>170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1232.0</v>
      </c>
      <c r="G62" s="92"/>
      <c r="H62" s="143">
        <v>1232.0</v>
      </c>
      <c r="I62" s="92"/>
      <c r="J62" s="137">
        <v>9864.0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728.0</v>
      </c>
      <c r="G63" s="93">
        <v>630.0</v>
      </c>
      <c r="H63" s="143">
        <v>98.0</v>
      </c>
      <c r="I63" s="92"/>
      <c r="J63" s="137">
        <v>9865.0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46.0</v>
      </c>
      <c r="G64" s="93">
        <v>46.0</v>
      </c>
      <c r="H64" s="92"/>
      <c r="I64" s="92"/>
      <c r="J64" s="137">
        <v>9866.0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69.0</v>
      </c>
      <c r="G65" s="93">
        <v>69.0</v>
      </c>
      <c r="H65" s="92"/>
      <c r="I65" s="92"/>
      <c r="J65" s="137">
        <v>9867.0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177.0</v>
      </c>
      <c r="G66" s="92"/>
      <c r="H66" s="143">
        <v>177.0</v>
      </c>
      <c r="I66" s="92"/>
      <c r="J66" s="137">
        <v>9868.0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26.0</v>
      </c>
      <c r="G67" s="92"/>
      <c r="H67" s="143">
        <v>26.0</v>
      </c>
      <c r="I67" s="92"/>
      <c r="J67" s="137">
        <v>9869.0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445.0</v>
      </c>
      <c r="G68" s="93">
        <v>445.0</v>
      </c>
      <c r="H68" s="93"/>
      <c r="I68" s="92"/>
      <c r="J68" s="137">
        <v>9870.0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554.0</v>
      </c>
      <c r="G69" s="93">
        <v>554.0</v>
      </c>
      <c r="H69" s="92"/>
      <c r="I69" s="92"/>
      <c r="J69" s="137">
        <v>9871.0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136.0</v>
      </c>
      <c r="G70" s="93">
        <v>136.0</v>
      </c>
      <c r="H70" s="92"/>
      <c r="I70" s="92"/>
      <c r="J70" s="137">
        <v>9872.0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56">
        <v>271.0</v>
      </c>
      <c r="G71" s="93">
        <v>271.0</v>
      </c>
      <c r="H71" s="92"/>
      <c r="I71" s="92"/>
      <c r="J71" s="137">
        <v>9873.0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56">
        <v>231.0</v>
      </c>
      <c r="G72" s="92"/>
      <c r="H72" s="143">
        <v>231.0</v>
      </c>
      <c r="I72" s="92"/>
      <c r="J72" s="137">
        <v>9874.0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56">
        <v>49.0</v>
      </c>
      <c r="G73" s="93">
        <v>49.0</v>
      </c>
      <c r="H73" s="92"/>
      <c r="I73" s="92"/>
      <c r="J73" s="137">
        <v>9875.0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56">
        <v>196.0</v>
      </c>
      <c r="G74" s="93">
        <v>196.0</v>
      </c>
      <c r="H74" s="92"/>
      <c r="I74" s="92"/>
      <c r="J74" s="137">
        <v>9876.0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56">
        <v>184.0</v>
      </c>
      <c r="G75" s="92"/>
      <c r="H75" s="143">
        <v>184.0</v>
      </c>
      <c r="I75" s="92"/>
      <c r="J75" s="137">
        <v>9877.0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56">
        <v>140.0</v>
      </c>
      <c r="G76" s="93">
        <v>140.0</v>
      </c>
      <c r="H76" s="92"/>
      <c r="I76" s="92"/>
      <c r="J76" s="137">
        <v>9878.0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56">
        <v>71.0</v>
      </c>
      <c r="G77" s="92"/>
      <c r="H77" s="143">
        <v>71.0</v>
      </c>
      <c r="I77" s="92"/>
      <c r="J77" s="137">
        <v>9879.0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56">
        <v>246.0</v>
      </c>
      <c r="G78" s="92"/>
      <c r="H78" s="143">
        <v>246.0</v>
      </c>
      <c r="I78" s="92"/>
      <c r="J78" s="137">
        <v>9880.0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56">
        <v>449.0</v>
      </c>
      <c r="G79" s="93">
        <v>449.0</v>
      </c>
      <c r="H79" s="92"/>
      <c r="I79" s="92"/>
      <c r="J79" s="137">
        <v>9881.0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56">
        <v>614.0</v>
      </c>
      <c r="G80" s="93">
        <v>614.0</v>
      </c>
      <c r="H80" s="92"/>
      <c r="I80" s="92"/>
      <c r="J80" s="137">
        <v>9882.0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56">
        <v>214.0</v>
      </c>
      <c r="G81" s="92"/>
      <c r="H81" s="143">
        <v>214.0</v>
      </c>
      <c r="I81" s="92"/>
      <c r="J81" s="137">
        <v>9883.0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49">
        <v>404.0</v>
      </c>
      <c r="G82" s="61"/>
      <c r="H82" s="61"/>
      <c r="I82" s="54">
        <v>404.0</v>
      </c>
      <c r="J82" s="137" t="s">
        <v>171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49">
        <v>122.0</v>
      </c>
      <c r="G83" s="54">
        <v>122.0</v>
      </c>
      <c r="H83" s="61"/>
      <c r="I83" s="61"/>
      <c r="J83" s="137">
        <v>9885.0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49">
        <v>399.0</v>
      </c>
      <c r="G84" s="61"/>
      <c r="H84" s="61"/>
      <c r="I84" s="54">
        <v>399.0</v>
      </c>
      <c r="J84" s="137" t="s">
        <v>172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49">
        <v>475.0</v>
      </c>
      <c r="G85" s="61"/>
      <c r="H85" s="61"/>
      <c r="I85" s="54">
        <v>475.0</v>
      </c>
      <c r="J85" s="137" t="s">
        <v>173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49">
        <v>144.0</v>
      </c>
      <c r="G86" s="54">
        <v>144.0</v>
      </c>
      <c r="H86" s="61"/>
      <c r="I86" s="61"/>
      <c r="J86" s="137">
        <v>9888.0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49">
        <v>206.0</v>
      </c>
      <c r="G87" s="61"/>
      <c r="H87" s="143">
        <v>206.0</v>
      </c>
      <c r="I87" s="61"/>
      <c r="J87" s="137">
        <v>9889.0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49">
        <v>255.0</v>
      </c>
      <c r="G88" s="61"/>
      <c r="H88" s="143">
        <v>255.0</v>
      </c>
      <c r="I88" s="61"/>
      <c r="J88" s="137">
        <v>9890.0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49">
        <v>154.0</v>
      </c>
      <c r="G89" s="61"/>
      <c r="H89" s="143">
        <v>154.0</v>
      </c>
      <c r="I89" s="61"/>
      <c r="J89" s="137">
        <v>9891.0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49">
        <v>25.0</v>
      </c>
      <c r="G90" s="61"/>
      <c r="H90" s="143">
        <v>25.0</v>
      </c>
      <c r="I90" s="61"/>
      <c r="J90" s="137">
        <v>9892.0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49">
        <v>93.0</v>
      </c>
      <c r="G91" s="61"/>
      <c r="H91" s="54">
        <v>93.0</v>
      </c>
      <c r="I91" s="61"/>
      <c r="J91" s="137">
        <v>9893.0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49">
        <v>664.0</v>
      </c>
      <c r="G92" s="61"/>
      <c r="H92" s="61"/>
      <c r="I92" s="54">
        <v>664.0</v>
      </c>
      <c r="J92" s="137" t="s">
        <v>174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137">
        <v>9895.0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32760</v>
      </c>
      <c r="G97" s="123">
        <f t="shared" si="4"/>
        <v>12435</v>
      </c>
      <c r="H97" s="123">
        <f t="shared" si="4"/>
        <v>14328</v>
      </c>
      <c r="I97" s="123">
        <f t="shared" si="4"/>
        <v>5997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32">
        <v>45978.0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79859.0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14328.0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50170.0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F121-C15</f>
        <v>46456.21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G121-W33</f>
        <v>22477.21</v>
      </c>
      <c r="D10" s="24"/>
      <c r="E10" s="43">
        <v>1.0</v>
      </c>
      <c r="F10" s="44">
        <v>131.0</v>
      </c>
      <c r="G10" s="45"/>
      <c r="H10" s="133">
        <v>131.0</v>
      </c>
      <c r="I10" s="45"/>
      <c r="J10" s="137">
        <v>9895.0</v>
      </c>
      <c r="K10" s="24"/>
      <c r="L10" s="47"/>
      <c r="M10" s="171">
        <v>399.0</v>
      </c>
      <c r="N10" s="171">
        <v>9832.0</v>
      </c>
      <c r="O10" s="49"/>
      <c r="P10" s="85" t="s">
        <v>135</v>
      </c>
      <c r="Q10" s="51"/>
      <c r="R10" s="52">
        <v>50.0</v>
      </c>
      <c r="S10" s="53"/>
      <c r="T10" s="54"/>
      <c r="U10" s="55"/>
      <c r="V10" s="24"/>
      <c r="W10" s="47">
        <v>216.88</v>
      </c>
      <c r="X10" s="47"/>
      <c r="Y10" s="47">
        <v>134.0</v>
      </c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H121-X33</f>
        <v>16406</v>
      </c>
      <c r="D11" s="24"/>
      <c r="E11" s="43">
        <v>2.0</v>
      </c>
      <c r="F11" s="56">
        <v>415.0</v>
      </c>
      <c r="G11" s="57">
        <v>415.0</v>
      </c>
      <c r="H11" s="58"/>
      <c r="I11" s="59"/>
      <c r="J11" s="137">
        <v>9896.0</v>
      </c>
      <c r="K11" s="24"/>
      <c r="L11" s="48"/>
      <c r="M11" s="171">
        <v>101.0</v>
      </c>
      <c r="N11" s="171">
        <v>9830.0</v>
      </c>
      <c r="O11" s="49"/>
      <c r="P11" s="60"/>
      <c r="Q11" s="51"/>
      <c r="R11" s="52"/>
      <c r="S11" s="53"/>
      <c r="T11" s="61"/>
      <c r="U11" s="62"/>
      <c r="V11" s="24"/>
      <c r="W11" s="47">
        <v>381.91</v>
      </c>
      <c r="X11" s="47"/>
      <c r="Y11" s="47">
        <v>135.0</v>
      </c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I121</f>
        <v>7573</v>
      </c>
      <c r="D12" s="24"/>
      <c r="E12" s="43">
        <v>3.0</v>
      </c>
      <c r="F12" s="63">
        <v>154.0</v>
      </c>
      <c r="G12" s="64">
        <v>154.0</v>
      </c>
      <c r="H12" s="64"/>
      <c r="I12" s="65"/>
      <c r="J12" s="137">
        <v>9897.0</v>
      </c>
      <c r="K12" s="24"/>
      <c r="L12" s="47">
        <v>555.0</v>
      </c>
      <c r="M12" s="48"/>
      <c r="N12" s="48">
        <v>9712.0</v>
      </c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1030</v>
      </c>
      <c r="D13" s="24"/>
      <c r="E13" s="43">
        <v>4.0</v>
      </c>
      <c r="F13" s="56">
        <v>208.0</v>
      </c>
      <c r="G13" s="64">
        <v>208.0</v>
      </c>
      <c r="H13" s="65"/>
      <c r="I13" s="65"/>
      <c r="J13" s="137">
        <v>9898.0</v>
      </c>
      <c r="K13" s="24"/>
      <c r="L13" s="47">
        <v>475.0</v>
      </c>
      <c r="M13" s="48"/>
      <c r="N13" s="48">
        <v>9887.0</v>
      </c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500</v>
      </c>
      <c r="D14" s="24"/>
      <c r="E14" s="43">
        <v>5.0</v>
      </c>
      <c r="F14" s="56">
        <v>457.0</v>
      </c>
      <c r="G14" s="64">
        <v>457.0</v>
      </c>
      <c r="H14" s="65"/>
      <c r="I14" s="65"/>
      <c r="J14" s="137">
        <v>9899.0</v>
      </c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598.79</v>
      </c>
      <c r="D15" s="24"/>
      <c r="E15" s="43">
        <v>6.0</v>
      </c>
      <c r="F15" s="56">
        <v>5.0</v>
      </c>
      <c r="G15" s="64"/>
      <c r="H15" s="139">
        <v>5.0</v>
      </c>
      <c r="I15" s="65"/>
      <c r="J15" s="137">
        <v>9900.0</v>
      </c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50</v>
      </c>
      <c r="D16" s="24"/>
      <c r="E16" s="43">
        <v>7.0</v>
      </c>
      <c r="F16" s="56">
        <v>144.0</v>
      </c>
      <c r="G16" s="64">
        <v>144.0</v>
      </c>
      <c r="H16" s="64"/>
      <c r="I16" s="65"/>
      <c r="J16" s="137">
        <v>9901.0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50</v>
      </c>
      <c r="D17" s="24"/>
      <c r="E17" s="43">
        <v>8.0</v>
      </c>
      <c r="F17" s="56">
        <v>399.0</v>
      </c>
      <c r="G17" s="65"/>
      <c r="H17" s="64"/>
      <c r="I17" s="64">
        <v>399.0</v>
      </c>
      <c r="J17" s="137" t="s">
        <v>175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399.0</v>
      </c>
      <c r="G18" s="64">
        <v>399.0</v>
      </c>
      <c r="H18" s="64"/>
      <c r="I18" s="65"/>
      <c r="J18" s="137">
        <v>9903.0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187.0</v>
      </c>
      <c r="G19" s="64">
        <v>187.0</v>
      </c>
      <c r="H19" s="65"/>
      <c r="I19" s="65"/>
      <c r="J19" s="137">
        <v>9904.0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56213</v>
      </c>
      <c r="D20" s="24"/>
      <c r="E20" s="43">
        <v>11.0</v>
      </c>
      <c r="F20" s="56">
        <v>399.0</v>
      </c>
      <c r="G20" s="65"/>
      <c r="H20" s="139">
        <v>399.0</v>
      </c>
      <c r="I20" s="65"/>
      <c r="J20" s="137">
        <v>9905.0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16906</v>
      </c>
      <c r="D21" s="24"/>
      <c r="E21" s="43">
        <v>12.0</v>
      </c>
      <c r="F21" s="56">
        <v>399.0</v>
      </c>
      <c r="G21" s="64">
        <v>399.0</v>
      </c>
      <c r="H21" s="64"/>
      <c r="I21" s="65"/>
      <c r="J21" s="137">
        <v>9906.0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99816.21</v>
      </c>
      <c r="D22" s="24"/>
      <c r="E22" s="43">
        <v>13.0</v>
      </c>
      <c r="F22" s="56">
        <v>197.0</v>
      </c>
      <c r="G22" s="64"/>
      <c r="H22" s="139">
        <v>197.0</v>
      </c>
      <c r="I22" s="65"/>
      <c r="J22" s="137">
        <v>9907.0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41">
        <v>103443.21</v>
      </c>
      <c r="D23" s="24"/>
      <c r="E23" s="43">
        <v>14.0</v>
      </c>
      <c r="F23" s="56">
        <v>547.0</v>
      </c>
      <c r="G23" s="64">
        <v>547.0</v>
      </c>
      <c r="H23" s="65"/>
      <c r="I23" s="65"/>
      <c r="J23" s="137">
        <v>9908.0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-3627</v>
      </c>
      <c r="D24" s="24"/>
      <c r="E24" s="43">
        <v>15.0</v>
      </c>
      <c r="F24" s="56">
        <v>1428.0</v>
      </c>
      <c r="G24" s="64">
        <v>500.0</v>
      </c>
      <c r="H24" s="139">
        <v>928.0</v>
      </c>
      <c r="I24" s="65"/>
      <c r="J24" s="137">
        <v>9909.0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399.0</v>
      </c>
      <c r="G25" s="64">
        <v>399.0</v>
      </c>
      <c r="H25" s="65"/>
      <c r="I25" s="65"/>
      <c r="J25" s="137">
        <v>9910.0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F121</f>
        <v>47055</v>
      </c>
      <c r="D26" s="24"/>
      <c r="E26" s="43">
        <v>17.0</v>
      </c>
      <c r="F26" s="56">
        <v>320.0</v>
      </c>
      <c r="G26" s="64">
        <v>320.0</v>
      </c>
      <c r="H26" s="65"/>
      <c r="I26" s="65"/>
      <c r="J26" s="137">
        <v>9911.0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110.0</v>
      </c>
      <c r="D27" s="24"/>
      <c r="E27" s="43">
        <v>18.0</v>
      </c>
      <c r="F27" s="56">
        <v>120.0</v>
      </c>
      <c r="G27" s="64">
        <v>120.0</v>
      </c>
      <c r="H27" s="65"/>
      <c r="I27" s="65"/>
      <c r="J27" s="137">
        <v>9912.0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427.7727273</v>
      </c>
      <c r="D28" s="24"/>
      <c r="E28" s="43">
        <v>19.0</v>
      </c>
      <c r="F28" s="56">
        <v>5.0</v>
      </c>
      <c r="G28" s="64">
        <v>5.0</v>
      </c>
      <c r="H28" s="65"/>
      <c r="I28" s="65"/>
      <c r="J28" s="137">
        <v>9913.0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152.0</v>
      </c>
      <c r="G29" s="64">
        <v>152.0</v>
      </c>
      <c r="H29" s="65"/>
      <c r="I29" s="65"/>
      <c r="J29" s="137">
        <v>9914.0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75.0</v>
      </c>
      <c r="G30" s="93">
        <v>75.0</v>
      </c>
      <c r="H30" s="92"/>
      <c r="I30" s="93"/>
      <c r="J30" s="137">
        <v>9915.0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>
        <f>S33</f>
        <v>14328</v>
      </c>
      <c r="D31" s="24"/>
      <c r="E31" s="43">
        <v>22.0</v>
      </c>
      <c r="F31" s="56">
        <v>122.0</v>
      </c>
      <c r="G31" s="93"/>
      <c r="H31" s="143">
        <v>122.0</v>
      </c>
      <c r="I31" s="92"/>
      <c r="J31" s="137">
        <v>9916.0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50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>
        <f>R34</f>
        <v>3500</v>
      </c>
      <c r="D32" s="24"/>
      <c r="E32" s="43">
        <v>23.0</v>
      </c>
      <c r="F32" s="56">
        <v>287.0</v>
      </c>
      <c r="G32" s="93"/>
      <c r="H32" s="143">
        <v>287.0</v>
      </c>
      <c r="I32" s="92"/>
      <c r="J32" s="137">
        <v>9917.0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165.0</v>
      </c>
      <c r="G33" s="93"/>
      <c r="H33" s="92"/>
      <c r="I33" s="93">
        <v>165.0</v>
      </c>
      <c r="J33" s="137" t="s">
        <v>176</v>
      </c>
      <c r="K33" s="24"/>
      <c r="L33" s="104">
        <f t="shared" ref="L33:M33" si="2">sum(L10:L32)</f>
        <v>1030</v>
      </c>
      <c r="M33" s="104">
        <f t="shared" si="2"/>
        <v>500</v>
      </c>
      <c r="N33" s="104"/>
      <c r="O33" s="105"/>
      <c r="P33" s="85" t="s">
        <v>38</v>
      </c>
      <c r="Q33" s="51"/>
      <c r="R33" s="100"/>
      <c r="S33" s="52">
        <v>14328.0</v>
      </c>
      <c r="T33" s="101"/>
      <c r="U33" s="55"/>
      <c r="V33" s="24"/>
      <c r="W33" s="104">
        <f t="shared" ref="W33:X33" si="3">sum(W10:W32)</f>
        <v>598.79</v>
      </c>
      <c r="X33" s="104">
        <f t="shared" si="3"/>
        <v>0</v>
      </c>
      <c r="Y33" s="104">
        <f>W33+X33</f>
        <v>598.79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399.0</v>
      </c>
      <c r="G34" s="93"/>
      <c r="H34" s="143">
        <v>399.0</v>
      </c>
      <c r="I34" s="92"/>
      <c r="J34" s="137">
        <v>9919.0</v>
      </c>
      <c r="K34" s="24"/>
      <c r="L34" s="106"/>
      <c r="M34" s="106"/>
      <c r="N34" s="106"/>
      <c r="O34" s="106"/>
      <c r="P34" s="85" t="s">
        <v>40</v>
      </c>
      <c r="Q34" s="107"/>
      <c r="R34" s="144">
        <v>3500.0</v>
      </c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149.0</v>
      </c>
      <c r="G35" s="93">
        <v>149.0</v>
      </c>
      <c r="H35" s="93"/>
      <c r="I35" s="92"/>
      <c r="J35" s="137">
        <v>9920.0</v>
      </c>
      <c r="K35" s="24"/>
      <c r="L35" s="112"/>
      <c r="M35" s="17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130.0</v>
      </c>
      <c r="G36" s="93">
        <v>130.0</v>
      </c>
      <c r="H36" s="93"/>
      <c r="I36" s="92"/>
      <c r="J36" s="137">
        <v>9921.0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242.0</v>
      </c>
      <c r="G37" s="93"/>
      <c r="H37" s="143">
        <v>242.0</v>
      </c>
      <c r="I37" s="92"/>
      <c r="J37" s="137">
        <v>9922.0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154.0</v>
      </c>
      <c r="G38" s="93">
        <v>154.0</v>
      </c>
      <c r="H38" s="92"/>
      <c r="I38" s="92"/>
      <c r="J38" s="137">
        <v>9923.0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88.0</v>
      </c>
      <c r="G39" s="93">
        <v>88.0</v>
      </c>
      <c r="H39" s="93"/>
      <c r="I39" s="92"/>
      <c r="J39" s="137">
        <v>9924.0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399.0</v>
      </c>
      <c r="G40" s="92"/>
      <c r="H40" s="143">
        <v>399.0</v>
      </c>
      <c r="I40" s="92"/>
      <c r="J40" s="137">
        <v>9925.0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968.0</v>
      </c>
      <c r="G41" s="92"/>
      <c r="H41" s="93"/>
      <c r="I41" s="93">
        <v>968.0</v>
      </c>
      <c r="J41" s="137" t="s">
        <v>177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240.0</v>
      </c>
      <c r="G42" s="93">
        <v>200.0</v>
      </c>
      <c r="H42" s="143">
        <v>40.0</v>
      </c>
      <c r="I42" s="92"/>
      <c r="J42" s="137">
        <v>9927.0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798.0</v>
      </c>
      <c r="G43" s="93"/>
      <c r="H43" s="92"/>
      <c r="I43" s="93">
        <v>798.0</v>
      </c>
      <c r="J43" s="137" t="s">
        <v>178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716.0</v>
      </c>
      <c r="G44" s="92"/>
      <c r="H44" s="93"/>
      <c r="I44" s="93">
        <v>716.0</v>
      </c>
      <c r="J44" s="137" t="s">
        <v>179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399.0</v>
      </c>
      <c r="G45" s="93"/>
      <c r="H45" s="92"/>
      <c r="I45" s="93">
        <v>399.0</v>
      </c>
      <c r="J45" s="137" t="s">
        <v>180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739.0</v>
      </c>
      <c r="G46" s="93">
        <v>739.0</v>
      </c>
      <c r="H46" s="92"/>
      <c r="I46" s="92"/>
      <c r="J46" s="137">
        <v>9931.0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399.0</v>
      </c>
      <c r="G47" s="93">
        <v>399.0</v>
      </c>
      <c r="H47" s="93"/>
      <c r="I47" s="92"/>
      <c r="J47" s="137">
        <v>9932.0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1314.0</v>
      </c>
      <c r="G48" s="93">
        <v>1314.0</v>
      </c>
      <c r="H48" s="92"/>
      <c r="I48" s="92"/>
      <c r="J48" s="137">
        <v>9933.0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672.0</v>
      </c>
      <c r="G49" s="92"/>
      <c r="H49" s="143">
        <v>672.0</v>
      </c>
      <c r="I49" s="92"/>
      <c r="J49" s="137">
        <v>9934.0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69.0</v>
      </c>
      <c r="G50" s="93">
        <v>69.0</v>
      </c>
      <c r="H50" s="93"/>
      <c r="I50" s="92"/>
      <c r="J50" s="137">
        <v>9935.0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399.0</v>
      </c>
      <c r="G51" s="92"/>
      <c r="H51" s="143">
        <v>399.0</v>
      </c>
      <c r="I51" s="92"/>
      <c r="J51" s="137">
        <v>9936.0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399.0</v>
      </c>
      <c r="G52" s="93">
        <v>399.0</v>
      </c>
      <c r="H52" s="92"/>
      <c r="I52" s="92"/>
      <c r="J52" s="137">
        <v>9937.0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809.0</v>
      </c>
      <c r="G53" s="92"/>
      <c r="H53" s="143">
        <v>809.0</v>
      </c>
      <c r="I53" s="92"/>
      <c r="J53" s="137">
        <v>9938.0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294.0</v>
      </c>
      <c r="G54" s="93">
        <v>294.0</v>
      </c>
      <c r="H54" s="92"/>
      <c r="I54" s="92"/>
      <c r="J54" s="137">
        <v>9939.0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79.0</v>
      </c>
      <c r="G55" s="93">
        <v>79.0</v>
      </c>
      <c r="H55" s="92"/>
      <c r="I55" s="92"/>
      <c r="J55" s="137">
        <v>9940.0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1011.0</v>
      </c>
      <c r="G56" s="92"/>
      <c r="H56" s="92"/>
      <c r="I56" s="93">
        <v>1011.0</v>
      </c>
      <c r="J56" s="137" t="s">
        <v>181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299.0</v>
      </c>
      <c r="G57" s="92"/>
      <c r="H57" s="143">
        <v>299.0</v>
      </c>
      <c r="I57" s="92"/>
      <c r="J57" s="137">
        <v>9942.0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399.0</v>
      </c>
      <c r="G58" s="92"/>
      <c r="H58" s="143">
        <v>399.0</v>
      </c>
      <c r="I58" s="92"/>
      <c r="J58" s="137">
        <v>9943.0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93.0</v>
      </c>
      <c r="G59" s="92"/>
      <c r="H59" s="143">
        <v>93.0</v>
      </c>
      <c r="I59" s="92"/>
      <c r="J59" s="137">
        <v>9944.0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70.0</v>
      </c>
      <c r="G60" s="93">
        <v>70.0</v>
      </c>
      <c r="H60" s="92"/>
      <c r="I60" s="92"/>
      <c r="J60" s="137">
        <v>9945.0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684.0</v>
      </c>
      <c r="G61" s="92"/>
      <c r="H61" s="143">
        <v>684.0</v>
      </c>
      <c r="I61" s="92"/>
      <c r="J61" s="137">
        <v>9946.0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765.0</v>
      </c>
      <c r="G62" s="92"/>
      <c r="H62" s="143">
        <v>765.0</v>
      </c>
      <c r="I62" s="92"/>
      <c r="J62" s="137">
        <v>9947.0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399.0</v>
      </c>
      <c r="G63" s="93">
        <v>399.0</v>
      </c>
      <c r="H63" s="92"/>
      <c r="I63" s="92"/>
      <c r="J63" s="137">
        <v>9948.0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399.0</v>
      </c>
      <c r="G64" s="93">
        <v>399.0</v>
      </c>
      <c r="H64" s="92"/>
      <c r="I64" s="92"/>
      <c r="J64" s="137">
        <v>9949.0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399.0</v>
      </c>
      <c r="G65" s="92"/>
      <c r="H65" s="92"/>
      <c r="I65" s="93">
        <v>399.0</v>
      </c>
      <c r="J65" s="137" t="s">
        <v>182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96.0</v>
      </c>
      <c r="G66" s="93">
        <v>96.0</v>
      </c>
      <c r="H66" s="92"/>
      <c r="I66" s="92"/>
      <c r="J66" s="137">
        <v>9951.0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793.0</v>
      </c>
      <c r="G67" s="93">
        <v>793.0</v>
      </c>
      <c r="H67" s="92"/>
      <c r="I67" s="92"/>
      <c r="J67" s="137">
        <v>9952.0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579.0</v>
      </c>
      <c r="G68" s="92"/>
      <c r="H68" s="92"/>
      <c r="I68" s="93">
        <v>579.0</v>
      </c>
      <c r="J68" s="137" t="s">
        <v>183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1339.0</v>
      </c>
      <c r="G69" s="92"/>
      <c r="H69" s="92"/>
      <c r="I69" s="93">
        <v>1339.0</v>
      </c>
      <c r="J69" s="137" t="s">
        <v>184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399.0</v>
      </c>
      <c r="G70" s="153">
        <v>399.0</v>
      </c>
      <c r="H70" s="92"/>
      <c r="I70" s="92"/>
      <c r="J70" s="137">
        <v>9955.0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56">
        <v>237.0</v>
      </c>
      <c r="G71" s="92"/>
      <c r="H71" s="143">
        <v>237.0</v>
      </c>
      <c r="I71" s="92"/>
      <c r="J71" s="137">
        <v>9956.0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56">
        <v>260.0</v>
      </c>
      <c r="G72" s="92"/>
      <c r="H72" s="143">
        <v>260.0</v>
      </c>
      <c r="I72" s="92"/>
      <c r="J72" s="137">
        <v>9957.0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56">
        <v>1812.0</v>
      </c>
      <c r="G73" s="93">
        <v>1812.0</v>
      </c>
      <c r="H73" s="92"/>
      <c r="I73" s="92"/>
      <c r="J73" s="137">
        <v>9958.0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56">
        <v>149.0</v>
      </c>
      <c r="G74" s="93">
        <v>149.0</v>
      </c>
      <c r="H74" s="92"/>
      <c r="I74" s="92"/>
      <c r="J74" s="137">
        <v>9959.0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56">
        <v>47.0</v>
      </c>
      <c r="G75" s="93">
        <v>47.0</v>
      </c>
      <c r="H75" s="92"/>
      <c r="I75" s="92"/>
      <c r="J75" s="137">
        <v>9960.0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56">
        <v>759.0</v>
      </c>
      <c r="G76" s="92"/>
      <c r="H76" s="143">
        <v>759.0</v>
      </c>
      <c r="I76" s="92"/>
      <c r="J76" s="137">
        <v>9961.0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56">
        <v>313.0</v>
      </c>
      <c r="G77" s="93">
        <v>313.0</v>
      </c>
      <c r="H77" s="92"/>
      <c r="I77" s="92"/>
      <c r="J77" s="137">
        <v>9962.0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56">
        <v>738.0</v>
      </c>
      <c r="G78" s="93">
        <v>738.0</v>
      </c>
      <c r="H78" s="92"/>
      <c r="I78" s="92"/>
      <c r="J78" s="137">
        <v>9963.0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56">
        <v>399.0</v>
      </c>
      <c r="G79" s="93">
        <v>399.0</v>
      </c>
      <c r="H79" s="92"/>
      <c r="I79" s="92"/>
      <c r="J79" s="137">
        <v>9964.0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56">
        <v>110.0</v>
      </c>
      <c r="G80" s="93">
        <v>10.0</v>
      </c>
      <c r="H80" s="143">
        <v>100.0</v>
      </c>
      <c r="I80" s="92"/>
      <c r="J80" s="137">
        <v>9965.0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56">
        <v>91.0</v>
      </c>
      <c r="G81" s="93">
        <v>91.0</v>
      </c>
      <c r="H81" s="92"/>
      <c r="I81" s="92"/>
      <c r="J81" s="137">
        <v>9966.0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49">
        <v>46.0</v>
      </c>
      <c r="G82" s="54">
        <v>46.0</v>
      </c>
      <c r="H82" s="61"/>
      <c r="I82" s="61"/>
      <c r="J82" s="137">
        <v>9967.0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49">
        <v>399.0</v>
      </c>
      <c r="G83" s="61"/>
      <c r="H83" s="143">
        <v>399.0</v>
      </c>
      <c r="I83" s="61"/>
      <c r="J83" s="137">
        <v>9968.0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49">
        <v>399.0</v>
      </c>
      <c r="G84" s="54">
        <v>399.0</v>
      </c>
      <c r="H84" s="61"/>
      <c r="I84" s="61"/>
      <c r="J84" s="137">
        <v>9969.0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49">
        <v>2060.0</v>
      </c>
      <c r="G85" s="54">
        <v>2060.0</v>
      </c>
      <c r="H85" s="61"/>
      <c r="I85" s="61"/>
      <c r="J85" s="137">
        <v>9970.0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49">
        <v>800.0</v>
      </c>
      <c r="G86" s="61"/>
      <c r="H86" s="61"/>
      <c r="I86" s="54">
        <v>800.0</v>
      </c>
      <c r="J86" s="137" t="s">
        <v>185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49">
        <v>399.0</v>
      </c>
      <c r="G87" s="61"/>
      <c r="H87" s="143">
        <v>399.0</v>
      </c>
      <c r="I87" s="61"/>
      <c r="J87" s="137">
        <v>9972.0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49">
        <v>125.0</v>
      </c>
      <c r="G88" s="54">
        <v>125.0</v>
      </c>
      <c r="H88" s="61"/>
      <c r="I88" s="61"/>
      <c r="J88" s="137">
        <v>9973.0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49">
        <v>121.0</v>
      </c>
      <c r="G89" s="54">
        <v>121.0</v>
      </c>
      <c r="H89" s="61"/>
      <c r="I89" s="61"/>
      <c r="J89" s="137">
        <v>9974.0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49">
        <v>496.0</v>
      </c>
      <c r="G90" s="54">
        <v>496.0</v>
      </c>
      <c r="H90" s="61"/>
      <c r="I90" s="61"/>
      <c r="J90" s="137">
        <v>9975.0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49">
        <v>630.0</v>
      </c>
      <c r="G91" s="61"/>
      <c r="H91" s="143">
        <v>630.0</v>
      </c>
      <c r="I91" s="61"/>
      <c r="J91" s="137">
        <v>9976.0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49">
        <v>275.0</v>
      </c>
      <c r="G92" s="54">
        <v>275.0</v>
      </c>
      <c r="H92" s="61"/>
      <c r="I92" s="61"/>
      <c r="J92" s="137">
        <v>9977.0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49">
        <v>290.0</v>
      </c>
      <c r="G93" s="54">
        <v>290.0</v>
      </c>
      <c r="H93" s="61"/>
      <c r="I93" s="61"/>
      <c r="J93" s="137">
        <v>9978.0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49">
        <v>98.0</v>
      </c>
      <c r="G94" s="54">
        <v>70.0</v>
      </c>
      <c r="H94" s="143">
        <v>28.0</v>
      </c>
      <c r="I94" s="61"/>
      <c r="J94" s="137">
        <v>9979.0</v>
      </c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49">
        <v>1515.0</v>
      </c>
      <c r="G95" s="61"/>
      <c r="H95" s="145">
        <v>1515.0</v>
      </c>
      <c r="I95" s="61"/>
      <c r="J95" s="146" t="s">
        <v>186</v>
      </c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49">
        <v>401.0</v>
      </c>
      <c r="G96" s="54">
        <v>401.0</v>
      </c>
      <c r="H96" s="61"/>
      <c r="I96" s="61"/>
      <c r="J96" s="137">
        <v>9981.0</v>
      </c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24"/>
      <c r="E97" s="43">
        <v>88.0</v>
      </c>
      <c r="F97" s="149">
        <v>368.0</v>
      </c>
      <c r="G97" s="61"/>
      <c r="H97" s="143">
        <v>368.0</v>
      </c>
      <c r="I97" s="61"/>
      <c r="J97" s="137">
        <v>9982.0</v>
      </c>
      <c r="K97" s="24"/>
      <c r="L97" s="112"/>
      <c r="M97" s="112"/>
      <c r="N97" s="112"/>
      <c r="O97" s="112"/>
      <c r="P97" s="112"/>
      <c r="Q97" s="113"/>
      <c r="R97" s="114"/>
      <c r="S97" s="114"/>
      <c r="T97" s="114"/>
      <c r="U97" s="115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</row>
    <row r="98" ht="14.25" customHeight="1">
      <c r="A98" s="1"/>
      <c r="B98" s="1"/>
      <c r="C98" s="1"/>
      <c r="D98" s="24"/>
      <c r="E98" s="43">
        <v>89.0</v>
      </c>
      <c r="F98" s="149">
        <v>538.0</v>
      </c>
      <c r="G98" s="54">
        <v>538.0</v>
      </c>
      <c r="H98" s="61"/>
      <c r="I98" s="61"/>
      <c r="J98" s="137">
        <v>9983.0</v>
      </c>
      <c r="K98" s="24"/>
      <c r="L98" s="112"/>
      <c r="M98" s="112"/>
      <c r="N98" s="112"/>
      <c r="O98" s="112"/>
      <c r="P98" s="112"/>
      <c r="Q98" s="113"/>
      <c r="R98" s="114"/>
      <c r="S98" s="114"/>
      <c r="T98" s="114"/>
      <c r="U98" s="115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</row>
    <row r="99" ht="14.25" customHeight="1">
      <c r="A99" s="1"/>
      <c r="B99" s="1"/>
      <c r="C99" s="1"/>
      <c r="D99" s="24"/>
      <c r="E99" s="43">
        <v>90.0</v>
      </c>
      <c r="F99" s="149">
        <v>163.0</v>
      </c>
      <c r="G99" s="61"/>
      <c r="H99" s="143">
        <v>163.0</v>
      </c>
      <c r="I99" s="61"/>
      <c r="J99" s="137">
        <v>9984.0</v>
      </c>
      <c r="K99" s="24"/>
      <c r="L99" s="112"/>
      <c r="M99" s="112"/>
      <c r="N99" s="112"/>
      <c r="O99" s="112"/>
      <c r="P99" s="112"/>
      <c r="Q99" s="113"/>
      <c r="R99" s="114"/>
      <c r="S99" s="114"/>
      <c r="T99" s="114"/>
      <c r="U99" s="115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</row>
    <row r="100" ht="14.25" customHeight="1">
      <c r="A100" s="1"/>
      <c r="B100" s="1"/>
      <c r="C100" s="1"/>
      <c r="D100" s="24"/>
      <c r="E100" s="43">
        <v>91.0</v>
      </c>
      <c r="F100" s="149">
        <v>159.0</v>
      </c>
      <c r="G100" s="61"/>
      <c r="H100" s="143">
        <v>159.0</v>
      </c>
      <c r="I100" s="61"/>
      <c r="J100" s="137">
        <v>9985.0</v>
      </c>
      <c r="K100" s="24"/>
      <c r="L100" s="112"/>
      <c r="M100" s="112"/>
      <c r="N100" s="112"/>
      <c r="O100" s="112"/>
      <c r="P100" s="112"/>
      <c r="Q100" s="113"/>
      <c r="R100" s="114"/>
      <c r="S100" s="114"/>
      <c r="T100" s="114"/>
      <c r="U100" s="115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</row>
    <row r="101" ht="14.25" customHeight="1">
      <c r="A101" s="1"/>
      <c r="B101" s="1"/>
      <c r="C101" s="1"/>
      <c r="D101" s="24"/>
      <c r="E101" s="43">
        <v>92.0</v>
      </c>
      <c r="F101" s="149">
        <v>993.0</v>
      </c>
      <c r="G101" s="54">
        <v>993.0</v>
      </c>
      <c r="H101" s="61"/>
      <c r="I101" s="61"/>
      <c r="J101" s="137">
        <v>9986.0</v>
      </c>
      <c r="K101" s="24"/>
      <c r="L101" s="112"/>
      <c r="M101" s="112"/>
      <c r="N101" s="112"/>
      <c r="O101" s="112"/>
      <c r="P101" s="112"/>
      <c r="Q101" s="113"/>
      <c r="R101" s="114"/>
      <c r="S101" s="114"/>
      <c r="T101" s="114"/>
      <c r="U101" s="115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</row>
    <row r="102" ht="14.25" customHeight="1">
      <c r="A102" s="1"/>
      <c r="B102" s="1"/>
      <c r="C102" s="1"/>
      <c r="D102" s="24"/>
      <c r="E102" s="43">
        <v>93.0</v>
      </c>
      <c r="F102" s="149">
        <v>184.0</v>
      </c>
      <c r="G102" s="61"/>
      <c r="H102" s="143">
        <v>184.0</v>
      </c>
      <c r="I102" s="61"/>
      <c r="J102" s="137">
        <v>9987.0</v>
      </c>
      <c r="K102" s="24"/>
      <c r="L102" s="112"/>
      <c r="M102" s="112"/>
      <c r="N102" s="112"/>
      <c r="O102" s="112"/>
      <c r="P102" s="112"/>
      <c r="Q102" s="113"/>
      <c r="R102" s="114"/>
      <c r="S102" s="114"/>
      <c r="T102" s="114"/>
      <c r="U102" s="115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</row>
    <row r="103" ht="14.25" customHeight="1">
      <c r="A103" s="1"/>
      <c r="B103" s="1"/>
      <c r="C103" s="1"/>
      <c r="D103" s="24"/>
      <c r="E103" s="43">
        <v>94.0</v>
      </c>
      <c r="F103" s="149">
        <v>385.0</v>
      </c>
      <c r="G103" s="54">
        <v>385.0</v>
      </c>
      <c r="H103" s="61"/>
      <c r="I103" s="61"/>
      <c r="J103" s="137">
        <v>9988.0</v>
      </c>
      <c r="K103" s="24"/>
      <c r="L103" s="112"/>
      <c r="M103" s="112"/>
      <c r="N103" s="112"/>
      <c r="O103" s="112"/>
      <c r="P103" s="112"/>
      <c r="Q103" s="113"/>
      <c r="R103" s="114"/>
      <c r="S103" s="114"/>
      <c r="T103" s="114"/>
      <c r="U103" s="115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</row>
    <row r="104" ht="14.25" customHeight="1">
      <c r="A104" s="1"/>
      <c r="B104" s="1"/>
      <c r="C104" s="1"/>
      <c r="D104" s="24"/>
      <c r="E104" s="43">
        <v>95.0</v>
      </c>
      <c r="F104" s="149">
        <v>806.0</v>
      </c>
      <c r="G104" s="61"/>
      <c r="H104" s="143">
        <v>806.0</v>
      </c>
      <c r="I104" s="61"/>
      <c r="J104" s="137">
        <v>9989.0</v>
      </c>
      <c r="K104" s="24"/>
      <c r="L104" s="112"/>
      <c r="M104" s="112"/>
      <c r="N104" s="112"/>
      <c r="O104" s="112"/>
      <c r="P104" s="112"/>
      <c r="Q104" s="113"/>
      <c r="R104" s="114"/>
      <c r="S104" s="114"/>
      <c r="T104" s="114"/>
      <c r="U104" s="115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</row>
    <row r="105" ht="14.25" customHeight="1">
      <c r="A105" s="1"/>
      <c r="B105" s="1"/>
      <c r="C105" s="1"/>
      <c r="D105" s="24"/>
      <c r="E105" s="43">
        <v>96.0</v>
      </c>
      <c r="F105" s="149">
        <v>1631.0</v>
      </c>
      <c r="G105" s="61"/>
      <c r="H105" s="143">
        <v>1631.0</v>
      </c>
      <c r="I105" s="61"/>
      <c r="J105" s="137">
        <v>9990.0</v>
      </c>
      <c r="K105" s="24"/>
      <c r="L105" s="112"/>
      <c r="M105" s="112"/>
      <c r="N105" s="112"/>
      <c r="O105" s="112"/>
      <c r="P105" s="112"/>
      <c r="Q105" s="113"/>
      <c r="R105" s="114"/>
      <c r="S105" s="114"/>
      <c r="T105" s="114"/>
      <c r="U105" s="115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</row>
    <row r="106" ht="14.25" customHeight="1">
      <c r="A106" s="1"/>
      <c r="B106" s="1"/>
      <c r="C106" s="1"/>
      <c r="D106" s="24"/>
      <c r="E106" s="43">
        <v>97.0</v>
      </c>
      <c r="F106" s="149">
        <v>176.0</v>
      </c>
      <c r="G106" s="61"/>
      <c r="H106" s="143">
        <v>176.0</v>
      </c>
      <c r="I106" s="61"/>
      <c r="J106" s="137">
        <v>9991.0</v>
      </c>
      <c r="K106" s="24"/>
      <c r="L106" s="112"/>
      <c r="M106" s="112"/>
      <c r="N106" s="112"/>
      <c r="O106" s="112"/>
      <c r="P106" s="112"/>
      <c r="Q106" s="113"/>
      <c r="R106" s="114"/>
      <c r="S106" s="114"/>
      <c r="T106" s="114"/>
      <c r="U106" s="115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</row>
    <row r="107" ht="14.25" customHeight="1">
      <c r="A107" s="1"/>
      <c r="B107" s="1"/>
      <c r="C107" s="1"/>
      <c r="D107" s="24"/>
      <c r="E107" s="43">
        <v>98.0</v>
      </c>
      <c r="F107" s="149">
        <v>671.0</v>
      </c>
      <c r="G107" s="54">
        <v>671.0</v>
      </c>
      <c r="H107" s="61"/>
      <c r="I107" s="61"/>
      <c r="J107" s="137">
        <v>9992.0</v>
      </c>
      <c r="K107" s="24"/>
      <c r="L107" s="112"/>
      <c r="M107" s="112"/>
      <c r="N107" s="112"/>
      <c r="O107" s="112"/>
      <c r="P107" s="112"/>
      <c r="Q107" s="113"/>
      <c r="R107" s="114"/>
      <c r="S107" s="114"/>
      <c r="T107" s="114"/>
      <c r="U107" s="115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</row>
    <row r="108" ht="14.25" customHeight="1">
      <c r="A108" s="1"/>
      <c r="B108" s="1"/>
      <c r="C108" s="1"/>
      <c r="D108" s="24"/>
      <c r="E108" s="43">
        <v>99.0</v>
      </c>
      <c r="F108" s="149">
        <v>280.0</v>
      </c>
      <c r="G108" s="61"/>
      <c r="H108" s="143">
        <v>280.0</v>
      </c>
      <c r="I108" s="61"/>
      <c r="J108" s="137">
        <v>9993.0</v>
      </c>
      <c r="K108" s="24"/>
      <c r="L108" s="112"/>
      <c r="M108" s="112"/>
      <c r="N108" s="112"/>
      <c r="O108" s="112"/>
      <c r="P108" s="112"/>
      <c r="Q108" s="113"/>
      <c r="R108" s="114"/>
      <c r="S108" s="114"/>
      <c r="T108" s="114"/>
      <c r="U108" s="115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</row>
    <row r="109" ht="14.25" customHeight="1">
      <c r="A109" s="1"/>
      <c r="B109" s="1"/>
      <c r="C109" s="1"/>
      <c r="D109" s="24"/>
      <c r="E109" s="43">
        <v>100.0</v>
      </c>
      <c r="F109" s="149">
        <v>150.0</v>
      </c>
      <c r="G109" s="54">
        <v>150.0</v>
      </c>
      <c r="H109" s="61"/>
      <c r="I109" s="61"/>
      <c r="J109" s="137">
        <v>9994.0</v>
      </c>
      <c r="K109" s="24"/>
      <c r="L109" s="112"/>
      <c r="M109" s="112"/>
      <c r="N109" s="112"/>
      <c r="O109" s="112"/>
      <c r="P109" s="112"/>
      <c r="Q109" s="113"/>
      <c r="R109" s="114"/>
      <c r="S109" s="114"/>
      <c r="T109" s="114"/>
      <c r="U109" s="115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</row>
    <row r="110" ht="14.25" customHeight="1">
      <c r="A110" s="1"/>
      <c r="B110" s="1"/>
      <c r="C110" s="1"/>
      <c r="D110" s="24"/>
      <c r="E110" s="43">
        <v>101.0</v>
      </c>
      <c r="F110" s="149">
        <v>412.0</v>
      </c>
      <c r="G110" s="54">
        <v>412.0</v>
      </c>
      <c r="H110" s="61"/>
      <c r="I110" s="61"/>
      <c r="J110" s="137">
        <v>9995.0</v>
      </c>
      <c r="K110" s="24"/>
      <c r="L110" s="112"/>
      <c r="M110" s="112"/>
      <c r="N110" s="112"/>
      <c r="O110" s="112"/>
      <c r="P110" s="112"/>
      <c r="Q110" s="113"/>
      <c r="R110" s="114"/>
      <c r="S110" s="114"/>
      <c r="T110" s="114"/>
      <c r="U110" s="115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</row>
    <row r="111" ht="14.25" customHeight="1">
      <c r="A111" s="1"/>
      <c r="B111" s="1"/>
      <c r="C111" s="1"/>
      <c r="D111" s="24"/>
      <c r="E111" s="43">
        <v>102.0</v>
      </c>
      <c r="F111" s="149">
        <v>399.0</v>
      </c>
      <c r="G111" s="54">
        <v>399.0</v>
      </c>
      <c r="H111" s="61"/>
      <c r="I111" s="61"/>
      <c r="J111" s="137">
        <v>9996.0</v>
      </c>
      <c r="K111" s="24"/>
      <c r="L111" s="112"/>
      <c r="M111" s="112"/>
      <c r="N111" s="112"/>
      <c r="O111" s="112"/>
      <c r="P111" s="112"/>
      <c r="Q111" s="113"/>
      <c r="R111" s="114"/>
      <c r="S111" s="114"/>
      <c r="T111" s="114"/>
      <c r="U111" s="115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</row>
    <row r="112" ht="14.25" customHeight="1">
      <c r="A112" s="1"/>
      <c r="B112" s="1"/>
      <c r="C112" s="1"/>
      <c r="D112" s="24"/>
      <c r="E112" s="43">
        <v>103.0</v>
      </c>
      <c r="F112" s="149">
        <v>399.0</v>
      </c>
      <c r="G112" s="61"/>
      <c r="H112" s="143">
        <v>399.0</v>
      </c>
      <c r="I112" s="61"/>
      <c r="J112" s="137">
        <v>9997.0</v>
      </c>
      <c r="K112" s="24"/>
      <c r="L112" s="112"/>
      <c r="M112" s="112"/>
      <c r="N112" s="112"/>
      <c r="O112" s="112"/>
      <c r="P112" s="112"/>
      <c r="Q112" s="113"/>
      <c r="R112" s="114"/>
      <c r="S112" s="114"/>
      <c r="T112" s="114"/>
      <c r="U112" s="115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</row>
    <row r="113" ht="14.25" customHeight="1">
      <c r="A113" s="1"/>
      <c r="B113" s="1"/>
      <c r="C113" s="1"/>
      <c r="D113" s="24"/>
      <c r="E113" s="43">
        <v>104.0</v>
      </c>
      <c r="F113" s="149">
        <v>243.0</v>
      </c>
      <c r="G113" s="61"/>
      <c r="H113" s="143">
        <v>243.0</v>
      </c>
      <c r="I113" s="61"/>
      <c r="J113" s="137">
        <v>9998.0</v>
      </c>
      <c r="K113" s="24"/>
      <c r="L113" s="112"/>
      <c r="M113" s="112"/>
      <c r="N113" s="112"/>
      <c r="O113" s="112"/>
      <c r="P113" s="112"/>
      <c r="Q113" s="113"/>
      <c r="R113" s="114"/>
      <c r="S113" s="114"/>
      <c r="T113" s="114"/>
      <c r="U113" s="115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</row>
    <row r="114" ht="14.25" customHeight="1">
      <c r="A114" s="1"/>
      <c r="B114" s="1"/>
      <c r="C114" s="1"/>
      <c r="D114" s="24"/>
      <c r="E114" s="43">
        <v>105.0</v>
      </c>
      <c r="F114" s="149">
        <v>178.0</v>
      </c>
      <c r="G114" s="61"/>
      <c r="H114" s="143">
        <v>178.0</v>
      </c>
      <c r="I114" s="61"/>
      <c r="J114" s="137">
        <v>9999.0</v>
      </c>
      <c r="K114" s="24"/>
      <c r="L114" s="112"/>
      <c r="M114" s="112"/>
      <c r="N114" s="112"/>
      <c r="O114" s="112"/>
      <c r="P114" s="112"/>
      <c r="Q114" s="113"/>
      <c r="R114" s="114"/>
      <c r="S114" s="114"/>
      <c r="T114" s="114"/>
      <c r="U114" s="115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</row>
    <row r="115" ht="14.25" customHeight="1">
      <c r="A115" s="1"/>
      <c r="B115" s="1"/>
      <c r="C115" s="1"/>
      <c r="D115" s="24"/>
      <c r="E115" s="43">
        <v>106.0</v>
      </c>
      <c r="F115" s="149">
        <v>833.0</v>
      </c>
      <c r="G115" s="54">
        <v>833.0</v>
      </c>
      <c r="H115" s="61"/>
      <c r="I115" s="61"/>
      <c r="J115" s="137">
        <v>10000.0</v>
      </c>
      <c r="K115" s="24"/>
      <c r="L115" s="112"/>
      <c r="M115" s="112"/>
      <c r="N115" s="112"/>
      <c r="O115" s="112"/>
      <c r="P115" s="112"/>
      <c r="Q115" s="113"/>
      <c r="R115" s="114"/>
      <c r="S115" s="114"/>
      <c r="T115" s="114"/>
      <c r="U115" s="115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</row>
    <row r="116" ht="14.25" customHeight="1">
      <c r="A116" s="1"/>
      <c r="B116" s="1"/>
      <c r="C116" s="1"/>
      <c r="D116" s="24"/>
      <c r="E116" s="43">
        <v>107.0</v>
      </c>
      <c r="F116" s="149">
        <v>60.0</v>
      </c>
      <c r="G116" s="61"/>
      <c r="H116" s="143">
        <v>60.0</v>
      </c>
      <c r="I116" s="61"/>
      <c r="J116" s="137">
        <v>10001.0</v>
      </c>
      <c r="K116" s="24"/>
      <c r="L116" s="112"/>
      <c r="M116" s="112"/>
      <c r="N116" s="112"/>
      <c r="O116" s="112"/>
      <c r="P116" s="112"/>
      <c r="Q116" s="113"/>
      <c r="R116" s="114"/>
      <c r="S116" s="114"/>
      <c r="T116" s="114"/>
      <c r="U116" s="115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</row>
    <row r="117" ht="14.25" customHeight="1">
      <c r="A117" s="1"/>
      <c r="B117" s="1"/>
      <c r="C117" s="1"/>
      <c r="D117" s="24"/>
      <c r="E117" s="43">
        <v>108.0</v>
      </c>
      <c r="F117" s="149">
        <v>197.0</v>
      </c>
      <c r="G117" s="54">
        <v>197.0</v>
      </c>
      <c r="H117" s="61"/>
      <c r="I117" s="61"/>
      <c r="J117" s="137">
        <v>10002.0</v>
      </c>
      <c r="K117" s="24"/>
      <c r="L117" s="112"/>
      <c r="M117" s="112"/>
      <c r="N117" s="112"/>
      <c r="O117" s="112"/>
      <c r="P117" s="112"/>
      <c r="Q117" s="113"/>
      <c r="R117" s="114"/>
      <c r="S117" s="114"/>
      <c r="T117" s="114"/>
      <c r="U117" s="115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</row>
    <row r="118" ht="14.25" customHeight="1">
      <c r="A118" s="1"/>
      <c r="B118" s="1"/>
      <c r="C118" s="1"/>
      <c r="D118" s="24"/>
      <c r="E118" s="43">
        <v>109.0</v>
      </c>
      <c r="F118" s="149">
        <v>103.0</v>
      </c>
      <c r="G118" s="61"/>
      <c r="H118" s="143">
        <v>103.0</v>
      </c>
      <c r="I118" s="61"/>
      <c r="J118" s="137">
        <v>10003.0</v>
      </c>
      <c r="K118" s="24"/>
      <c r="L118" s="112"/>
      <c r="M118" s="112"/>
      <c r="N118" s="112"/>
      <c r="O118" s="112"/>
      <c r="P118" s="112"/>
      <c r="Q118" s="113"/>
      <c r="R118" s="114"/>
      <c r="S118" s="114"/>
      <c r="T118" s="114"/>
      <c r="U118" s="115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</row>
    <row r="119" ht="14.25" customHeight="1">
      <c r="A119" s="1"/>
      <c r="B119" s="1"/>
      <c r="C119" s="1"/>
      <c r="D119" s="24"/>
      <c r="E119" s="43">
        <v>110.0</v>
      </c>
      <c r="F119" s="149">
        <v>65.0</v>
      </c>
      <c r="G119" s="54">
        <v>5.0</v>
      </c>
      <c r="H119" s="143">
        <v>60.0</v>
      </c>
      <c r="I119" s="61"/>
      <c r="J119" s="137">
        <v>10004.0</v>
      </c>
      <c r="K119" s="24"/>
      <c r="L119" s="112"/>
      <c r="M119" s="112"/>
      <c r="N119" s="112"/>
      <c r="O119" s="112"/>
      <c r="P119" s="112"/>
      <c r="Q119" s="113"/>
      <c r="R119" s="114"/>
      <c r="S119" s="114"/>
      <c r="T119" s="114"/>
      <c r="U119" s="115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</row>
    <row r="120" ht="14.25" customHeight="1">
      <c r="A120" s="1"/>
      <c r="B120" s="1"/>
      <c r="C120" s="1"/>
      <c r="D120" s="24"/>
      <c r="E120" s="43">
        <v>111.0</v>
      </c>
      <c r="F120" s="121"/>
      <c r="G120" s="61"/>
      <c r="H120" s="61"/>
      <c r="I120" s="61"/>
      <c r="J120" s="137">
        <v>10005.0</v>
      </c>
      <c r="K120" s="24"/>
      <c r="L120" s="112"/>
      <c r="M120" s="112"/>
      <c r="N120" s="112"/>
      <c r="O120" s="112"/>
      <c r="P120" s="112"/>
      <c r="Q120" s="113"/>
      <c r="R120" s="114"/>
      <c r="S120" s="114"/>
      <c r="T120" s="114"/>
      <c r="U120" s="115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</row>
    <row r="121" ht="14.25" customHeight="1">
      <c r="A121" s="1"/>
      <c r="B121" s="1"/>
      <c r="C121" s="1"/>
      <c r="D121" s="1"/>
      <c r="E121" s="122"/>
      <c r="F121" s="123">
        <f t="shared" ref="F121:I121" si="4">SUM(F10:F120)</f>
        <v>47055</v>
      </c>
      <c r="G121" s="123">
        <f t="shared" si="4"/>
        <v>23076</v>
      </c>
      <c r="H121" s="123">
        <f t="shared" si="4"/>
        <v>16406</v>
      </c>
      <c r="I121" s="123">
        <f t="shared" si="4"/>
        <v>7573</v>
      </c>
      <c r="J121" s="137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18"/>
      <c r="C122" s="118"/>
      <c r="D122" s="1"/>
      <c r="E122" s="124"/>
      <c r="F122" s="124"/>
      <c r="G122" s="124"/>
      <c r="H122" s="124"/>
      <c r="I122" s="125"/>
      <c r="J122" s="137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18"/>
      <c r="C123" s="1"/>
      <c r="D123" s="1"/>
      <c r="E123" s="8"/>
      <c r="F123" s="8"/>
      <c r="G123" s="8"/>
      <c r="H123" s="8"/>
      <c r="I123" s="8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8"/>
      <c r="F124" s="8"/>
      <c r="G124" s="8"/>
      <c r="H124" s="8"/>
      <c r="I124" s="8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8"/>
      <c r="F125" s="8"/>
      <c r="G125" s="8"/>
      <c r="H125" s="8"/>
      <c r="I125" s="8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8"/>
      <c r="F126" s="8"/>
      <c r="G126" s="8"/>
      <c r="H126" s="8"/>
      <c r="I126" s="8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8"/>
      <c r="F127" s="8"/>
      <c r="G127" s="8"/>
      <c r="H127" s="8"/>
      <c r="I127" s="8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26"/>
      <c r="H134" s="12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32">
        <v>45979.0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99816.0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16906.0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56213.0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41303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17407</v>
      </c>
      <c r="D10" s="24"/>
      <c r="E10" s="43">
        <v>1.0</v>
      </c>
      <c r="F10" s="44">
        <v>404.0</v>
      </c>
      <c r="G10" s="45">
        <v>404.0</v>
      </c>
      <c r="H10" s="45"/>
      <c r="I10" s="45"/>
      <c r="J10" s="137">
        <v>10005.0</v>
      </c>
      <c r="K10" s="24"/>
      <c r="L10" s="47"/>
      <c r="M10" s="47">
        <v>165.0</v>
      </c>
      <c r="N10" s="47">
        <v>9918.0</v>
      </c>
      <c r="O10" s="49"/>
      <c r="P10" s="85" t="s">
        <v>85</v>
      </c>
      <c r="Q10" s="51"/>
      <c r="R10" s="52">
        <v>100.0</v>
      </c>
      <c r="S10" s="53"/>
      <c r="T10" s="54"/>
      <c r="U10" s="55"/>
      <c r="V10" s="24"/>
      <c r="W10" s="47">
        <v>154.0</v>
      </c>
      <c r="X10" s="47"/>
      <c r="Y10" s="47">
        <v>136.0</v>
      </c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13253</v>
      </c>
      <c r="D11" s="24"/>
      <c r="E11" s="43">
        <v>2.0</v>
      </c>
      <c r="F11" s="56">
        <v>534.0</v>
      </c>
      <c r="G11" s="57"/>
      <c r="H11" s="136">
        <v>534.0</v>
      </c>
      <c r="I11" s="59"/>
      <c r="J11" s="137">
        <v>10006.0</v>
      </c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10643</v>
      </c>
      <c r="D12" s="24"/>
      <c r="E12" s="43">
        <v>3.0</v>
      </c>
      <c r="F12" s="63">
        <v>237.0</v>
      </c>
      <c r="G12" s="64">
        <v>237.0</v>
      </c>
      <c r="H12" s="64"/>
      <c r="I12" s="65"/>
      <c r="J12" s="137">
        <v>10007.0</v>
      </c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>
        <v>188.0</v>
      </c>
      <c r="G13" s="64">
        <v>188.0</v>
      </c>
      <c r="H13" s="65"/>
      <c r="I13" s="65"/>
      <c r="J13" s="137">
        <v>10008.0</v>
      </c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165</v>
      </c>
      <c r="D14" s="24"/>
      <c r="E14" s="43">
        <v>5.0</v>
      </c>
      <c r="F14" s="56">
        <v>788.0</v>
      </c>
      <c r="G14" s="64"/>
      <c r="H14" s="139">
        <v>788.0</v>
      </c>
      <c r="I14" s="65"/>
      <c r="J14" s="137">
        <v>10009.0</v>
      </c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154</v>
      </c>
      <c r="D15" s="24"/>
      <c r="E15" s="43">
        <v>6.0</v>
      </c>
      <c r="F15" s="56">
        <v>752.0</v>
      </c>
      <c r="G15" s="64"/>
      <c r="H15" s="139">
        <v>752.0</v>
      </c>
      <c r="I15" s="65"/>
      <c r="J15" s="137">
        <v>10010.0</v>
      </c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100</v>
      </c>
      <c r="D16" s="24"/>
      <c r="E16" s="43">
        <v>7.0</v>
      </c>
      <c r="F16" s="56">
        <v>399.0</v>
      </c>
      <c r="G16" s="64">
        <v>399.0</v>
      </c>
      <c r="H16" s="64"/>
      <c r="I16" s="65"/>
      <c r="J16" s="137">
        <v>10011.0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100</v>
      </c>
      <c r="D17" s="24"/>
      <c r="E17" s="43">
        <v>8.0</v>
      </c>
      <c r="F17" s="56">
        <v>333.0</v>
      </c>
      <c r="G17" s="64">
        <v>333.0</v>
      </c>
      <c r="H17" s="64"/>
      <c r="I17" s="65"/>
      <c r="J17" s="137">
        <v>10012.0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147.0</v>
      </c>
      <c r="G18" s="64">
        <v>147.0</v>
      </c>
      <c r="H18" s="64"/>
      <c r="I18" s="65"/>
      <c r="J18" s="137">
        <v>10013.0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85.0</v>
      </c>
      <c r="G19" s="64">
        <v>85.0</v>
      </c>
      <c r="H19" s="65"/>
      <c r="I19" s="65"/>
      <c r="J19" s="137">
        <v>10014.0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66691</v>
      </c>
      <c r="D20" s="24"/>
      <c r="E20" s="43">
        <v>11.0</v>
      </c>
      <c r="F20" s="56">
        <v>474.0</v>
      </c>
      <c r="G20" s="64">
        <v>450.0</v>
      </c>
      <c r="H20" s="139">
        <v>24.0</v>
      </c>
      <c r="I20" s="65"/>
      <c r="J20" s="137">
        <v>10015.0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13418</v>
      </c>
      <c r="D21" s="24"/>
      <c r="E21" s="43">
        <v>12.0</v>
      </c>
      <c r="F21" s="56">
        <v>249.0</v>
      </c>
      <c r="G21" s="64">
        <v>249.0</v>
      </c>
      <c r="H21" s="64"/>
      <c r="I21" s="65"/>
      <c r="J21" s="137">
        <v>10016.0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113623</v>
      </c>
      <c r="D22" s="24"/>
      <c r="E22" s="43">
        <v>13.0</v>
      </c>
      <c r="F22" s="56">
        <v>834.0</v>
      </c>
      <c r="G22" s="64">
        <v>834.0</v>
      </c>
      <c r="H22" s="64"/>
      <c r="I22" s="65"/>
      <c r="J22" s="137">
        <v>10017.0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41">
        <v>119770.21</v>
      </c>
      <c r="D23" s="24"/>
      <c r="E23" s="43">
        <v>14.0</v>
      </c>
      <c r="F23" s="56">
        <v>93.0</v>
      </c>
      <c r="G23" s="64">
        <v>93.0</v>
      </c>
      <c r="H23" s="65"/>
      <c r="I23" s="65"/>
      <c r="J23" s="137">
        <v>10018.0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-6147.21</v>
      </c>
      <c r="D24" s="24"/>
      <c r="E24" s="43">
        <v>15.0</v>
      </c>
      <c r="F24" s="56">
        <v>79.0</v>
      </c>
      <c r="G24" s="64">
        <v>79.0</v>
      </c>
      <c r="H24" s="65"/>
      <c r="I24" s="65"/>
      <c r="J24" s="137">
        <v>10019.0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1187.0</v>
      </c>
      <c r="G25" s="64">
        <v>1130.0</v>
      </c>
      <c r="H25" s="139">
        <v>57.0</v>
      </c>
      <c r="I25" s="65"/>
      <c r="J25" s="137">
        <v>10020.0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41457</v>
      </c>
      <c r="D26" s="24"/>
      <c r="E26" s="43">
        <v>17.0</v>
      </c>
      <c r="F26" s="56">
        <v>1182.0</v>
      </c>
      <c r="G26" s="64">
        <v>1182.0</v>
      </c>
      <c r="H26" s="65"/>
      <c r="I26" s="65"/>
      <c r="J26" s="137">
        <v>10021.0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83.0</v>
      </c>
      <c r="D27" s="24"/>
      <c r="E27" s="43">
        <v>18.0</v>
      </c>
      <c r="F27" s="56">
        <v>84.0</v>
      </c>
      <c r="G27" s="64"/>
      <c r="H27" s="139">
        <v>84.0</v>
      </c>
      <c r="I27" s="65"/>
      <c r="J27" s="137">
        <v>10022.0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499.4819277</v>
      </c>
      <c r="D28" s="24"/>
      <c r="E28" s="43">
        <v>19.0</v>
      </c>
      <c r="F28" s="56">
        <v>898.0</v>
      </c>
      <c r="G28" s="64"/>
      <c r="H28" s="139">
        <v>898.0</v>
      </c>
      <c r="I28" s="65"/>
      <c r="J28" s="137">
        <v>10023.0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839.0</v>
      </c>
      <c r="G29" s="64"/>
      <c r="H29" s="139">
        <v>839.0</v>
      </c>
      <c r="I29" s="65"/>
      <c r="J29" s="137">
        <v>10024.0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399.0</v>
      </c>
      <c r="G30" s="93">
        <v>399.0</v>
      </c>
      <c r="H30" s="92"/>
      <c r="I30" s="93"/>
      <c r="J30" s="137">
        <v>10025.0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>
        <f>S33</f>
        <v>16906</v>
      </c>
      <c r="D31" s="24"/>
      <c r="E31" s="43">
        <v>22.0</v>
      </c>
      <c r="F31" s="56">
        <v>269.0</v>
      </c>
      <c r="G31" s="93">
        <v>131.0</v>
      </c>
      <c r="H31" s="143">
        <v>138.0</v>
      </c>
      <c r="I31" s="92"/>
      <c r="J31" s="137">
        <v>10026.0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100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>
        <f>R34</f>
        <v>3500</v>
      </c>
      <c r="D32" s="24"/>
      <c r="E32" s="43">
        <v>23.0</v>
      </c>
      <c r="F32" s="56">
        <v>2.0</v>
      </c>
      <c r="G32" s="93">
        <v>2.0</v>
      </c>
      <c r="H32" s="92"/>
      <c r="I32" s="92"/>
      <c r="J32" s="137">
        <v>10027.0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132.0</v>
      </c>
      <c r="G33" s="93">
        <v>132.0</v>
      </c>
      <c r="H33" s="92"/>
      <c r="I33" s="92"/>
      <c r="J33" s="137">
        <v>10028.0</v>
      </c>
      <c r="K33" s="24"/>
      <c r="L33" s="104">
        <f t="shared" ref="L33:M33" si="2">sum(L10:L32)</f>
        <v>0</v>
      </c>
      <c r="M33" s="104">
        <f t="shared" si="2"/>
        <v>165</v>
      </c>
      <c r="N33" s="104"/>
      <c r="O33" s="105"/>
      <c r="P33" s="85" t="s">
        <v>38</v>
      </c>
      <c r="Q33" s="51"/>
      <c r="R33" s="100"/>
      <c r="S33" s="52">
        <v>16906.0</v>
      </c>
      <c r="T33" s="101"/>
      <c r="U33" s="55"/>
      <c r="V33" s="24"/>
      <c r="W33" s="104">
        <f t="shared" ref="W33:X33" si="3">sum(W10:W32)</f>
        <v>154</v>
      </c>
      <c r="X33" s="104">
        <f t="shared" si="3"/>
        <v>0</v>
      </c>
      <c r="Y33" s="104">
        <f>W33+X33</f>
        <v>154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273.0</v>
      </c>
      <c r="G34" s="93"/>
      <c r="H34" s="92"/>
      <c r="I34" s="93">
        <v>273.0</v>
      </c>
      <c r="J34" s="137">
        <v>10029.0</v>
      </c>
      <c r="K34" s="24"/>
      <c r="L34" s="106"/>
      <c r="M34" s="106"/>
      <c r="N34" s="106"/>
      <c r="O34" s="106"/>
      <c r="P34" s="85" t="s">
        <v>40</v>
      </c>
      <c r="Q34" s="107"/>
      <c r="R34" s="144">
        <v>3500.0</v>
      </c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887.0</v>
      </c>
      <c r="G35" s="93">
        <v>887.0</v>
      </c>
      <c r="H35" s="93"/>
      <c r="I35" s="92"/>
      <c r="J35" s="137">
        <v>10030.0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169.0</v>
      </c>
      <c r="G36" s="93">
        <v>169.0</v>
      </c>
      <c r="H36" s="93"/>
      <c r="I36" s="92"/>
      <c r="J36" s="137">
        <v>10031.0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149.0</v>
      </c>
      <c r="G37" s="93"/>
      <c r="H37" s="143">
        <v>149.0</v>
      </c>
      <c r="I37" s="92"/>
      <c r="J37" s="137">
        <v>10032.0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399.0</v>
      </c>
      <c r="G38" s="93">
        <v>399.0</v>
      </c>
      <c r="H38" s="92"/>
      <c r="I38" s="92"/>
      <c r="J38" s="137">
        <v>10033.0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399.0</v>
      </c>
      <c r="G39" s="93"/>
      <c r="H39" s="143">
        <v>399.0</v>
      </c>
      <c r="I39" s="92"/>
      <c r="J39" s="137">
        <v>10034.0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2148.0</v>
      </c>
      <c r="G40" s="92"/>
      <c r="H40" s="143">
        <v>2148.0</v>
      </c>
      <c r="I40" s="92"/>
      <c r="J40" s="137">
        <v>10035.0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202.0</v>
      </c>
      <c r="G41" s="93">
        <v>202.0</v>
      </c>
      <c r="H41" s="93"/>
      <c r="I41" s="92"/>
      <c r="J41" s="137">
        <v>10036.0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1081.0</v>
      </c>
      <c r="G42" s="93">
        <v>1081.0</v>
      </c>
      <c r="H42" s="93"/>
      <c r="I42" s="92"/>
      <c r="J42" s="137">
        <v>10037.0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40.0</v>
      </c>
      <c r="G43" s="93">
        <v>40.0</v>
      </c>
      <c r="H43" s="92"/>
      <c r="I43" s="92"/>
      <c r="J43" s="137">
        <v>10038.0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600.0</v>
      </c>
      <c r="G44" s="92"/>
      <c r="H44" s="143">
        <v>600.0</v>
      </c>
      <c r="I44" s="92"/>
      <c r="J44" s="137">
        <v>10039.0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888.0</v>
      </c>
      <c r="G45" s="93">
        <v>888.0</v>
      </c>
      <c r="H45" s="92"/>
      <c r="I45" s="92"/>
      <c r="J45" s="137">
        <v>10040.0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399.0</v>
      </c>
      <c r="G46" s="93"/>
      <c r="H46" s="92"/>
      <c r="I46" s="93">
        <v>399.0</v>
      </c>
      <c r="J46" s="137" t="s">
        <v>187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399.0</v>
      </c>
      <c r="G47" s="93">
        <v>399.0</v>
      </c>
      <c r="H47" s="93"/>
      <c r="I47" s="92"/>
      <c r="J47" s="137">
        <v>10042.0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279.0</v>
      </c>
      <c r="G48" s="92"/>
      <c r="H48" s="143">
        <v>279.0</v>
      </c>
      <c r="I48" s="92"/>
      <c r="J48" s="137">
        <v>10043.0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1398.0</v>
      </c>
      <c r="G49" s="93">
        <v>1398.0</v>
      </c>
      <c r="H49" s="92"/>
      <c r="I49" s="92"/>
      <c r="J49" s="137">
        <v>10044.0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277.0</v>
      </c>
      <c r="G50" s="92"/>
      <c r="H50" s="143">
        <v>277.0</v>
      </c>
      <c r="I50" s="92"/>
      <c r="J50" s="137">
        <v>10045.0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91.0</v>
      </c>
      <c r="G51" s="92"/>
      <c r="H51" s="143">
        <v>91.0</v>
      </c>
      <c r="I51" s="92"/>
      <c r="J51" s="137">
        <v>10046.0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46.0</v>
      </c>
      <c r="G52" s="93">
        <v>46.0</v>
      </c>
      <c r="H52" s="92"/>
      <c r="I52" s="92"/>
      <c r="J52" s="137">
        <v>10047.0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399.0</v>
      </c>
      <c r="G53" s="93"/>
      <c r="H53" s="92"/>
      <c r="I53" s="93">
        <v>399.0</v>
      </c>
      <c r="J53" s="137" t="s">
        <v>188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91.0</v>
      </c>
      <c r="G54" s="92"/>
      <c r="H54" s="143">
        <v>91.0</v>
      </c>
      <c r="I54" s="92"/>
      <c r="J54" s="137">
        <v>10049.0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379.0</v>
      </c>
      <c r="G55" s="93">
        <v>379.0</v>
      </c>
      <c r="H55" s="92"/>
      <c r="I55" s="92"/>
      <c r="J55" s="137">
        <v>10050.0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94.0</v>
      </c>
      <c r="G56" s="92"/>
      <c r="H56" s="143">
        <v>94.0</v>
      </c>
      <c r="I56" s="92"/>
      <c r="J56" s="137">
        <v>10051.0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422.0</v>
      </c>
      <c r="G57" s="93">
        <v>422.0</v>
      </c>
      <c r="H57" s="92"/>
      <c r="I57" s="92"/>
      <c r="J57" s="137">
        <v>10052.0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125.0</v>
      </c>
      <c r="G58" s="93">
        <v>125.0</v>
      </c>
      <c r="H58" s="92"/>
      <c r="I58" s="92"/>
      <c r="J58" s="137">
        <v>10053.0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152.0</v>
      </c>
      <c r="G59" s="92"/>
      <c r="H59" s="143">
        <v>152.0</v>
      </c>
      <c r="I59" s="92"/>
      <c r="J59" s="137">
        <v>10054.0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1345.0</v>
      </c>
      <c r="G60" s="93">
        <v>1345.0</v>
      </c>
      <c r="H60" s="92"/>
      <c r="I60" s="92"/>
      <c r="J60" s="137">
        <v>10055.0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245.0</v>
      </c>
      <c r="G61" s="93">
        <v>245.0</v>
      </c>
      <c r="H61" s="92"/>
      <c r="I61" s="92"/>
      <c r="J61" s="137">
        <v>10056.0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132.0</v>
      </c>
      <c r="G62" s="93">
        <v>132.0</v>
      </c>
      <c r="H62" s="92"/>
      <c r="I62" s="92"/>
      <c r="J62" s="137">
        <v>10057.0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2384.0</v>
      </c>
      <c r="G63" s="93"/>
      <c r="H63" s="92"/>
      <c r="I63" s="93">
        <v>2384.0</v>
      </c>
      <c r="J63" s="137">
        <v>10058.0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62.0</v>
      </c>
      <c r="G64" s="93">
        <v>62.0</v>
      </c>
      <c r="H64" s="92"/>
      <c r="I64" s="92"/>
      <c r="J64" s="137">
        <v>10059.0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695.0</v>
      </c>
      <c r="G65" s="92"/>
      <c r="H65" s="143">
        <v>695.0</v>
      </c>
      <c r="I65" s="92"/>
      <c r="J65" s="137">
        <v>10060.0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55.0</v>
      </c>
      <c r="G66" s="92"/>
      <c r="H66" s="143">
        <v>55.0</v>
      </c>
      <c r="I66" s="92"/>
      <c r="J66" s="137">
        <v>10061.0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911.0</v>
      </c>
      <c r="G67" s="93">
        <v>911.0</v>
      </c>
      <c r="H67" s="92"/>
      <c r="I67" s="92"/>
      <c r="J67" s="137">
        <v>10062.0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192.0</v>
      </c>
      <c r="G68" s="93">
        <v>192.0</v>
      </c>
      <c r="H68" s="92"/>
      <c r="I68" s="92"/>
      <c r="J68" s="137">
        <v>10063.0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423.0</v>
      </c>
      <c r="G69" s="93"/>
      <c r="H69" s="92"/>
      <c r="I69" s="93">
        <v>423.0</v>
      </c>
      <c r="J69" s="137">
        <v>10064.0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705.0</v>
      </c>
      <c r="G70" s="93"/>
      <c r="H70" s="93">
        <v>705.0</v>
      </c>
      <c r="I70" s="92"/>
      <c r="J70" s="137" t="s">
        <v>189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56">
        <v>1815.0</v>
      </c>
      <c r="G71" s="93"/>
      <c r="H71" s="93">
        <v>1815.0</v>
      </c>
      <c r="I71" s="92"/>
      <c r="J71" s="137" t="s">
        <v>190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56">
        <v>73.0</v>
      </c>
      <c r="G72" s="93">
        <v>73.0</v>
      </c>
      <c r="H72" s="92"/>
      <c r="I72" s="92"/>
      <c r="J72" s="137">
        <v>10067.0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56">
        <v>314.0</v>
      </c>
      <c r="G73" s="93"/>
      <c r="H73" s="92"/>
      <c r="I73" s="93">
        <v>314.0</v>
      </c>
      <c r="J73" s="137">
        <v>10068.0</v>
      </c>
      <c r="K73" s="24"/>
      <c r="L73" s="112"/>
      <c r="M73" s="112"/>
      <c r="N73" s="112"/>
      <c r="O73" s="112"/>
      <c r="P73" s="117">
        <v>22812.0</v>
      </c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56">
        <v>1195.0</v>
      </c>
      <c r="G74" s="93">
        <v>1195.0</v>
      </c>
      <c r="H74" s="92"/>
      <c r="I74" s="92"/>
      <c r="J74" s="137">
        <v>10069.0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56">
        <v>106.0</v>
      </c>
      <c r="G75" s="93">
        <v>106.0</v>
      </c>
      <c r="H75" s="92"/>
      <c r="I75" s="92"/>
      <c r="J75" s="137">
        <v>10070.0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56">
        <v>399.0</v>
      </c>
      <c r="G76" s="93"/>
      <c r="H76" s="92"/>
      <c r="I76" s="93">
        <v>399.0</v>
      </c>
      <c r="J76" s="137">
        <v>10071.0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56">
        <v>62.0</v>
      </c>
      <c r="G77" s="93">
        <v>62.0</v>
      </c>
      <c r="H77" s="92"/>
      <c r="I77" s="92"/>
      <c r="J77" s="137">
        <v>10072.0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56">
        <v>864.0</v>
      </c>
      <c r="G78" s="93"/>
      <c r="H78" s="92"/>
      <c r="I78" s="93">
        <v>864.0</v>
      </c>
      <c r="J78" s="137">
        <v>10073.0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56">
        <v>193.0</v>
      </c>
      <c r="G79" s="92"/>
      <c r="H79" s="143">
        <v>193.0</v>
      </c>
      <c r="I79" s="92"/>
      <c r="J79" s="137">
        <v>10074.0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56">
        <v>67.0</v>
      </c>
      <c r="G80" s="92"/>
      <c r="H80" s="143">
        <v>67.0</v>
      </c>
      <c r="I80" s="92"/>
      <c r="J80" s="137">
        <v>10075.0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56">
        <v>659.0</v>
      </c>
      <c r="G81" s="92"/>
      <c r="H81" s="143">
        <v>659.0</v>
      </c>
      <c r="I81" s="92"/>
      <c r="J81" s="137">
        <v>10076.0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49">
        <v>145.0</v>
      </c>
      <c r="G82" s="61"/>
      <c r="H82" s="143">
        <v>145.0</v>
      </c>
      <c r="I82" s="61"/>
      <c r="J82" s="137">
        <v>10077.0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49">
        <v>229.0</v>
      </c>
      <c r="G83" s="54">
        <v>229.0</v>
      </c>
      <c r="H83" s="61"/>
      <c r="I83" s="61"/>
      <c r="J83" s="137">
        <v>10078.0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49">
        <v>105.0</v>
      </c>
      <c r="G84" s="54">
        <v>100.0</v>
      </c>
      <c r="H84" s="143">
        <v>5.0</v>
      </c>
      <c r="I84" s="61"/>
      <c r="J84" s="137">
        <v>10079.0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49">
        <v>121.0</v>
      </c>
      <c r="G85" s="61"/>
      <c r="H85" s="143">
        <v>121.0</v>
      </c>
      <c r="I85" s="61"/>
      <c r="J85" s="137">
        <v>10080.0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49">
        <v>115.0</v>
      </c>
      <c r="G86" s="54"/>
      <c r="H86" s="61"/>
      <c r="I86" s="54">
        <v>115.0</v>
      </c>
      <c r="J86" s="137">
        <v>10081.0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49">
        <v>399.0</v>
      </c>
      <c r="G87" s="61"/>
      <c r="H87" s="143">
        <v>399.0</v>
      </c>
      <c r="I87" s="61"/>
      <c r="J87" s="137">
        <v>10082.0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49">
        <v>799.0</v>
      </c>
      <c r="G88" s="61"/>
      <c r="H88" s="61"/>
      <c r="I88" s="54">
        <v>799.0</v>
      </c>
      <c r="J88" s="137">
        <v>10083.0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49">
        <v>799.0</v>
      </c>
      <c r="G89" s="61"/>
      <c r="H89" s="61"/>
      <c r="I89" s="54">
        <v>799.0</v>
      </c>
      <c r="J89" s="137">
        <v>10084.0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49">
        <v>799.0</v>
      </c>
      <c r="G90" s="61"/>
      <c r="H90" s="61"/>
      <c r="I90" s="54">
        <v>799.0</v>
      </c>
      <c r="J90" s="137">
        <v>10085.0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49">
        <v>399.0</v>
      </c>
      <c r="G91" s="61"/>
      <c r="H91" s="61"/>
      <c r="I91" s="54">
        <v>399.0</v>
      </c>
      <c r="J91" s="137">
        <v>10086.0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49">
        <v>2277.0</v>
      </c>
      <c r="G92" s="61"/>
      <c r="H92" s="61"/>
      <c r="I92" s="54">
        <v>2277.0</v>
      </c>
      <c r="J92" s="137">
        <v>10087.0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137">
        <v>10088.0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137">
        <v>10089.0</v>
      </c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137">
        <v>10090.0</v>
      </c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137">
        <v>10091.0</v>
      </c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41457</v>
      </c>
      <c r="G97" s="123">
        <f t="shared" si="4"/>
        <v>17561</v>
      </c>
      <c r="H97" s="123">
        <f t="shared" si="4"/>
        <v>13253</v>
      </c>
      <c r="I97" s="123">
        <f t="shared" si="4"/>
        <v>10643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32">
        <v>45980.0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113623.0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13418.0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66691.0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30516.82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13622.82</v>
      </c>
      <c r="D10" s="24"/>
      <c r="E10" s="43">
        <v>1.0</v>
      </c>
      <c r="F10" s="44">
        <v>287.0</v>
      </c>
      <c r="G10" s="45"/>
      <c r="H10" s="45">
        <v>287.0</v>
      </c>
      <c r="I10" s="45"/>
      <c r="J10" s="137">
        <v>10088.0</v>
      </c>
      <c r="K10" s="24"/>
      <c r="L10" s="47">
        <v>399.0</v>
      </c>
      <c r="M10" s="47"/>
      <c r="N10" s="48">
        <v>9826.0</v>
      </c>
      <c r="O10" s="49"/>
      <c r="P10" s="85" t="s">
        <v>109</v>
      </c>
      <c r="Q10" s="51"/>
      <c r="R10" s="52">
        <v>100.0</v>
      </c>
      <c r="S10" s="53"/>
      <c r="T10" s="54"/>
      <c r="U10" s="55"/>
      <c r="V10" s="24"/>
      <c r="W10" s="47">
        <v>933.18</v>
      </c>
      <c r="X10" s="47"/>
      <c r="Y10" s="47">
        <v>137.0</v>
      </c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15922</v>
      </c>
      <c r="D11" s="24"/>
      <c r="E11" s="43">
        <v>2.0</v>
      </c>
      <c r="F11" s="56">
        <v>109.0</v>
      </c>
      <c r="G11" s="57">
        <v>109.0</v>
      </c>
      <c r="H11" s="58"/>
      <c r="I11" s="59"/>
      <c r="J11" s="137">
        <v>10089.0</v>
      </c>
      <c r="K11" s="24"/>
      <c r="L11" s="47">
        <v>399.0</v>
      </c>
      <c r="M11" s="48"/>
      <c r="N11" s="47">
        <v>9827.0</v>
      </c>
      <c r="O11" s="49"/>
      <c r="P11" s="72" t="s">
        <v>191</v>
      </c>
      <c r="Q11" s="51"/>
      <c r="R11" s="52">
        <v>890.0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1560</v>
      </c>
      <c r="D12" s="24"/>
      <c r="E12" s="43">
        <v>3.0</v>
      </c>
      <c r="F12" s="63">
        <v>5363.0</v>
      </c>
      <c r="G12" s="64"/>
      <c r="H12" s="64">
        <v>5363.0</v>
      </c>
      <c r="I12" s="65"/>
      <c r="J12" s="137">
        <v>10090.0</v>
      </c>
      <c r="K12" s="24"/>
      <c r="L12" s="47">
        <v>399.0</v>
      </c>
      <c r="M12" s="48"/>
      <c r="N12" s="47">
        <v>9828.0</v>
      </c>
      <c r="O12" s="49"/>
      <c r="P12" s="72" t="s">
        <v>192</v>
      </c>
      <c r="Q12" s="51"/>
      <c r="R12" s="52">
        <v>25000.0</v>
      </c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2864</v>
      </c>
      <c r="D13" s="24"/>
      <c r="E13" s="43">
        <v>4.0</v>
      </c>
      <c r="F13" s="56">
        <v>341.0</v>
      </c>
      <c r="G13" s="64">
        <v>341.0</v>
      </c>
      <c r="H13" s="65"/>
      <c r="I13" s="65"/>
      <c r="J13" s="137">
        <v>10091.0</v>
      </c>
      <c r="K13" s="24"/>
      <c r="L13" s="48"/>
      <c r="M13" s="47">
        <v>1011.0</v>
      </c>
      <c r="N13" s="48">
        <v>9941.0</v>
      </c>
      <c r="O13" s="49"/>
      <c r="P13" s="72" t="s">
        <v>193</v>
      </c>
      <c r="Q13" s="51"/>
      <c r="R13" s="52">
        <v>7856.0</v>
      </c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2695</v>
      </c>
      <c r="D14" s="24"/>
      <c r="E14" s="43">
        <v>5.0</v>
      </c>
      <c r="F14" s="56">
        <v>725.0</v>
      </c>
      <c r="G14" s="64">
        <v>725.0</v>
      </c>
      <c r="H14" s="65"/>
      <c r="I14" s="65"/>
      <c r="J14" s="137">
        <v>10092.0</v>
      </c>
      <c r="K14" s="24"/>
      <c r="L14" s="47">
        <v>672.0</v>
      </c>
      <c r="M14" s="48"/>
      <c r="N14" s="47">
        <v>9672.0</v>
      </c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933.18</v>
      </c>
      <c r="D15" s="24"/>
      <c r="E15" s="43">
        <v>6.0</v>
      </c>
      <c r="F15" s="56">
        <v>211.0</v>
      </c>
      <c r="G15" s="64">
        <v>211.0</v>
      </c>
      <c r="H15" s="64"/>
      <c r="I15" s="65"/>
      <c r="J15" s="137">
        <v>10093.0</v>
      </c>
      <c r="K15" s="24"/>
      <c r="L15" s="47"/>
      <c r="M15" s="48"/>
      <c r="N15" s="47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33846</v>
      </c>
      <c r="D16" s="24"/>
      <c r="E16" s="43">
        <v>7.0</v>
      </c>
      <c r="F16" s="56">
        <v>60.0</v>
      </c>
      <c r="G16" s="64">
        <v>60.0</v>
      </c>
      <c r="H16" s="64"/>
      <c r="I16" s="65"/>
      <c r="J16" s="137">
        <v>10094.0</v>
      </c>
      <c r="K16" s="24"/>
      <c r="L16" s="47">
        <v>700.0</v>
      </c>
      <c r="M16" s="47">
        <v>1684.0</v>
      </c>
      <c r="N16" s="48">
        <v>10058.0</v>
      </c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33846</v>
      </c>
      <c r="D17" s="24"/>
      <c r="E17" s="43">
        <v>8.0</v>
      </c>
      <c r="F17" s="56">
        <v>40.0</v>
      </c>
      <c r="G17" s="64">
        <v>40.0</v>
      </c>
      <c r="H17" s="64"/>
      <c r="I17" s="65"/>
      <c r="J17" s="137">
        <v>10095.0</v>
      </c>
      <c r="K17" s="24"/>
      <c r="L17" s="47">
        <v>295.0</v>
      </c>
      <c r="M17" s="48"/>
      <c r="N17" s="48">
        <v>9577.0</v>
      </c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108.0</v>
      </c>
      <c r="G18" s="64">
        <v>108.0</v>
      </c>
      <c r="H18" s="64"/>
      <c r="I18" s="65"/>
      <c r="J18" s="137">
        <v>10096.0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400.0</v>
      </c>
      <c r="G19" s="64"/>
      <c r="H19" s="64">
        <v>400.0</v>
      </c>
      <c r="I19" s="65"/>
      <c r="J19" s="137">
        <v>10097.0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62692</v>
      </c>
      <c r="D20" s="24"/>
      <c r="E20" s="43">
        <v>11.0</v>
      </c>
      <c r="F20" s="56">
        <v>136.0</v>
      </c>
      <c r="G20" s="64">
        <v>136.0</v>
      </c>
      <c r="H20" s="64"/>
      <c r="I20" s="65"/>
      <c r="J20" s="137">
        <v>10098.0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18617</v>
      </c>
      <c r="D21" s="24"/>
      <c r="E21" s="43">
        <v>12.0</v>
      </c>
      <c r="F21" s="56">
        <v>546.0</v>
      </c>
      <c r="G21" s="64"/>
      <c r="H21" s="64">
        <v>546.0</v>
      </c>
      <c r="I21" s="65"/>
      <c r="J21" s="137">
        <v>10099.0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11263.82</v>
      </c>
      <c r="D22" s="24"/>
      <c r="E22" s="43">
        <v>13.0</v>
      </c>
      <c r="F22" s="56">
        <v>256.0</v>
      </c>
      <c r="G22" s="64"/>
      <c r="H22" s="64"/>
      <c r="I22" s="64">
        <v>256.0</v>
      </c>
      <c r="J22" s="137" t="s">
        <v>194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41">
        <v>14956.0</v>
      </c>
      <c r="D23" s="24"/>
      <c r="E23" s="43">
        <v>14.0</v>
      </c>
      <c r="F23" s="56">
        <v>967.0</v>
      </c>
      <c r="G23" s="65"/>
      <c r="H23" s="64">
        <v>967.0</v>
      </c>
      <c r="I23" s="65"/>
      <c r="J23" s="137">
        <v>10101.0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-3692.18</v>
      </c>
      <c r="D24" s="24"/>
      <c r="E24" s="43">
        <v>15.0</v>
      </c>
      <c r="F24" s="56">
        <v>149.0</v>
      </c>
      <c r="G24" s="64"/>
      <c r="H24" s="64">
        <v>149.0</v>
      </c>
      <c r="I24" s="65"/>
      <c r="J24" s="137">
        <v>10102.0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463.0</v>
      </c>
      <c r="G25" s="64">
        <v>463.0</v>
      </c>
      <c r="H25" s="65"/>
      <c r="I25" s="65"/>
      <c r="J25" s="137">
        <v>10103.0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31450</v>
      </c>
      <c r="D26" s="24"/>
      <c r="E26" s="43">
        <v>17.0</v>
      </c>
      <c r="F26" s="56">
        <v>474.0</v>
      </c>
      <c r="G26" s="64">
        <v>474.0</v>
      </c>
      <c r="H26" s="65"/>
      <c r="I26" s="65"/>
      <c r="J26" s="137">
        <v>10104.0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85.0</v>
      </c>
      <c r="D27" s="24"/>
      <c r="E27" s="43">
        <v>18.0</v>
      </c>
      <c r="F27" s="56">
        <v>607.0</v>
      </c>
      <c r="G27" s="64">
        <v>607.0</v>
      </c>
      <c r="H27" s="65"/>
      <c r="I27" s="65"/>
      <c r="J27" s="137">
        <v>10105.0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370</v>
      </c>
      <c r="D28" s="24"/>
      <c r="E28" s="43">
        <v>19.0</v>
      </c>
      <c r="F28" s="56">
        <v>261.0</v>
      </c>
      <c r="G28" s="64">
        <v>261.0</v>
      </c>
      <c r="H28" s="65"/>
      <c r="I28" s="65"/>
      <c r="J28" s="137">
        <v>10106.0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60.0</v>
      </c>
      <c r="G29" s="64">
        <v>60.0</v>
      </c>
      <c r="H29" s="65"/>
      <c r="I29" s="65"/>
      <c r="J29" s="137">
        <v>10107.0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>
        <f>R32</f>
        <v>81500</v>
      </c>
      <c r="D30" s="24"/>
      <c r="E30" s="43">
        <v>21.0</v>
      </c>
      <c r="F30" s="56">
        <v>878.0</v>
      </c>
      <c r="G30" s="93">
        <v>878.0</v>
      </c>
      <c r="H30" s="92"/>
      <c r="I30" s="93"/>
      <c r="J30" s="137">
        <v>10108.0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>
        <f>S33</f>
        <v>13418</v>
      </c>
      <c r="D31" s="24"/>
      <c r="E31" s="43">
        <v>22.0</v>
      </c>
      <c r="F31" s="56">
        <v>169.0</v>
      </c>
      <c r="G31" s="93"/>
      <c r="H31" s="93">
        <v>169.0</v>
      </c>
      <c r="I31" s="92"/>
      <c r="J31" s="137">
        <v>10109.0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33846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>
        <f>R34</f>
        <v>3500</v>
      </c>
      <c r="D32" s="24"/>
      <c r="E32" s="43">
        <v>23.0</v>
      </c>
      <c r="F32" s="56">
        <v>76.0</v>
      </c>
      <c r="G32" s="93">
        <v>76.0</v>
      </c>
      <c r="H32" s="92"/>
      <c r="I32" s="92"/>
      <c r="J32" s="137">
        <v>10110.0</v>
      </c>
      <c r="K32" s="24"/>
      <c r="L32" s="48"/>
      <c r="M32" s="48"/>
      <c r="N32" s="48"/>
      <c r="O32" s="98"/>
      <c r="P32" s="90" t="s">
        <v>37</v>
      </c>
      <c r="Q32" s="51"/>
      <c r="R32" s="99">
        <v>81500.0</v>
      </c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125.0</v>
      </c>
      <c r="G33" s="93"/>
      <c r="H33" s="93">
        <v>125.0</v>
      </c>
      <c r="I33" s="92"/>
      <c r="J33" s="137">
        <v>10111.0</v>
      </c>
      <c r="K33" s="24"/>
      <c r="L33" s="104">
        <f t="shared" ref="L33:M33" si="2">sum(L10:L32)</f>
        <v>2864</v>
      </c>
      <c r="M33" s="104">
        <f t="shared" si="2"/>
        <v>2695</v>
      </c>
      <c r="N33" s="104"/>
      <c r="O33" s="105"/>
      <c r="P33" s="85" t="s">
        <v>38</v>
      </c>
      <c r="Q33" s="51"/>
      <c r="R33" s="100"/>
      <c r="S33" s="52">
        <v>13418.0</v>
      </c>
      <c r="T33" s="101"/>
      <c r="U33" s="55"/>
      <c r="V33" s="24"/>
      <c r="W33" s="104">
        <f t="shared" ref="W33:X33" si="3">sum(W10:W32)</f>
        <v>933.18</v>
      </c>
      <c r="X33" s="104">
        <f t="shared" si="3"/>
        <v>0</v>
      </c>
      <c r="Y33" s="104">
        <f>W33+X33</f>
        <v>933.18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513.0</v>
      </c>
      <c r="G34" s="93"/>
      <c r="H34" s="93">
        <v>513.0</v>
      </c>
      <c r="I34" s="92"/>
      <c r="J34" s="137">
        <v>10112.0</v>
      </c>
      <c r="K34" s="24"/>
      <c r="L34" s="106"/>
      <c r="M34" s="106"/>
      <c r="N34" s="106"/>
      <c r="O34" s="106"/>
      <c r="P34" s="85" t="s">
        <v>40</v>
      </c>
      <c r="Q34" s="107"/>
      <c r="R34" s="144">
        <v>3500.0</v>
      </c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277.0</v>
      </c>
      <c r="G35" s="92"/>
      <c r="H35" s="93">
        <v>277.0</v>
      </c>
      <c r="I35" s="92"/>
      <c r="J35" s="137">
        <v>10113.0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124.0</v>
      </c>
      <c r="G36" s="92"/>
      <c r="H36" s="93">
        <v>124.0</v>
      </c>
      <c r="I36" s="92"/>
      <c r="J36" s="137">
        <v>10114.0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74.0</v>
      </c>
      <c r="G37" s="93">
        <v>74.0</v>
      </c>
      <c r="H37" s="92"/>
      <c r="I37" s="92"/>
      <c r="J37" s="137">
        <v>10115.0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222.0</v>
      </c>
      <c r="G38" s="93">
        <v>222.0</v>
      </c>
      <c r="H38" s="92"/>
      <c r="I38" s="92"/>
      <c r="J38" s="137">
        <v>10116.0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90.0</v>
      </c>
      <c r="G39" s="93">
        <v>90.0</v>
      </c>
      <c r="H39" s="93"/>
      <c r="I39" s="92"/>
      <c r="J39" s="137">
        <v>10117.0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251.0</v>
      </c>
      <c r="G40" s="92"/>
      <c r="H40" s="93">
        <v>251.0</v>
      </c>
      <c r="I40" s="92"/>
      <c r="J40" s="137">
        <v>10118.0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147.0</v>
      </c>
      <c r="G41" s="92"/>
      <c r="H41" s="93">
        <v>147.0</v>
      </c>
      <c r="I41" s="92"/>
      <c r="J41" s="137">
        <v>10119.0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937.0</v>
      </c>
      <c r="G42" s="93">
        <v>937.0</v>
      </c>
      <c r="H42" s="93"/>
      <c r="I42" s="92"/>
      <c r="J42" s="137">
        <v>10120.0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936.0</v>
      </c>
      <c r="G43" s="93"/>
      <c r="H43" s="93">
        <v>936.0</v>
      </c>
      <c r="I43" s="92"/>
      <c r="J43" s="137">
        <v>10121.0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46.0</v>
      </c>
      <c r="G44" s="92"/>
      <c r="H44" s="93">
        <v>46.0</v>
      </c>
      <c r="I44" s="92"/>
      <c r="J44" s="137">
        <v>10122.0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575.0</v>
      </c>
      <c r="G45" s="93"/>
      <c r="H45" s="93">
        <v>575.0</v>
      </c>
      <c r="I45" s="92"/>
      <c r="J45" s="137">
        <v>10123.0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111.0</v>
      </c>
      <c r="G46" s="93">
        <v>111.0</v>
      </c>
      <c r="H46" s="92"/>
      <c r="I46" s="92"/>
      <c r="J46" s="137">
        <v>10124.0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102.0</v>
      </c>
      <c r="G47" s="92"/>
      <c r="H47" s="93">
        <v>102.0</v>
      </c>
      <c r="I47" s="92"/>
      <c r="J47" s="137">
        <v>10125.0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228.0</v>
      </c>
      <c r="G48" s="93">
        <v>228.0</v>
      </c>
      <c r="H48" s="92"/>
      <c r="I48" s="92"/>
      <c r="J48" s="137">
        <v>10126.0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169.0</v>
      </c>
      <c r="G49" s="92"/>
      <c r="H49" s="93">
        <v>169.0</v>
      </c>
      <c r="I49" s="92"/>
      <c r="J49" s="137">
        <v>10127.0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122.0</v>
      </c>
      <c r="G50" s="93">
        <v>122.0</v>
      </c>
      <c r="H50" s="93"/>
      <c r="I50" s="92"/>
      <c r="J50" s="137">
        <v>10128.0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220.0</v>
      </c>
      <c r="G51" s="93">
        <v>220.0</v>
      </c>
      <c r="H51" s="92"/>
      <c r="I51" s="92"/>
      <c r="J51" s="137">
        <v>10129.0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102.0</v>
      </c>
      <c r="G52" s="93">
        <v>102.0</v>
      </c>
      <c r="H52" s="92"/>
      <c r="I52" s="92"/>
      <c r="J52" s="137">
        <v>10130.0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114.0</v>
      </c>
      <c r="G53" s="93">
        <v>114.0</v>
      </c>
      <c r="H53" s="92"/>
      <c r="I53" s="92"/>
      <c r="J53" s="137">
        <v>10131.0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318.0</v>
      </c>
      <c r="G54" s="93">
        <v>318.0</v>
      </c>
      <c r="H54" s="92"/>
      <c r="I54" s="92"/>
      <c r="J54" s="137">
        <v>10132.0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150.0</v>
      </c>
      <c r="G55" s="93">
        <v>150.0</v>
      </c>
      <c r="H55" s="92"/>
      <c r="I55" s="92"/>
      <c r="J55" s="137">
        <v>10133.0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546.0</v>
      </c>
      <c r="G56" s="93">
        <v>546.0</v>
      </c>
      <c r="H56" s="92"/>
      <c r="I56" s="92"/>
      <c r="J56" s="137">
        <v>10134.0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136.0</v>
      </c>
      <c r="G57" s="93">
        <v>136.0</v>
      </c>
      <c r="H57" s="92"/>
      <c r="I57" s="92"/>
      <c r="J57" s="137">
        <v>10135.0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149.0</v>
      </c>
      <c r="G58" s="92"/>
      <c r="H58" s="93">
        <v>149.0</v>
      </c>
      <c r="I58" s="92"/>
      <c r="J58" s="137">
        <v>10136.0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1003.0</v>
      </c>
      <c r="G59" s="92"/>
      <c r="H59" s="93">
        <v>1003.0</v>
      </c>
      <c r="I59" s="92"/>
      <c r="J59" s="137">
        <v>10137.0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40.0</v>
      </c>
      <c r="G60" s="93">
        <v>40.0</v>
      </c>
      <c r="H60" s="92"/>
      <c r="I60" s="92"/>
      <c r="J60" s="137">
        <v>10138.0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64.0</v>
      </c>
      <c r="G61" s="93">
        <v>64.0</v>
      </c>
      <c r="H61" s="92"/>
      <c r="I61" s="92"/>
      <c r="J61" s="137">
        <v>10139.0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40.0</v>
      </c>
      <c r="G62" s="93">
        <v>40.0</v>
      </c>
      <c r="H62" s="92"/>
      <c r="I62" s="92"/>
      <c r="J62" s="137">
        <v>10140.0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249.0</v>
      </c>
      <c r="G63" s="93"/>
      <c r="H63" s="145">
        <v>249.0</v>
      </c>
      <c r="I63" s="92"/>
      <c r="J63" s="146" t="s">
        <v>195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103.0</v>
      </c>
      <c r="G64" s="92"/>
      <c r="H64" s="93">
        <v>103.0</v>
      </c>
      <c r="I64" s="92"/>
      <c r="J64" s="137">
        <v>10142.0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71.0</v>
      </c>
      <c r="G65" s="93">
        <v>71.0</v>
      </c>
      <c r="H65" s="92"/>
      <c r="I65" s="92"/>
      <c r="J65" s="137">
        <v>10143.0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355.0</v>
      </c>
      <c r="G66" s="93">
        <v>355.0</v>
      </c>
      <c r="H66" s="92"/>
      <c r="I66" s="92"/>
      <c r="J66" s="137">
        <v>10144.0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49.0</v>
      </c>
      <c r="G67" s="93">
        <v>49.0</v>
      </c>
      <c r="H67" s="92"/>
      <c r="I67" s="92"/>
      <c r="J67" s="137">
        <v>10145.0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629.0</v>
      </c>
      <c r="G68" s="93">
        <v>629.0</v>
      </c>
      <c r="H68" s="92"/>
      <c r="I68" s="92"/>
      <c r="J68" s="137">
        <v>10146.0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348.0</v>
      </c>
      <c r="G69" s="92"/>
      <c r="H69" s="93">
        <v>348.0</v>
      </c>
      <c r="I69" s="92"/>
      <c r="J69" s="137">
        <v>10147.0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512.0</v>
      </c>
      <c r="G70" s="93">
        <v>512.0</v>
      </c>
      <c r="H70" s="92"/>
      <c r="I70" s="92"/>
      <c r="J70" s="137">
        <v>10148.0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56">
        <v>134.0</v>
      </c>
      <c r="G71" s="92"/>
      <c r="H71" s="93">
        <v>134.0</v>
      </c>
      <c r="I71" s="92"/>
      <c r="J71" s="137">
        <v>10149.0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56">
        <v>181.0</v>
      </c>
      <c r="G72" s="93">
        <v>181.0</v>
      </c>
      <c r="H72" s="92"/>
      <c r="I72" s="92"/>
      <c r="J72" s="137">
        <v>10150.0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56">
        <v>38.0</v>
      </c>
      <c r="G73" s="93">
        <v>38.0</v>
      </c>
      <c r="H73" s="92"/>
      <c r="I73" s="92"/>
      <c r="J73" s="137">
        <v>10151.0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56">
        <v>96.0</v>
      </c>
      <c r="G74" s="93">
        <v>96.0</v>
      </c>
      <c r="H74" s="92"/>
      <c r="I74" s="92"/>
      <c r="J74" s="137">
        <v>10152.0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56">
        <v>191.0</v>
      </c>
      <c r="G75" s="93">
        <v>191.0</v>
      </c>
      <c r="H75" s="92"/>
      <c r="I75" s="92"/>
      <c r="J75" s="137">
        <v>10153.0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56">
        <v>235.0</v>
      </c>
      <c r="G76" s="93">
        <v>235.0</v>
      </c>
      <c r="H76" s="92"/>
      <c r="I76" s="92"/>
      <c r="J76" s="137">
        <v>10154.0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56">
        <v>217.0</v>
      </c>
      <c r="G77" s="93">
        <v>217.0</v>
      </c>
      <c r="H77" s="92"/>
      <c r="I77" s="92"/>
      <c r="J77" s="137">
        <v>10155.0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56">
        <v>161.0</v>
      </c>
      <c r="G78" s="92"/>
      <c r="H78" s="93">
        <v>161.0</v>
      </c>
      <c r="I78" s="92"/>
      <c r="J78" s="137">
        <v>10156.0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56">
        <v>555.0</v>
      </c>
      <c r="G79" s="92"/>
      <c r="H79" s="93">
        <v>555.0</v>
      </c>
      <c r="I79" s="92"/>
      <c r="J79" s="137">
        <v>10157.0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56">
        <v>46.0</v>
      </c>
      <c r="G80" s="92"/>
      <c r="H80" s="93">
        <v>46.0</v>
      </c>
      <c r="I80" s="92"/>
      <c r="J80" s="137">
        <v>10158.0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56">
        <v>607.0</v>
      </c>
      <c r="G81" s="92"/>
      <c r="H81" s="93">
        <v>607.0</v>
      </c>
      <c r="I81" s="92"/>
      <c r="J81" s="137">
        <v>10159.0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49">
        <v>820.0</v>
      </c>
      <c r="G82" s="54">
        <v>820.0</v>
      </c>
      <c r="H82" s="61"/>
      <c r="I82" s="61"/>
      <c r="J82" s="137">
        <v>10160.0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49">
        <v>260.0</v>
      </c>
      <c r="G83" s="61"/>
      <c r="H83" s="54">
        <v>260.0</v>
      </c>
      <c r="I83" s="61"/>
      <c r="J83" s="137">
        <v>10161.0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49">
        <v>1005.0</v>
      </c>
      <c r="G84" s="54"/>
      <c r="H84" s="54">
        <v>1005.0</v>
      </c>
      <c r="I84" s="54"/>
      <c r="J84" s="137">
        <v>10162.0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49">
        <v>17.0</v>
      </c>
      <c r="G85" s="54">
        <v>17.0</v>
      </c>
      <c r="H85" s="61"/>
      <c r="I85" s="61"/>
      <c r="J85" s="137">
        <v>10163.0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49">
        <v>379.0</v>
      </c>
      <c r="G86" s="54">
        <v>379.0</v>
      </c>
      <c r="H86" s="61"/>
      <c r="I86" s="61"/>
      <c r="J86" s="137">
        <v>10164.0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49">
        <v>72.0</v>
      </c>
      <c r="G87" s="54">
        <v>72.0</v>
      </c>
      <c r="H87" s="61"/>
      <c r="I87" s="61"/>
      <c r="J87" s="137">
        <v>10165.0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49">
        <v>1142.0</v>
      </c>
      <c r="G88" s="54">
        <v>1142.0</v>
      </c>
      <c r="H88" s="61"/>
      <c r="I88" s="54"/>
      <c r="J88" s="137">
        <v>10166.0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49">
        <v>206.0</v>
      </c>
      <c r="G89" s="54">
        <v>206.0</v>
      </c>
      <c r="H89" s="61"/>
      <c r="I89" s="61"/>
      <c r="J89" s="137">
        <v>10167.0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49">
        <v>70.0</v>
      </c>
      <c r="G90" s="54">
        <v>70.0</v>
      </c>
      <c r="H90" s="61"/>
      <c r="I90" s="61"/>
      <c r="J90" s="137">
        <v>10168.0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49">
        <v>1304.0</v>
      </c>
      <c r="G91" s="61"/>
      <c r="H91" s="61"/>
      <c r="I91" s="54">
        <v>1304.0</v>
      </c>
      <c r="J91" s="137">
        <v>10169.0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49">
        <v>156.0</v>
      </c>
      <c r="G92" s="61"/>
      <c r="H92" s="54">
        <v>156.0</v>
      </c>
      <c r="I92" s="61"/>
      <c r="J92" s="137">
        <v>10170.0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49">
        <v>226.0</v>
      </c>
      <c r="G93" s="54">
        <v>226.0</v>
      </c>
      <c r="H93" s="61"/>
      <c r="I93" s="61"/>
      <c r="J93" s="137">
        <v>10171.0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49">
        <v>399.0</v>
      </c>
      <c r="G94" s="54">
        <v>399.0</v>
      </c>
      <c r="H94" s="61"/>
      <c r="I94" s="61"/>
      <c r="J94" s="137">
        <v>10172.0</v>
      </c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137">
        <v>10173.0</v>
      </c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54">
        <v>588.0</v>
      </c>
      <c r="H96" s="61"/>
      <c r="I96" s="61"/>
      <c r="J96" s="137">
        <v>10174.0</v>
      </c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31450</v>
      </c>
      <c r="G97" s="123">
        <f t="shared" si="4"/>
        <v>14556</v>
      </c>
      <c r="H97" s="123">
        <f t="shared" si="4"/>
        <v>15922</v>
      </c>
      <c r="I97" s="123">
        <f t="shared" si="4"/>
        <v>1560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32">
        <v>45981.0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11264.0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18617.0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62692.0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37140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22486</v>
      </c>
      <c r="D10" s="24"/>
      <c r="E10" s="43">
        <v>1.0</v>
      </c>
      <c r="F10" s="44">
        <v>160.0</v>
      </c>
      <c r="G10" s="45">
        <v>160.0</v>
      </c>
      <c r="H10" s="45"/>
      <c r="I10" s="45"/>
      <c r="J10" s="137">
        <v>10173.0</v>
      </c>
      <c r="K10" s="24"/>
      <c r="L10" s="47"/>
      <c r="M10" s="47">
        <v>489.0</v>
      </c>
      <c r="N10" s="47">
        <v>9095.0</v>
      </c>
      <c r="O10" s="49"/>
      <c r="P10" s="85" t="s">
        <v>118</v>
      </c>
      <c r="Q10" s="51"/>
      <c r="R10" s="52">
        <v>50.0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12632</v>
      </c>
      <c r="D11" s="24"/>
      <c r="E11" s="43">
        <v>2.0</v>
      </c>
      <c r="F11" s="56">
        <v>329.0</v>
      </c>
      <c r="G11" s="57">
        <v>329.0</v>
      </c>
      <c r="H11" s="58"/>
      <c r="I11" s="59"/>
      <c r="J11" s="137">
        <v>10174.0</v>
      </c>
      <c r="K11" s="24"/>
      <c r="L11" s="48"/>
      <c r="M11" s="47">
        <v>254.0</v>
      </c>
      <c r="N11" s="47">
        <v>9747.0</v>
      </c>
      <c r="O11" s="49"/>
      <c r="P11" s="72" t="s">
        <v>196</v>
      </c>
      <c r="Q11" s="51"/>
      <c r="R11" s="52">
        <v>200.0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2022</v>
      </c>
      <c r="D12" s="24"/>
      <c r="E12" s="43">
        <v>3.0</v>
      </c>
      <c r="F12" s="63">
        <v>1589.0</v>
      </c>
      <c r="G12" s="64"/>
      <c r="H12" s="64"/>
      <c r="I12" s="64">
        <v>1589.0</v>
      </c>
      <c r="J12" s="137" t="s">
        <v>197</v>
      </c>
      <c r="K12" s="24"/>
      <c r="L12" s="47">
        <v>262.0</v>
      </c>
      <c r="M12" s="48"/>
      <c r="N12" s="47">
        <v>8760.0</v>
      </c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8083</v>
      </c>
      <c r="D13" s="24"/>
      <c r="E13" s="43">
        <v>4.0</v>
      </c>
      <c r="F13" s="56">
        <v>333.0</v>
      </c>
      <c r="G13" s="64"/>
      <c r="H13" s="64">
        <v>333.0</v>
      </c>
      <c r="I13" s="65"/>
      <c r="J13" s="137">
        <v>10176.0</v>
      </c>
      <c r="K13" s="24"/>
      <c r="L13" s="47">
        <v>7821.0</v>
      </c>
      <c r="M13" s="48"/>
      <c r="N13" s="47">
        <v>9380.0</v>
      </c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743</v>
      </c>
      <c r="D14" s="24"/>
      <c r="E14" s="43">
        <v>5.0</v>
      </c>
      <c r="F14" s="56">
        <v>1558.0</v>
      </c>
      <c r="G14" s="64">
        <v>142.0</v>
      </c>
      <c r="H14" s="64">
        <v>1416.0</v>
      </c>
      <c r="I14" s="65"/>
      <c r="J14" s="137">
        <v>10177.0</v>
      </c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>
        <v>10.0</v>
      </c>
      <c r="G15" s="64">
        <v>10.0</v>
      </c>
      <c r="H15" s="64"/>
      <c r="I15" s="65"/>
      <c r="J15" s="137">
        <v>10178.0</v>
      </c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250</v>
      </c>
      <c r="D16" s="24"/>
      <c r="E16" s="43">
        <v>7.0</v>
      </c>
      <c r="F16" s="56">
        <v>57.0</v>
      </c>
      <c r="G16" s="64">
        <v>57.0</v>
      </c>
      <c r="H16" s="64"/>
      <c r="I16" s="65"/>
      <c r="J16" s="137">
        <v>10179.0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250</v>
      </c>
      <c r="D17" s="24"/>
      <c r="E17" s="43">
        <v>8.0</v>
      </c>
      <c r="F17" s="56">
        <v>567.0</v>
      </c>
      <c r="G17" s="64">
        <v>567.0</v>
      </c>
      <c r="H17" s="64"/>
      <c r="I17" s="65"/>
      <c r="J17" s="137">
        <v>10180.0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102.0</v>
      </c>
      <c r="G18" s="64">
        <v>102.0</v>
      </c>
      <c r="H18" s="64"/>
      <c r="I18" s="65"/>
      <c r="J18" s="137">
        <v>10181.0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491.0</v>
      </c>
      <c r="G19" s="64">
        <v>491.0</v>
      </c>
      <c r="H19" s="65"/>
      <c r="I19" s="65"/>
      <c r="J19" s="137">
        <v>10182.0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55888</v>
      </c>
      <c r="D20" s="24"/>
      <c r="E20" s="43">
        <v>11.0</v>
      </c>
      <c r="F20" s="56">
        <v>3879.0</v>
      </c>
      <c r="G20" s="64">
        <v>3879.0</v>
      </c>
      <c r="H20" s="64"/>
      <c r="I20" s="65"/>
      <c r="J20" s="137">
        <v>10183.0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13375</v>
      </c>
      <c r="D21" s="24"/>
      <c r="E21" s="43">
        <v>12.0</v>
      </c>
      <c r="F21" s="56">
        <v>891.0</v>
      </c>
      <c r="G21" s="64">
        <v>891.0</v>
      </c>
      <c r="H21" s="64"/>
      <c r="I21" s="65"/>
      <c r="J21" s="137">
        <v>10184.0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34391</v>
      </c>
      <c r="D22" s="24"/>
      <c r="E22" s="43">
        <v>13.0</v>
      </c>
      <c r="F22" s="56">
        <v>2020.0</v>
      </c>
      <c r="G22" s="64">
        <v>2020.0</v>
      </c>
      <c r="H22" s="64"/>
      <c r="I22" s="65"/>
      <c r="J22" s="137">
        <v>10185.0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41">
        <v>33275.0</v>
      </c>
      <c r="D23" s="24"/>
      <c r="E23" s="43">
        <v>14.0</v>
      </c>
      <c r="F23" s="56">
        <v>684.0</v>
      </c>
      <c r="G23" s="64">
        <v>684.0</v>
      </c>
      <c r="H23" s="65"/>
      <c r="I23" s="65"/>
      <c r="J23" s="137">
        <v>10186.0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1116</v>
      </c>
      <c r="D24" s="24"/>
      <c r="E24" s="43">
        <v>15.0</v>
      </c>
      <c r="F24" s="56">
        <v>344.0</v>
      </c>
      <c r="G24" s="64"/>
      <c r="H24" s="64">
        <v>344.0</v>
      </c>
      <c r="I24" s="65"/>
      <c r="J24" s="137">
        <v>10187.0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273.0</v>
      </c>
      <c r="G25" s="64"/>
      <c r="H25" s="64">
        <v>273.0</v>
      </c>
      <c r="I25" s="65"/>
      <c r="J25" s="137">
        <v>10188.0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37140</v>
      </c>
      <c r="D26" s="24"/>
      <c r="E26" s="43">
        <v>17.0</v>
      </c>
      <c r="F26" s="56">
        <v>128.0</v>
      </c>
      <c r="G26" s="64">
        <v>128.0</v>
      </c>
      <c r="H26" s="65"/>
      <c r="I26" s="65"/>
      <c r="J26" s="137">
        <v>10189.0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73.0</v>
      </c>
      <c r="D27" s="24"/>
      <c r="E27" s="43">
        <v>18.0</v>
      </c>
      <c r="F27" s="56">
        <v>158.0</v>
      </c>
      <c r="G27" s="64">
        <v>158.0</v>
      </c>
      <c r="H27" s="65"/>
      <c r="I27" s="65"/>
      <c r="J27" s="137">
        <v>10190.0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508.7671233</v>
      </c>
      <c r="D28" s="24"/>
      <c r="E28" s="43">
        <v>19.0</v>
      </c>
      <c r="F28" s="56">
        <v>555.0</v>
      </c>
      <c r="G28" s="64"/>
      <c r="H28" s="64">
        <v>555.0</v>
      </c>
      <c r="I28" s="65"/>
      <c r="J28" s="137">
        <v>10191.0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111.0</v>
      </c>
      <c r="G29" s="64"/>
      <c r="H29" s="64">
        <v>111.0</v>
      </c>
      <c r="I29" s="65"/>
      <c r="J29" s="137">
        <v>10192.0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>
        <f>R32</f>
        <v>3692</v>
      </c>
      <c r="D30" s="24"/>
      <c r="E30" s="43">
        <v>21.0</v>
      </c>
      <c r="F30" s="56">
        <v>170.0</v>
      </c>
      <c r="G30" s="93">
        <v>170.0</v>
      </c>
      <c r="H30" s="92"/>
      <c r="I30" s="93"/>
      <c r="J30" s="137">
        <v>10193.0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>
        <f>S33</f>
        <v>18617</v>
      </c>
      <c r="D31" s="24"/>
      <c r="E31" s="43">
        <v>22.0</v>
      </c>
      <c r="F31" s="56">
        <v>193.0</v>
      </c>
      <c r="G31" s="93">
        <v>193.0</v>
      </c>
      <c r="H31" s="92"/>
      <c r="I31" s="92"/>
      <c r="J31" s="137">
        <v>10194.0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250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>
        <f>R34</f>
        <v>3500</v>
      </c>
      <c r="D32" s="24"/>
      <c r="E32" s="43">
        <v>23.0</v>
      </c>
      <c r="F32" s="56">
        <v>88.0</v>
      </c>
      <c r="G32" s="93">
        <v>88.0</v>
      </c>
      <c r="H32" s="92"/>
      <c r="I32" s="92"/>
      <c r="J32" s="137">
        <v>10195.0</v>
      </c>
      <c r="K32" s="24"/>
      <c r="L32" s="48"/>
      <c r="M32" s="48"/>
      <c r="N32" s="48"/>
      <c r="O32" s="98"/>
      <c r="P32" s="90" t="s">
        <v>37</v>
      </c>
      <c r="Q32" s="51"/>
      <c r="R32" s="99">
        <v>3692.0</v>
      </c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305.0</v>
      </c>
      <c r="G33" s="93"/>
      <c r="H33" s="93">
        <v>305.0</v>
      </c>
      <c r="I33" s="92"/>
      <c r="J33" s="137">
        <v>10196.0</v>
      </c>
      <c r="K33" s="24"/>
      <c r="L33" s="104">
        <f t="shared" ref="L33:M33" si="2">sum(L10:L32)</f>
        <v>8083</v>
      </c>
      <c r="M33" s="104">
        <f t="shared" si="2"/>
        <v>743</v>
      </c>
      <c r="N33" s="104"/>
      <c r="O33" s="105"/>
      <c r="P33" s="85" t="s">
        <v>38</v>
      </c>
      <c r="Q33" s="51"/>
      <c r="R33" s="100"/>
      <c r="S33" s="52">
        <v>18617.0</v>
      </c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457.0</v>
      </c>
      <c r="G34" s="93">
        <v>457.0</v>
      </c>
      <c r="H34" s="92"/>
      <c r="I34" s="92"/>
      <c r="J34" s="137">
        <v>10197.0</v>
      </c>
      <c r="K34" s="24"/>
      <c r="L34" s="106"/>
      <c r="M34" s="106"/>
      <c r="N34" s="106"/>
      <c r="O34" s="106"/>
      <c r="P34" s="85" t="s">
        <v>40</v>
      </c>
      <c r="Q34" s="107"/>
      <c r="R34" s="144">
        <v>3500.0</v>
      </c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124.0</v>
      </c>
      <c r="G35" s="92"/>
      <c r="H35" s="93">
        <v>124.0</v>
      </c>
      <c r="I35" s="92"/>
      <c r="J35" s="137">
        <v>10198.0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2944.0</v>
      </c>
      <c r="G36" s="92"/>
      <c r="H36" s="93">
        <v>2944.0</v>
      </c>
      <c r="I36" s="92"/>
      <c r="J36" s="137">
        <v>10199.0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50.0</v>
      </c>
      <c r="G37" s="93">
        <v>50.0</v>
      </c>
      <c r="H37" s="92"/>
      <c r="I37" s="92"/>
      <c r="J37" s="137">
        <v>10200.0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695.0</v>
      </c>
      <c r="G38" s="93"/>
      <c r="H38" s="93">
        <v>695.0</v>
      </c>
      <c r="I38" s="92"/>
      <c r="J38" s="137">
        <v>10201.0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82.0</v>
      </c>
      <c r="G39" s="93">
        <v>82.0</v>
      </c>
      <c r="H39" s="93"/>
      <c r="I39" s="92"/>
      <c r="J39" s="137">
        <v>10202.0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868.0</v>
      </c>
      <c r="G40" s="93">
        <v>868.0</v>
      </c>
      <c r="H40" s="93"/>
      <c r="I40" s="92"/>
      <c r="J40" s="137">
        <v>10203.0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858.0</v>
      </c>
      <c r="G41" s="92"/>
      <c r="H41" s="93">
        <v>858.0</v>
      </c>
      <c r="I41" s="92"/>
      <c r="J41" s="137">
        <v>10204.0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1072.0</v>
      </c>
      <c r="G42" s="93">
        <v>1072.0</v>
      </c>
      <c r="H42" s="93"/>
      <c r="I42" s="92"/>
      <c r="J42" s="137">
        <v>10205.0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308.0</v>
      </c>
      <c r="G43" s="93">
        <v>308.0</v>
      </c>
      <c r="H43" s="92"/>
      <c r="I43" s="92"/>
      <c r="J43" s="137">
        <v>10206.0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207.0</v>
      </c>
      <c r="G44" s="92"/>
      <c r="H44" s="93">
        <v>207.0</v>
      </c>
      <c r="I44" s="92"/>
      <c r="J44" s="137">
        <v>10207.0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172.0</v>
      </c>
      <c r="G45" s="93">
        <v>172.0</v>
      </c>
      <c r="H45" s="92"/>
      <c r="I45" s="92"/>
      <c r="J45" s="137">
        <v>10208.0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161.0</v>
      </c>
      <c r="G46" s="93">
        <v>161.0</v>
      </c>
      <c r="H46" s="92"/>
      <c r="I46" s="92"/>
      <c r="J46" s="137">
        <v>10209.0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559.0</v>
      </c>
      <c r="G47" s="93">
        <v>559.0</v>
      </c>
      <c r="H47" s="93"/>
      <c r="I47" s="92"/>
      <c r="J47" s="137">
        <v>10210.0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228.0</v>
      </c>
      <c r="G48" s="93">
        <v>228.0</v>
      </c>
      <c r="H48" s="92"/>
      <c r="I48" s="92"/>
      <c r="J48" s="137">
        <v>10211.0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230.0</v>
      </c>
      <c r="G49" s="93">
        <v>230.0</v>
      </c>
      <c r="H49" s="92"/>
      <c r="I49" s="92"/>
      <c r="J49" s="137">
        <v>10212.0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32.0</v>
      </c>
      <c r="G50" s="92"/>
      <c r="H50" s="93">
        <v>32.0</v>
      </c>
      <c r="I50" s="92"/>
      <c r="J50" s="137">
        <v>10213.0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270.0</v>
      </c>
      <c r="G51" s="93">
        <v>270.0</v>
      </c>
      <c r="H51" s="92"/>
      <c r="I51" s="92"/>
      <c r="J51" s="137">
        <v>10214.0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362.0</v>
      </c>
      <c r="G52" s="93">
        <v>362.0</v>
      </c>
      <c r="H52" s="92"/>
      <c r="I52" s="92"/>
      <c r="J52" s="137">
        <v>10215.0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129.0</v>
      </c>
      <c r="G53" s="92"/>
      <c r="H53" s="93">
        <v>129.0</v>
      </c>
      <c r="I53" s="92"/>
      <c r="J53" s="137">
        <v>10216.0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863.0</v>
      </c>
      <c r="G54" s="93">
        <v>863.0</v>
      </c>
      <c r="H54" s="92"/>
      <c r="I54" s="92"/>
      <c r="J54" s="137">
        <v>10217.0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1639.0</v>
      </c>
      <c r="G55" s="92"/>
      <c r="H55" s="93">
        <v>1639.0</v>
      </c>
      <c r="I55" s="92"/>
      <c r="J55" s="137">
        <v>10218.0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218.0</v>
      </c>
      <c r="G56" s="92"/>
      <c r="H56" s="93">
        <v>218.0</v>
      </c>
      <c r="I56" s="92"/>
      <c r="J56" s="137">
        <v>10219.0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152.0</v>
      </c>
      <c r="G57" s="93">
        <v>152.0</v>
      </c>
      <c r="H57" s="92"/>
      <c r="I57" s="92"/>
      <c r="J57" s="137">
        <v>10220.0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383.0</v>
      </c>
      <c r="G58" s="92"/>
      <c r="H58" s="93">
        <v>383.0</v>
      </c>
      <c r="I58" s="92"/>
      <c r="J58" s="137">
        <v>10221.0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224.0</v>
      </c>
      <c r="G59" s="93">
        <v>224.0</v>
      </c>
      <c r="H59" s="92"/>
      <c r="I59" s="92"/>
      <c r="J59" s="137">
        <v>10222.0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295.0</v>
      </c>
      <c r="G60" s="92"/>
      <c r="H60" s="92"/>
      <c r="I60" s="93">
        <v>295.0</v>
      </c>
      <c r="J60" s="137" t="s">
        <v>198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145.0</v>
      </c>
      <c r="G61" s="92"/>
      <c r="H61" s="145">
        <v>145.0</v>
      </c>
      <c r="I61" s="92"/>
      <c r="J61" s="146" t="s">
        <v>199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138.0</v>
      </c>
      <c r="G62" s="92"/>
      <c r="H62" s="92"/>
      <c r="I62" s="93">
        <v>138.0</v>
      </c>
      <c r="J62" s="137" t="s">
        <v>200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359.0</v>
      </c>
      <c r="G63" s="93">
        <v>359.0</v>
      </c>
      <c r="H63" s="92"/>
      <c r="I63" s="92"/>
      <c r="J63" s="137">
        <v>10226.0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782.0</v>
      </c>
      <c r="G64" s="93">
        <v>782.0</v>
      </c>
      <c r="H64" s="92"/>
      <c r="I64" s="92"/>
      <c r="J64" s="137">
        <v>10227.0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584.0</v>
      </c>
      <c r="G65" s="92"/>
      <c r="H65" s="93">
        <v>584.0</v>
      </c>
      <c r="I65" s="92"/>
      <c r="J65" s="137">
        <v>10228.0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67.0</v>
      </c>
      <c r="G66" s="92"/>
      <c r="H66" s="93">
        <v>67.0</v>
      </c>
      <c r="I66" s="92"/>
      <c r="J66" s="137">
        <v>10229.0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216.0</v>
      </c>
      <c r="G67" s="93">
        <v>216.0</v>
      </c>
      <c r="H67" s="92"/>
      <c r="I67" s="92"/>
      <c r="J67" s="137">
        <v>10230.0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141.0</v>
      </c>
      <c r="G68" s="93">
        <v>141.0</v>
      </c>
      <c r="H68" s="92"/>
      <c r="I68" s="92"/>
      <c r="J68" s="137">
        <v>10231.0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546.0</v>
      </c>
      <c r="G69" s="93">
        <v>546.0</v>
      </c>
      <c r="H69" s="92"/>
      <c r="I69" s="92"/>
      <c r="J69" s="137">
        <v>10232.0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1614.0</v>
      </c>
      <c r="G70" s="93">
        <v>1614.0</v>
      </c>
      <c r="H70" s="92"/>
      <c r="I70" s="92"/>
      <c r="J70" s="137">
        <v>10233.0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56">
        <v>332.0</v>
      </c>
      <c r="G71" s="93">
        <v>332.0</v>
      </c>
      <c r="H71" s="92"/>
      <c r="I71" s="92"/>
      <c r="J71" s="137">
        <v>10234.0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56">
        <v>84.0</v>
      </c>
      <c r="G72" s="92"/>
      <c r="H72" s="93">
        <v>84.0</v>
      </c>
      <c r="I72" s="92"/>
      <c r="J72" s="137">
        <v>10235.0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56">
        <v>156.0</v>
      </c>
      <c r="G73" s="93">
        <v>156.0</v>
      </c>
      <c r="H73" s="92"/>
      <c r="I73" s="92"/>
      <c r="J73" s="137">
        <v>10236.0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56">
        <v>246.0</v>
      </c>
      <c r="G74" s="93">
        <v>188.0</v>
      </c>
      <c r="H74" s="93">
        <v>58.0</v>
      </c>
      <c r="I74" s="92"/>
      <c r="J74" s="137">
        <v>10237.0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56">
        <v>90.0</v>
      </c>
      <c r="G75" s="93">
        <v>90.0</v>
      </c>
      <c r="H75" s="92"/>
      <c r="I75" s="92"/>
      <c r="J75" s="137">
        <v>10238.0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56">
        <v>546.0</v>
      </c>
      <c r="G76" s="92"/>
      <c r="H76" s="93">
        <v>546.0</v>
      </c>
      <c r="I76" s="92"/>
      <c r="J76" s="137">
        <v>10239.0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56">
        <v>565.0</v>
      </c>
      <c r="G77" s="93">
        <v>560.0</v>
      </c>
      <c r="H77" s="93">
        <v>5.0</v>
      </c>
      <c r="I77" s="92"/>
      <c r="J77" s="137">
        <v>10240.0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56">
        <v>659.0</v>
      </c>
      <c r="G78" s="93">
        <v>659.0</v>
      </c>
      <c r="H78" s="92"/>
      <c r="I78" s="92"/>
      <c r="J78" s="137">
        <v>10241.0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56">
        <v>248.0</v>
      </c>
      <c r="G79" s="92"/>
      <c r="H79" s="93">
        <v>248.0</v>
      </c>
      <c r="I79" s="92"/>
      <c r="J79" s="137">
        <v>10242.0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56">
        <v>569.0</v>
      </c>
      <c r="G80" s="93">
        <v>500.0</v>
      </c>
      <c r="H80" s="93">
        <v>69.0</v>
      </c>
      <c r="I80" s="92"/>
      <c r="J80" s="137">
        <v>10243.0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56">
        <v>260.0</v>
      </c>
      <c r="G81" s="92"/>
      <c r="H81" s="93">
        <v>260.0</v>
      </c>
      <c r="I81" s="92"/>
      <c r="J81" s="137">
        <v>10244.0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49">
        <v>216.0</v>
      </c>
      <c r="G82" s="54">
        <v>216.0</v>
      </c>
      <c r="H82" s="61"/>
      <c r="I82" s="61"/>
      <c r="J82" s="137">
        <v>10245.0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137">
        <v>10246.0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137">
        <v>10247.0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137">
        <v>10248.0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137">
        <v>10249.0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137">
        <v>10250.0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137">
        <v>10251.0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137">
        <v>10252.0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137">
        <v>10253.0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137">
        <v>10254.0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137">
        <v>10255.0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137">
        <v>10256.0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137">
        <v>10257.0</v>
      </c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137">
        <v>10258.0</v>
      </c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137">
        <v>10259.0</v>
      </c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37140</v>
      </c>
      <c r="G97" s="123">
        <f t="shared" si="4"/>
        <v>22486</v>
      </c>
      <c r="H97" s="123">
        <f t="shared" si="4"/>
        <v>12632</v>
      </c>
      <c r="I97" s="123">
        <f t="shared" si="4"/>
        <v>2022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32">
        <v>45982.0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34391.0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13375.0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55888.0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F103-C15</f>
        <v>35218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G103-W33</f>
        <v>15001</v>
      </c>
      <c r="D10" s="24"/>
      <c r="E10" s="43">
        <v>1.0</v>
      </c>
      <c r="F10" s="44">
        <v>970.0</v>
      </c>
      <c r="G10" s="45"/>
      <c r="H10" s="133">
        <v>970.0</v>
      </c>
      <c r="I10" s="45"/>
      <c r="J10" s="137">
        <v>10246.0</v>
      </c>
      <c r="K10" s="24"/>
      <c r="L10" s="47">
        <v>1589.0</v>
      </c>
      <c r="M10" s="47"/>
      <c r="N10" s="48">
        <v>10175.0</v>
      </c>
      <c r="O10" s="49"/>
      <c r="P10" s="85" t="s">
        <v>201</v>
      </c>
      <c r="Q10" s="51"/>
      <c r="R10" s="52">
        <v>56.0</v>
      </c>
      <c r="S10" s="53"/>
      <c r="T10" s="54"/>
      <c r="U10" s="55"/>
      <c r="V10" s="24"/>
      <c r="W10" s="47">
        <v>474.0</v>
      </c>
      <c r="X10" s="47"/>
      <c r="Y10" s="47">
        <v>138.0</v>
      </c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H103-X33</f>
        <v>13338</v>
      </c>
      <c r="D11" s="24"/>
      <c r="E11" s="43">
        <v>2.0</v>
      </c>
      <c r="F11" s="56">
        <v>785.0</v>
      </c>
      <c r="G11" s="57"/>
      <c r="H11" s="136">
        <v>785.0</v>
      </c>
      <c r="I11" s="59"/>
      <c r="J11" s="137">
        <v>10247.0</v>
      </c>
      <c r="K11" s="24"/>
      <c r="L11" s="48"/>
      <c r="M11" s="164">
        <v>295.0</v>
      </c>
      <c r="N11" s="48">
        <v>10223.0</v>
      </c>
      <c r="O11" s="49"/>
      <c r="P11" s="72" t="s">
        <v>202</v>
      </c>
      <c r="Q11" s="51"/>
      <c r="R11" s="52">
        <v>18.0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I103</f>
        <v>6879</v>
      </c>
      <c r="D12" s="24"/>
      <c r="E12" s="43">
        <v>3.0</v>
      </c>
      <c r="F12" s="63">
        <v>504.0</v>
      </c>
      <c r="G12" s="64"/>
      <c r="H12" s="64"/>
      <c r="I12" s="64">
        <v>504.0</v>
      </c>
      <c r="J12" s="137">
        <v>10248.0</v>
      </c>
      <c r="K12" s="24"/>
      <c r="L12" s="48"/>
      <c r="M12" s="164">
        <v>138.0</v>
      </c>
      <c r="N12" s="48">
        <v>10225.0</v>
      </c>
      <c r="O12" s="49"/>
      <c r="P12" s="72" t="s">
        <v>97</v>
      </c>
      <c r="Q12" s="51"/>
      <c r="R12" s="52">
        <v>10.0</v>
      </c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3983</v>
      </c>
      <c r="D13" s="24"/>
      <c r="E13" s="43">
        <v>4.0</v>
      </c>
      <c r="F13" s="56">
        <v>145.0</v>
      </c>
      <c r="G13" s="64"/>
      <c r="H13" s="65"/>
      <c r="I13" s="64">
        <v>145.0</v>
      </c>
      <c r="J13" s="137">
        <v>10249.0</v>
      </c>
      <c r="K13" s="24"/>
      <c r="L13" s="47">
        <v>399.0</v>
      </c>
      <c r="M13" s="173"/>
      <c r="N13" s="47">
        <v>9950.0</v>
      </c>
      <c r="O13" s="49"/>
      <c r="P13" s="72" t="s">
        <v>85</v>
      </c>
      <c r="Q13" s="51"/>
      <c r="R13" s="52">
        <v>50.0</v>
      </c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832</v>
      </c>
      <c r="D14" s="24"/>
      <c r="E14" s="43">
        <v>5.0</v>
      </c>
      <c r="F14" s="56">
        <v>5.0</v>
      </c>
      <c r="G14" s="64"/>
      <c r="H14" s="139">
        <v>5.0</v>
      </c>
      <c r="I14" s="65"/>
      <c r="J14" s="137">
        <v>10250.0</v>
      </c>
      <c r="K14" s="24"/>
      <c r="L14" s="47">
        <v>399.0</v>
      </c>
      <c r="M14" s="173"/>
      <c r="N14" s="47">
        <v>9930.0</v>
      </c>
      <c r="O14" s="49"/>
      <c r="P14" s="72" t="s">
        <v>203</v>
      </c>
      <c r="Q14" s="51"/>
      <c r="R14" s="52">
        <v>1000.0</v>
      </c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474</v>
      </c>
      <c r="D15" s="24"/>
      <c r="E15" s="43">
        <v>6.0</v>
      </c>
      <c r="F15" s="56">
        <v>596.0</v>
      </c>
      <c r="G15" s="64">
        <v>596.0</v>
      </c>
      <c r="H15" s="64"/>
      <c r="I15" s="65"/>
      <c r="J15" s="137">
        <v>10251.0</v>
      </c>
      <c r="K15" s="24"/>
      <c r="L15" s="47"/>
      <c r="M15" s="173"/>
      <c r="N15" s="47"/>
      <c r="O15" s="49"/>
      <c r="P15" s="72" t="s">
        <v>204</v>
      </c>
      <c r="Q15" s="51"/>
      <c r="R15" s="52">
        <v>200.0</v>
      </c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1334</v>
      </c>
      <c r="D16" s="24"/>
      <c r="E16" s="43">
        <v>7.0</v>
      </c>
      <c r="F16" s="56">
        <v>150.0</v>
      </c>
      <c r="G16" s="64">
        <v>150.0</v>
      </c>
      <c r="H16" s="64"/>
      <c r="I16" s="65"/>
      <c r="J16" s="137">
        <v>10252.0</v>
      </c>
      <c r="K16" s="24"/>
      <c r="L16" s="47">
        <v>399.0</v>
      </c>
      <c r="M16" s="173"/>
      <c r="N16" s="48">
        <v>9817.0</v>
      </c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1334</v>
      </c>
      <c r="D17" s="24"/>
      <c r="E17" s="43">
        <v>8.0</v>
      </c>
      <c r="F17" s="56">
        <v>10.0</v>
      </c>
      <c r="G17" s="64">
        <v>10.0</v>
      </c>
      <c r="H17" s="64"/>
      <c r="I17" s="65"/>
      <c r="J17" s="137">
        <v>10253.0</v>
      </c>
      <c r="K17" s="24"/>
      <c r="L17" s="47">
        <v>399.0</v>
      </c>
      <c r="M17" s="173"/>
      <c r="N17" s="47">
        <v>9823.0</v>
      </c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85.0</v>
      </c>
      <c r="G18" s="64">
        <v>85.0</v>
      </c>
      <c r="H18" s="64"/>
      <c r="I18" s="65"/>
      <c r="J18" s="137">
        <v>10254.0</v>
      </c>
      <c r="K18" s="24"/>
      <c r="L18" s="47">
        <v>399.0</v>
      </c>
      <c r="M18" s="173"/>
      <c r="N18" s="48">
        <v>9829.0</v>
      </c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2122.0</v>
      </c>
      <c r="G19" s="64">
        <v>2122.0</v>
      </c>
      <c r="H19" s="65"/>
      <c r="I19" s="65"/>
      <c r="J19" s="137">
        <v>10255.0</v>
      </c>
      <c r="K19" s="24"/>
      <c r="L19" s="47">
        <v>399.0</v>
      </c>
      <c r="M19" s="173"/>
      <c r="N19" s="48">
        <v>9886.0</v>
      </c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57952</v>
      </c>
      <c r="D20" s="24"/>
      <c r="E20" s="43">
        <v>11.0</v>
      </c>
      <c r="F20" s="56">
        <v>143.0</v>
      </c>
      <c r="G20" s="64">
        <v>143.0</v>
      </c>
      <c r="H20" s="64"/>
      <c r="I20" s="65"/>
      <c r="J20" s="137">
        <v>10256.0</v>
      </c>
      <c r="K20" s="24"/>
      <c r="L20" s="48"/>
      <c r="M20" s="164">
        <v>399.0</v>
      </c>
      <c r="N20" s="47">
        <v>10087.0</v>
      </c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14170</v>
      </c>
      <c r="D21" s="24"/>
      <c r="E21" s="43">
        <v>12.0</v>
      </c>
      <c r="F21" s="56">
        <v>29.0</v>
      </c>
      <c r="G21" s="64">
        <v>29.0</v>
      </c>
      <c r="H21" s="64"/>
      <c r="I21" s="65"/>
      <c r="J21" s="137">
        <v>10257.0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48541</v>
      </c>
      <c r="D22" s="24"/>
      <c r="E22" s="43">
        <v>13.0</v>
      </c>
      <c r="F22" s="56">
        <v>487.0</v>
      </c>
      <c r="G22" s="64">
        <v>487.0</v>
      </c>
      <c r="H22" s="64"/>
      <c r="I22" s="65"/>
      <c r="J22" s="137">
        <v>10258.0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41">
        <v>40538.0</v>
      </c>
      <c r="D23" s="24"/>
      <c r="E23" s="43">
        <v>14.0</v>
      </c>
      <c r="F23" s="56">
        <v>43.0</v>
      </c>
      <c r="G23" s="64">
        <v>43.0</v>
      </c>
      <c r="H23" s="65"/>
      <c r="I23" s="65"/>
      <c r="J23" s="137">
        <v>10259.0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8003</v>
      </c>
      <c r="D24" s="24"/>
      <c r="E24" s="43">
        <v>15.0</v>
      </c>
      <c r="F24" s="56">
        <v>252.0</v>
      </c>
      <c r="G24" s="64"/>
      <c r="H24" s="169">
        <v>252.0</v>
      </c>
      <c r="I24" s="64"/>
      <c r="J24" s="148" t="s">
        <v>205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116.0</v>
      </c>
      <c r="G25" s="64"/>
      <c r="H25" s="169">
        <v>116.0</v>
      </c>
      <c r="I25" s="64"/>
      <c r="J25" s="148" t="s">
        <v>206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F103</f>
        <v>35692</v>
      </c>
      <c r="D26" s="24"/>
      <c r="E26" s="43">
        <v>17.0</v>
      </c>
      <c r="F26" s="56">
        <v>32.0</v>
      </c>
      <c r="G26" s="64">
        <v>32.0</v>
      </c>
      <c r="H26" s="65"/>
      <c r="I26" s="65"/>
      <c r="J26" s="137">
        <v>10262.0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92.0</v>
      </c>
      <c r="D27" s="24"/>
      <c r="E27" s="43">
        <v>18.0</v>
      </c>
      <c r="F27" s="56">
        <v>208.0</v>
      </c>
      <c r="G27" s="64">
        <v>208.0</v>
      </c>
      <c r="H27" s="65"/>
      <c r="I27" s="65"/>
      <c r="J27" s="137">
        <v>10263.0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387.9565217</v>
      </c>
      <c r="D28" s="24"/>
      <c r="E28" s="43">
        <v>19.0</v>
      </c>
      <c r="F28" s="56">
        <v>57.0</v>
      </c>
      <c r="G28" s="64">
        <v>57.0</v>
      </c>
      <c r="H28" s="65"/>
      <c r="I28" s="65"/>
      <c r="J28" s="137">
        <v>10264.0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145.0</v>
      </c>
      <c r="G29" s="64">
        <v>145.0</v>
      </c>
      <c r="H29" s="65"/>
      <c r="I29" s="65"/>
      <c r="J29" s="137">
        <v>10265.0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83.0</v>
      </c>
      <c r="G30" s="92"/>
      <c r="H30" s="147">
        <v>83.0</v>
      </c>
      <c r="I30" s="93"/>
      <c r="J30" s="148" t="s">
        <v>207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>
        <f>S33</f>
        <v>13375</v>
      </c>
      <c r="D31" s="24"/>
      <c r="E31" s="43">
        <v>22.0</v>
      </c>
      <c r="F31" s="56">
        <v>209.0</v>
      </c>
      <c r="G31" s="93">
        <v>209.0</v>
      </c>
      <c r="H31" s="92"/>
      <c r="I31" s="92"/>
      <c r="J31" s="137">
        <v>10267.0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1334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>
        <f>R34</f>
        <v>3500</v>
      </c>
      <c r="D32" s="24"/>
      <c r="E32" s="43">
        <v>23.0</v>
      </c>
      <c r="F32" s="56">
        <v>447.0</v>
      </c>
      <c r="G32" s="93">
        <v>400.0</v>
      </c>
      <c r="H32" s="143">
        <v>47.0</v>
      </c>
      <c r="I32" s="92"/>
      <c r="J32" s="137">
        <v>10268.0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151">
        <v>597.0</v>
      </c>
      <c r="G33" s="93"/>
      <c r="H33" s="143">
        <v>597.0</v>
      </c>
      <c r="I33" s="92"/>
      <c r="J33" s="137">
        <v>10269.0</v>
      </c>
      <c r="K33" s="24"/>
      <c r="L33" s="104">
        <f t="shared" ref="L33:M33" si="2">sum(L10:L32)</f>
        <v>3983</v>
      </c>
      <c r="M33" s="104">
        <f t="shared" si="2"/>
        <v>832</v>
      </c>
      <c r="N33" s="104"/>
      <c r="O33" s="105"/>
      <c r="P33" s="85" t="s">
        <v>38</v>
      </c>
      <c r="Q33" s="51"/>
      <c r="R33" s="100"/>
      <c r="S33" s="52">
        <v>13375.0</v>
      </c>
      <c r="T33" s="101"/>
      <c r="U33" s="55"/>
      <c r="V33" s="24"/>
      <c r="W33" s="104">
        <f t="shared" ref="W33:X33" si="3">sum(W10:W32)</f>
        <v>474</v>
      </c>
      <c r="X33" s="104">
        <f t="shared" si="3"/>
        <v>0</v>
      </c>
      <c r="Y33" s="104">
        <f>W33+X33</f>
        <v>474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45.0</v>
      </c>
      <c r="G34" s="93"/>
      <c r="H34" s="143">
        <v>45.0</v>
      </c>
      <c r="I34" s="92"/>
      <c r="J34" s="137">
        <v>10270.0</v>
      </c>
      <c r="K34" s="24"/>
      <c r="L34" s="106"/>
      <c r="M34" s="106"/>
      <c r="N34" s="106"/>
      <c r="O34" s="106"/>
      <c r="P34" s="85" t="s">
        <v>40</v>
      </c>
      <c r="Q34" s="107"/>
      <c r="R34" s="144">
        <v>3500.0</v>
      </c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145.0</v>
      </c>
      <c r="G35" s="93">
        <v>145.0</v>
      </c>
      <c r="H35" s="153"/>
      <c r="I35" s="92"/>
      <c r="J35" s="137">
        <v>10271.0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174.0</v>
      </c>
      <c r="G36" s="92"/>
      <c r="H36" s="143">
        <v>174.0</v>
      </c>
      <c r="I36" s="92"/>
      <c r="J36" s="137">
        <v>10272.0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1579.0</v>
      </c>
      <c r="G37" s="93"/>
      <c r="H37" s="143">
        <v>1579.0</v>
      </c>
      <c r="I37" s="92"/>
      <c r="J37" s="137">
        <v>10273.0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40.0</v>
      </c>
      <c r="G38" s="93">
        <v>40.0</v>
      </c>
      <c r="H38" s="167"/>
      <c r="I38" s="92"/>
      <c r="J38" s="137">
        <v>10274.0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407.0</v>
      </c>
      <c r="G39" s="93"/>
      <c r="H39" s="143">
        <v>407.0</v>
      </c>
      <c r="I39" s="92"/>
      <c r="J39" s="137">
        <v>10275.0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63.0</v>
      </c>
      <c r="G40" s="93">
        <v>63.0</v>
      </c>
      <c r="H40" s="153"/>
      <c r="I40" s="92"/>
      <c r="J40" s="137">
        <v>10276.0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270.0</v>
      </c>
      <c r="G41" s="93">
        <v>270.0</v>
      </c>
      <c r="H41" s="153"/>
      <c r="I41" s="92"/>
      <c r="J41" s="137">
        <v>10277.0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1128.0</v>
      </c>
      <c r="G42" s="93"/>
      <c r="H42" s="145">
        <v>1128.0</v>
      </c>
      <c r="I42" s="92"/>
      <c r="J42" s="146" t="s">
        <v>208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150.0</v>
      </c>
      <c r="G43" s="93">
        <v>150.0</v>
      </c>
      <c r="H43" s="167"/>
      <c r="I43" s="92"/>
      <c r="J43" s="137">
        <v>10279.0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717.0</v>
      </c>
      <c r="G44" s="92"/>
      <c r="H44" s="143">
        <v>717.0</v>
      </c>
      <c r="I44" s="92"/>
      <c r="J44" s="137">
        <v>10280.0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124.0</v>
      </c>
      <c r="G45" s="93">
        <v>124.0</v>
      </c>
      <c r="H45" s="167"/>
      <c r="I45" s="92"/>
      <c r="J45" s="137">
        <v>10281.0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595.0</v>
      </c>
      <c r="G46" s="93"/>
      <c r="H46" s="143">
        <v>595.0</v>
      </c>
      <c r="I46" s="92"/>
      <c r="J46" s="137">
        <v>10282.0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151.0</v>
      </c>
      <c r="G47" s="93">
        <v>151.0</v>
      </c>
      <c r="H47" s="153"/>
      <c r="I47" s="92"/>
      <c r="J47" s="137">
        <v>10283.0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799.0</v>
      </c>
      <c r="G48" s="92"/>
      <c r="H48" s="167"/>
      <c r="I48" s="93">
        <v>799.0</v>
      </c>
      <c r="J48" s="137" t="s">
        <v>209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237.0</v>
      </c>
      <c r="G49" s="93">
        <v>237.0</v>
      </c>
      <c r="H49" s="167"/>
      <c r="I49" s="92"/>
      <c r="J49" s="137">
        <v>10285.0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123.0</v>
      </c>
      <c r="G50" s="92"/>
      <c r="H50" s="143">
        <v>123.0</v>
      </c>
      <c r="I50" s="92"/>
      <c r="J50" s="137">
        <v>10286.0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399.0</v>
      </c>
      <c r="G51" s="92"/>
      <c r="H51" s="147">
        <v>399.0</v>
      </c>
      <c r="I51" s="153"/>
      <c r="J51" s="148" t="s">
        <v>210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239.0</v>
      </c>
      <c r="G52" s="93">
        <v>239.0</v>
      </c>
      <c r="H52" s="167"/>
      <c r="I52" s="92"/>
      <c r="J52" s="137">
        <v>10288.0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640.0</v>
      </c>
      <c r="G53" s="93">
        <v>640.0</v>
      </c>
      <c r="H53" s="167"/>
      <c r="I53" s="92"/>
      <c r="J53" s="137">
        <v>10289.0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491.0</v>
      </c>
      <c r="G54" s="92"/>
      <c r="H54" s="147">
        <v>230.0</v>
      </c>
      <c r="I54" s="147">
        <v>261.0</v>
      </c>
      <c r="J54" s="148">
        <v>10290.0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30.0</v>
      </c>
      <c r="G55" s="93">
        <v>30.0</v>
      </c>
      <c r="H55" s="153"/>
      <c r="I55" s="92"/>
      <c r="J55" s="137">
        <v>10291.0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145.0</v>
      </c>
      <c r="G56" s="92"/>
      <c r="H56" s="143">
        <v>145.0</v>
      </c>
      <c r="I56" s="92"/>
      <c r="J56" s="137">
        <v>10292.0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278.0</v>
      </c>
      <c r="G57" s="93">
        <v>278.0</v>
      </c>
      <c r="H57" s="167"/>
      <c r="I57" s="92"/>
      <c r="J57" s="137">
        <v>10293.0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120.0</v>
      </c>
      <c r="G58" s="93">
        <v>120.0</v>
      </c>
      <c r="H58" s="167"/>
      <c r="I58" s="92"/>
      <c r="J58" s="137">
        <v>10294.0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101.0</v>
      </c>
      <c r="G59" s="92"/>
      <c r="H59" s="143">
        <v>101.0</v>
      </c>
      <c r="I59" s="92"/>
      <c r="J59" s="137">
        <v>10295.0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189.0</v>
      </c>
      <c r="G60" s="93">
        <v>189.0</v>
      </c>
      <c r="H60" s="167"/>
      <c r="I60" s="92"/>
      <c r="J60" s="137">
        <v>10296.0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399.0</v>
      </c>
      <c r="G61" s="92"/>
      <c r="H61" s="143">
        <v>399.0</v>
      </c>
      <c r="I61" s="92"/>
      <c r="J61" s="137">
        <v>10297.0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225.0</v>
      </c>
      <c r="G62" s="92"/>
      <c r="H62" s="143">
        <v>225.0</v>
      </c>
      <c r="I62" s="92"/>
      <c r="J62" s="137">
        <v>10298.0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659.0</v>
      </c>
      <c r="G63" s="93">
        <v>659.0</v>
      </c>
      <c r="H63" s="167"/>
      <c r="I63" s="92"/>
      <c r="J63" s="137">
        <v>10299.0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1200.0</v>
      </c>
      <c r="G64" s="92"/>
      <c r="H64" s="167"/>
      <c r="I64" s="93">
        <v>1200.0</v>
      </c>
      <c r="J64" s="137">
        <v>10300.0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234.0</v>
      </c>
      <c r="G65" s="93">
        <v>234.0</v>
      </c>
      <c r="H65" s="167"/>
      <c r="I65" s="92"/>
      <c r="J65" s="137">
        <v>10301.0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58.0</v>
      </c>
      <c r="G66" s="93">
        <v>58.0</v>
      </c>
      <c r="H66" s="167"/>
      <c r="I66" s="92"/>
      <c r="J66" s="137">
        <v>10302.0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632.0</v>
      </c>
      <c r="G67" s="92"/>
      <c r="H67" s="143">
        <v>632.0</v>
      </c>
      <c r="I67" s="92"/>
      <c r="J67" s="137">
        <v>10303.0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475.0</v>
      </c>
      <c r="G68" s="93">
        <v>475.0</v>
      </c>
      <c r="H68" s="167"/>
      <c r="I68" s="92"/>
      <c r="J68" s="137">
        <v>10304.0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76.0</v>
      </c>
      <c r="G69" s="93">
        <v>76.0</v>
      </c>
      <c r="H69" s="167"/>
      <c r="I69" s="92"/>
      <c r="J69" s="137">
        <v>10305.0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1032.0</v>
      </c>
      <c r="G70" s="92"/>
      <c r="H70" s="143">
        <v>1032.0</v>
      </c>
      <c r="I70" s="92"/>
      <c r="J70" s="137">
        <v>10306.0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56">
        <v>60.0</v>
      </c>
      <c r="G71" s="93">
        <v>60.0</v>
      </c>
      <c r="H71" s="167"/>
      <c r="I71" s="92"/>
      <c r="J71" s="137">
        <v>10307.0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56">
        <v>162.0</v>
      </c>
      <c r="G72" s="93">
        <v>162.0</v>
      </c>
      <c r="H72" s="167"/>
      <c r="I72" s="92"/>
      <c r="J72" s="137">
        <v>10308.0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56">
        <v>617.0</v>
      </c>
      <c r="G73" s="93">
        <v>617.0</v>
      </c>
      <c r="H73" s="167"/>
      <c r="I73" s="92"/>
      <c r="J73" s="137">
        <v>10309.0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56">
        <v>969.0</v>
      </c>
      <c r="G74" s="93">
        <v>969.0</v>
      </c>
      <c r="H74" s="167"/>
      <c r="I74" s="92"/>
      <c r="J74" s="137">
        <v>10310.0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56">
        <v>43.0</v>
      </c>
      <c r="G75" s="93">
        <v>43.0</v>
      </c>
      <c r="H75" s="167"/>
      <c r="I75" s="92"/>
      <c r="J75" s="137">
        <v>10311.0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56">
        <v>150.0</v>
      </c>
      <c r="G76" s="92"/>
      <c r="H76" s="143">
        <v>150.0</v>
      </c>
      <c r="I76" s="92"/>
      <c r="J76" s="137">
        <v>10312.0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56">
        <v>147.0</v>
      </c>
      <c r="G77" s="92"/>
      <c r="H77" s="143">
        <v>147.0</v>
      </c>
      <c r="I77" s="92"/>
      <c r="J77" s="137">
        <v>10313.0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56">
        <v>31.0</v>
      </c>
      <c r="G78" s="92"/>
      <c r="H78" s="143">
        <v>31.0</v>
      </c>
      <c r="I78" s="92"/>
      <c r="J78" s="137">
        <v>10314.0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56">
        <v>295.0</v>
      </c>
      <c r="G79" s="92"/>
      <c r="H79" s="143">
        <v>295.0</v>
      </c>
      <c r="I79" s="92"/>
      <c r="J79" s="137">
        <v>10315.0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56">
        <v>256.0</v>
      </c>
      <c r="G80" s="93">
        <v>256.0</v>
      </c>
      <c r="H80" s="167"/>
      <c r="I80" s="92"/>
      <c r="J80" s="137">
        <v>10316.0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56">
        <v>3447.0</v>
      </c>
      <c r="G81" s="93">
        <v>3447.0</v>
      </c>
      <c r="H81" s="153"/>
      <c r="I81" s="92"/>
      <c r="J81" s="137">
        <v>10317.0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49">
        <v>439.0</v>
      </c>
      <c r="G82" s="61"/>
      <c r="H82" s="143">
        <v>439.0</v>
      </c>
      <c r="I82" s="61"/>
      <c r="J82" s="137">
        <v>10318.0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49">
        <v>382.0</v>
      </c>
      <c r="G83" s="54">
        <v>382.0</v>
      </c>
      <c r="H83" s="167"/>
      <c r="I83" s="61"/>
      <c r="J83" s="137">
        <v>10319.0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49">
        <v>268.0</v>
      </c>
      <c r="G84" s="54">
        <v>268.0</v>
      </c>
      <c r="H84" s="167"/>
      <c r="I84" s="61"/>
      <c r="J84" s="137">
        <v>10320.0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49">
        <v>29.0</v>
      </c>
      <c r="G85" s="54">
        <v>29.0</v>
      </c>
      <c r="H85" s="167"/>
      <c r="I85" s="61"/>
      <c r="J85" s="137">
        <v>10321.0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49">
        <v>22.0</v>
      </c>
      <c r="G86" s="54">
        <v>22.0</v>
      </c>
      <c r="H86" s="167"/>
      <c r="I86" s="61"/>
      <c r="J86" s="137">
        <v>10322.0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49">
        <v>125.0</v>
      </c>
      <c r="G87" s="61"/>
      <c r="H87" s="143">
        <v>125.0</v>
      </c>
      <c r="I87" s="61"/>
      <c r="J87" s="137">
        <v>10323.0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49">
        <v>307.0</v>
      </c>
      <c r="G88" s="61"/>
      <c r="H88" s="143">
        <v>307.0</v>
      </c>
      <c r="I88" s="61"/>
      <c r="J88" s="137">
        <v>10324.0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49">
        <v>32.0</v>
      </c>
      <c r="G89" s="54">
        <v>32.0</v>
      </c>
      <c r="H89" s="167"/>
      <c r="I89" s="61"/>
      <c r="J89" s="137">
        <v>10325.0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49">
        <v>625.0</v>
      </c>
      <c r="G90" s="61"/>
      <c r="H90" s="143">
        <v>625.0</v>
      </c>
      <c r="I90" s="61"/>
      <c r="J90" s="137">
        <v>10326.0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49">
        <v>399.0</v>
      </c>
      <c r="G91" s="54">
        <v>399.0</v>
      </c>
      <c r="H91" s="167"/>
      <c r="I91" s="61"/>
      <c r="J91" s="137">
        <v>10327.0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49">
        <v>4.0</v>
      </c>
      <c r="G92" s="54">
        <v>4.0</v>
      </c>
      <c r="H92" s="167"/>
      <c r="I92" s="61"/>
      <c r="J92" s="137">
        <v>10328.0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49">
        <v>126.0</v>
      </c>
      <c r="G93" s="54">
        <v>126.0</v>
      </c>
      <c r="H93" s="61"/>
      <c r="I93" s="61"/>
      <c r="J93" s="137">
        <v>10329.0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49">
        <v>27.0</v>
      </c>
      <c r="G94" s="61"/>
      <c r="H94" s="54">
        <v>27.0</v>
      </c>
      <c r="I94" s="61"/>
      <c r="J94" s="137">
        <v>10330.0</v>
      </c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49">
        <v>171.0</v>
      </c>
      <c r="G95" s="54">
        <v>171.0</v>
      </c>
      <c r="H95" s="61"/>
      <c r="I95" s="54"/>
      <c r="J95" s="137">
        <v>10331.0</v>
      </c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49">
        <v>1370.0</v>
      </c>
      <c r="G96" s="61"/>
      <c r="H96" s="54"/>
      <c r="I96" s="54">
        <v>1370.0</v>
      </c>
      <c r="J96" s="137" t="s">
        <v>211</v>
      </c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24"/>
      <c r="E97" s="43">
        <v>88.0</v>
      </c>
      <c r="F97" s="149">
        <v>759.0</v>
      </c>
      <c r="G97" s="61"/>
      <c r="H97" s="61"/>
      <c r="I97" s="54">
        <v>759.0</v>
      </c>
      <c r="J97" s="137" t="s">
        <v>212</v>
      </c>
      <c r="K97" s="24"/>
      <c r="L97" s="112"/>
      <c r="M97" s="112"/>
      <c r="N97" s="112"/>
      <c r="O97" s="112"/>
      <c r="P97" s="112"/>
      <c r="Q97" s="113"/>
      <c r="R97" s="114"/>
      <c r="S97" s="114"/>
      <c r="T97" s="114"/>
      <c r="U97" s="115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</row>
    <row r="98" ht="14.25" customHeight="1">
      <c r="A98" s="1"/>
      <c r="B98" s="1"/>
      <c r="C98" s="1"/>
      <c r="D98" s="24"/>
      <c r="E98" s="43">
        <v>89.0</v>
      </c>
      <c r="F98" s="149">
        <v>644.0</v>
      </c>
      <c r="G98" s="61"/>
      <c r="H98" s="61"/>
      <c r="I98" s="54">
        <v>644.0</v>
      </c>
      <c r="J98" s="137" t="s">
        <v>213</v>
      </c>
      <c r="K98" s="24"/>
      <c r="L98" s="112"/>
      <c r="M98" s="112"/>
      <c r="N98" s="112"/>
      <c r="O98" s="112"/>
      <c r="P98" s="112"/>
      <c r="Q98" s="113"/>
      <c r="R98" s="114"/>
      <c r="S98" s="114"/>
      <c r="T98" s="114"/>
      <c r="U98" s="115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</row>
    <row r="99" ht="14.25" customHeight="1">
      <c r="A99" s="1"/>
      <c r="B99" s="1"/>
      <c r="C99" s="1"/>
      <c r="D99" s="24"/>
      <c r="E99" s="43">
        <v>90.0</v>
      </c>
      <c r="F99" s="149">
        <v>180.0</v>
      </c>
      <c r="G99" s="61"/>
      <c r="H99" s="61"/>
      <c r="I99" s="54">
        <v>180.0</v>
      </c>
      <c r="J99" s="137" t="s">
        <v>214</v>
      </c>
      <c r="K99" s="24"/>
      <c r="L99" s="112"/>
      <c r="M99" s="112"/>
      <c r="N99" s="112"/>
      <c r="O99" s="112"/>
      <c r="P99" s="112"/>
      <c r="Q99" s="113"/>
      <c r="R99" s="114"/>
      <c r="S99" s="114"/>
      <c r="T99" s="114"/>
      <c r="U99" s="115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</row>
    <row r="100" ht="14.25" customHeight="1">
      <c r="A100" s="1"/>
      <c r="B100" s="1"/>
      <c r="C100" s="1"/>
      <c r="D100" s="24"/>
      <c r="E100" s="43">
        <v>91.0</v>
      </c>
      <c r="F100" s="149">
        <v>552.0</v>
      </c>
      <c r="G100" s="61"/>
      <c r="H100" s="61"/>
      <c r="I100" s="54">
        <v>552.0</v>
      </c>
      <c r="J100" s="137" t="s">
        <v>215</v>
      </c>
      <c r="K100" s="24"/>
      <c r="L100" s="112"/>
      <c r="M100" s="112"/>
      <c r="N100" s="112"/>
      <c r="O100" s="112"/>
      <c r="P100" s="112"/>
      <c r="Q100" s="113"/>
      <c r="R100" s="114"/>
      <c r="S100" s="114"/>
      <c r="T100" s="114"/>
      <c r="U100" s="115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</row>
    <row r="101" ht="14.25" customHeight="1">
      <c r="A101" s="1"/>
      <c r="B101" s="1"/>
      <c r="C101" s="1"/>
      <c r="D101" s="24"/>
      <c r="E101" s="43">
        <v>92.0</v>
      </c>
      <c r="F101" s="149">
        <v>465.0</v>
      </c>
      <c r="G101" s="61"/>
      <c r="H101" s="61"/>
      <c r="I101" s="54">
        <v>465.0</v>
      </c>
      <c r="J101" s="137" t="s">
        <v>216</v>
      </c>
      <c r="K101" s="24"/>
      <c r="L101" s="112"/>
      <c r="M101" s="112"/>
      <c r="N101" s="112"/>
      <c r="O101" s="112"/>
      <c r="P101" s="112"/>
      <c r="Q101" s="113"/>
      <c r="R101" s="114"/>
      <c r="S101" s="114"/>
      <c r="T101" s="114"/>
      <c r="U101" s="115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</row>
    <row r="102" ht="14.25" customHeight="1">
      <c r="A102" s="1"/>
      <c r="B102" s="1"/>
      <c r="C102" s="1"/>
      <c r="D102" s="24"/>
      <c r="E102" s="43">
        <v>93.0</v>
      </c>
      <c r="F102" s="121"/>
      <c r="G102" s="54">
        <v>-406.0</v>
      </c>
      <c r="H102" s="54">
        <v>406.0</v>
      </c>
      <c r="I102" s="61"/>
      <c r="J102" s="137">
        <v>10338.0</v>
      </c>
      <c r="K102" s="24"/>
      <c r="L102" s="112"/>
      <c r="M102" s="112"/>
      <c r="N102" s="112"/>
      <c r="O102" s="112"/>
      <c r="P102" s="112"/>
      <c r="Q102" s="113"/>
      <c r="R102" s="114"/>
      <c r="S102" s="114"/>
      <c r="T102" s="114"/>
      <c r="U102" s="115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</row>
    <row r="103" ht="14.25" customHeight="1">
      <c r="A103" s="1"/>
      <c r="B103" s="1"/>
      <c r="C103" s="1"/>
      <c r="D103" s="1"/>
      <c r="E103" s="43"/>
      <c r="F103" s="123">
        <f t="shared" ref="F103:I103" si="4">SUM(F10:F102)</f>
        <v>35692</v>
      </c>
      <c r="G103" s="123">
        <f t="shared" si="4"/>
        <v>15475</v>
      </c>
      <c r="H103" s="123">
        <f t="shared" si="4"/>
        <v>13338</v>
      </c>
      <c r="I103" s="123">
        <f t="shared" si="4"/>
        <v>6879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18"/>
      <c r="C104" s="118"/>
      <c r="D104" s="1"/>
      <c r="E104" s="124"/>
      <c r="F104" s="124"/>
      <c r="G104" s="124"/>
      <c r="H104" s="124"/>
      <c r="I104" s="125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18"/>
      <c r="C105" s="1"/>
      <c r="D105" s="1"/>
      <c r="E105" s="8"/>
      <c r="F105" s="8"/>
      <c r="G105" s="8"/>
      <c r="H105" s="8"/>
      <c r="I105" s="8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8"/>
      <c r="F106" s="8"/>
      <c r="G106" s="8"/>
      <c r="H106" s="8"/>
      <c r="I106" s="8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8"/>
      <c r="F107" s="8"/>
      <c r="G107" s="8"/>
      <c r="H107" s="8"/>
      <c r="I107" s="8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8"/>
      <c r="F108" s="8"/>
      <c r="G108" s="8"/>
      <c r="H108" s="8"/>
      <c r="I108" s="8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8"/>
      <c r="F109" s="8"/>
      <c r="G109" s="8"/>
      <c r="H109" s="8"/>
      <c r="I109" s="8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26"/>
      <c r="H116" s="12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32">
        <v>45983.0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48541.0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14170.0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57952.0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F106-C15</f>
        <v>38443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G106-W33</f>
        <v>23668</v>
      </c>
      <c r="D10" s="24"/>
      <c r="E10" s="43">
        <v>1.0</v>
      </c>
      <c r="F10" s="44">
        <v>784.0</v>
      </c>
      <c r="G10" s="45">
        <v>784.0</v>
      </c>
      <c r="H10" s="45"/>
      <c r="I10" s="45"/>
      <c r="J10" s="137">
        <v>10338.0</v>
      </c>
      <c r="K10" s="24"/>
      <c r="L10" s="47"/>
      <c r="M10" s="47"/>
      <c r="N10" s="47"/>
      <c r="O10" s="49"/>
      <c r="P10" s="85" t="s">
        <v>217</v>
      </c>
      <c r="Q10" s="51"/>
      <c r="R10" s="52">
        <v>42.0</v>
      </c>
      <c r="S10" s="53"/>
      <c r="T10" s="54"/>
      <c r="U10" s="55"/>
      <c r="V10" s="24"/>
      <c r="W10" s="47">
        <v>122.0</v>
      </c>
      <c r="X10" s="47"/>
      <c r="Y10" s="47">
        <v>139.0</v>
      </c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H106-X33</f>
        <v>12453</v>
      </c>
      <c r="D11" s="24"/>
      <c r="E11" s="43">
        <v>2.0</v>
      </c>
      <c r="F11" s="56">
        <v>5.0</v>
      </c>
      <c r="G11" s="57">
        <v>5.0</v>
      </c>
      <c r="H11" s="58"/>
      <c r="I11" s="59"/>
      <c r="J11" s="137">
        <v>10339.0</v>
      </c>
      <c r="K11" s="24"/>
      <c r="L11" s="48"/>
      <c r="M11" s="47">
        <v>465.0</v>
      </c>
      <c r="N11" s="47">
        <v>10337.0</v>
      </c>
      <c r="O11" s="49"/>
      <c r="P11" s="60"/>
      <c r="Q11" s="51"/>
      <c r="R11" s="52"/>
      <c r="S11" s="53"/>
      <c r="T11" s="61"/>
      <c r="U11" s="62"/>
      <c r="V11" s="24"/>
      <c r="W11" s="47">
        <v>95.0</v>
      </c>
      <c r="X11" s="47"/>
      <c r="Y11" s="47">
        <v>140.0</v>
      </c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I106</f>
        <v>2322</v>
      </c>
      <c r="D12" s="24"/>
      <c r="E12" s="43">
        <v>3.0</v>
      </c>
      <c r="F12" s="63">
        <v>225.0</v>
      </c>
      <c r="G12" s="64">
        <v>225.0</v>
      </c>
      <c r="H12" s="64"/>
      <c r="I12" s="65"/>
      <c r="J12" s="137">
        <v>10340.0</v>
      </c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7">
        <v>495.0</v>
      </c>
      <c r="X12" s="48"/>
      <c r="Y12" s="47">
        <v>141.0</v>
      </c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>
        <v>99.0</v>
      </c>
      <c r="G13" s="64">
        <v>99.0</v>
      </c>
      <c r="H13" s="65"/>
      <c r="I13" s="65"/>
      <c r="J13" s="137">
        <v>10341.0</v>
      </c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465</v>
      </c>
      <c r="D14" s="24"/>
      <c r="E14" s="43">
        <v>5.0</v>
      </c>
      <c r="F14" s="56">
        <v>2364.0</v>
      </c>
      <c r="G14" s="64">
        <v>1500.0</v>
      </c>
      <c r="H14" s="139">
        <v>864.0</v>
      </c>
      <c r="I14" s="65"/>
      <c r="J14" s="137">
        <v>10342.0</v>
      </c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712</v>
      </c>
      <c r="D15" s="24"/>
      <c r="E15" s="43">
        <v>6.0</v>
      </c>
      <c r="F15" s="56">
        <v>249.0</v>
      </c>
      <c r="G15" s="64">
        <v>249.0</v>
      </c>
      <c r="H15" s="64"/>
      <c r="I15" s="65"/>
      <c r="J15" s="137">
        <v>10343.0</v>
      </c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42</v>
      </c>
      <c r="D16" s="24"/>
      <c r="E16" s="43">
        <v>7.0</v>
      </c>
      <c r="F16" s="56">
        <v>512.0</v>
      </c>
      <c r="G16" s="64">
        <v>512.0</v>
      </c>
      <c r="H16" s="64"/>
      <c r="I16" s="65"/>
      <c r="J16" s="137">
        <v>10344.0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42</v>
      </c>
      <c r="D17" s="24"/>
      <c r="E17" s="43">
        <v>8.0</v>
      </c>
      <c r="F17" s="56">
        <v>180.0</v>
      </c>
      <c r="G17" s="64">
        <v>180.0</v>
      </c>
      <c r="H17" s="64"/>
      <c r="I17" s="65"/>
      <c r="J17" s="137">
        <v>10345.0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867.0</v>
      </c>
      <c r="G18" s="64">
        <v>867.0</v>
      </c>
      <c r="H18" s="64"/>
      <c r="I18" s="65"/>
      <c r="J18" s="137">
        <v>10346.0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254.0</v>
      </c>
      <c r="G19" s="64">
        <v>254.0</v>
      </c>
      <c r="H19" s="65"/>
      <c r="I19" s="65"/>
      <c r="J19" s="137">
        <v>10347.0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59809</v>
      </c>
      <c r="D20" s="24"/>
      <c r="E20" s="43">
        <v>11.0</v>
      </c>
      <c r="F20" s="56">
        <v>453.0</v>
      </c>
      <c r="G20" s="64">
        <v>453.0</v>
      </c>
      <c r="H20" s="64"/>
      <c r="I20" s="65"/>
      <c r="J20" s="137">
        <v>10348.0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12918</v>
      </c>
      <c r="D21" s="24"/>
      <c r="E21" s="43">
        <v>12.0</v>
      </c>
      <c r="F21" s="56">
        <v>60.0</v>
      </c>
      <c r="G21" s="64">
        <v>60.0</v>
      </c>
      <c r="H21" s="64"/>
      <c r="I21" s="65"/>
      <c r="J21" s="137">
        <v>10349.0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68667</v>
      </c>
      <c r="D22" s="24"/>
      <c r="E22" s="43">
        <v>13.0</v>
      </c>
      <c r="F22" s="56">
        <v>1136.0</v>
      </c>
      <c r="G22" s="64">
        <v>1136.0</v>
      </c>
      <c r="H22" s="64"/>
      <c r="I22" s="65"/>
      <c r="J22" s="137">
        <v>10350.0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41">
        <v>60875.0</v>
      </c>
      <c r="D23" s="24"/>
      <c r="E23" s="43">
        <v>14.0</v>
      </c>
      <c r="F23" s="56">
        <v>275.0</v>
      </c>
      <c r="G23" s="64">
        <v>275.0</v>
      </c>
      <c r="H23" s="65"/>
      <c r="I23" s="65"/>
      <c r="J23" s="137">
        <v>10351.0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7792</v>
      </c>
      <c r="D24" s="24"/>
      <c r="E24" s="43">
        <v>15.0</v>
      </c>
      <c r="F24" s="56">
        <v>379.0</v>
      </c>
      <c r="G24" s="64">
        <v>379.0</v>
      </c>
      <c r="H24" s="65"/>
      <c r="I24" s="65"/>
      <c r="J24" s="137">
        <v>10352.0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655.0</v>
      </c>
      <c r="G25" s="64"/>
      <c r="H25" s="139">
        <v>655.0</v>
      </c>
      <c r="I25" s="65"/>
      <c r="J25" s="137">
        <v>10353.0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F106</f>
        <v>39155</v>
      </c>
      <c r="D26" s="24"/>
      <c r="E26" s="43">
        <v>17.0</v>
      </c>
      <c r="F26" s="56">
        <v>267.0</v>
      </c>
      <c r="G26" s="64"/>
      <c r="H26" s="139">
        <v>267.0</v>
      </c>
      <c r="I26" s="65"/>
      <c r="J26" s="137">
        <v>10354.0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>
        <v>93.0</v>
      </c>
      <c r="G27" s="64"/>
      <c r="H27" s="139">
        <v>93.0</v>
      </c>
      <c r="I27" s="65"/>
      <c r="J27" s="137">
        <v>10355.0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>
        <v>43.0</v>
      </c>
      <c r="G28" s="64">
        <v>43.0</v>
      </c>
      <c r="H28" s="65"/>
      <c r="I28" s="65"/>
      <c r="J28" s="137">
        <v>10356.0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248.0</v>
      </c>
      <c r="G29" s="64">
        <v>248.0</v>
      </c>
      <c r="H29" s="65"/>
      <c r="I29" s="65"/>
      <c r="J29" s="137">
        <v>10357.0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437.0</v>
      </c>
      <c r="G30" s="93"/>
      <c r="H30" s="143">
        <v>437.0</v>
      </c>
      <c r="I30" s="93"/>
      <c r="J30" s="137">
        <v>10358.0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>
        <f>S33</f>
        <v>14170</v>
      </c>
      <c r="D31" s="24"/>
      <c r="E31" s="43">
        <v>22.0</v>
      </c>
      <c r="F31" s="56">
        <v>1014.0</v>
      </c>
      <c r="G31" s="93">
        <v>1014.0</v>
      </c>
      <c r="H31" s="92"/>
      <c r="I31" s="92"/>
      <c r="J31" s="137">
        <v>10359.0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42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>
        <f>R34</f>
        <v>3500</v>
      </c>
      <c r="D32" s="24"/>
      <c r="E32" s="43">
        <v>23.0</v>
      </c>
      <c r="F32" s="56">
        <v>423.0</v>
      </c>
      <c r="G32" s="93">
        <v>423.0</v>
      </c>
      <c r="H32" s="92"/>
      <c r="I32" s="92"/>
      <c r="J32" s="137">
        <v>10360.0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388.0</v>
      </c>
      <c r="G33" s="93">
        <v>388.0</v>
      </c>
      <c r="H33" s="92"/>
      <c r="I33" s="92"/>
      <c r="J33" s="137">
        <v>10361.0</v>
      </c>
      <c r="K33" s="24"/>
      <c r="L33" s="104">
        <f t="shared" ref="L33:M33" si="2">sum(L10:L32)</f>
        <v>0</v>
      </c>
      <c r="M33" s="104">
        <f t="shared" si="2"/>
        <v>465</v>
      </c>
      <c r="N33" s="104"/>
      <c r="O33" s="105"/>
      <c r="P33" s="85" t="s">
        <v>38</v>
      </c>
      <c r="Q33" s="51"/>
      <c r="R33" s="100"/>
      <c r="S33" s="52">
        <v>14170.0</v>
      </c>
      <c r="T33" s="101"/>
      <c r="U33" s="55"/>
      <c r="V33" s="24"/>
      <c r="W33" s="104">
        <f t="shared" ref="W33:X33" si="3">sum(W10:W32)</f>
        <v>712</v>
      </c>
      <c r="X33" s="104">
        <f t="shared" si="3"/>
        <v>0</v>
      </c>
      <c r="Y33" s="104">
        <f>W33+X33</f>
        <v>712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455.0</v>
      </c>
      <c r="G34" s="93">
        <v>455.0</v>
      </c>
      <c r="H34" s="92"/>
      <c r="I34" s="92"/>
      <c r="J34" s="137">
        <v>10362.0</v>
      </c>
      <c r="K34" s="24"/>
      <c r="L34" s="106"/>
      <c r="M34" s="106"/>
      <c r="N34" s="106"/>
      <c r="O34" s="106"/>
      <c r="P34" s="85" t="s">
        <v>40</v>
      </c>
      <c r="Q34" s="107"/>
      <c r="R34" s="144">
        <v>3500.0</v>
      </c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80.0</v>
      </c>
      <c r="G35" s="92"/>
      <c r="H35" s="143">
        <v>80.0</v>
      </c>
      <c r="I35" s="92"/>
      <c r="J35" s="137">
        <v>10363.0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769.0</v>
      </c>
      <c r="G36" s="92"/>
      <c r="H36" s="143">
        <v>769.0</v>
      </c>
      <c r="I36" s="92"/>
      <c r="J36" s="137">
        <v>10364.0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147.0</v>
      </c>
      <c r="G37" s="93">
        <v>147.0</v>
      </c>
      <c r="H37" s="92"/>
      <c r="I37" s="92"/>
      <c r="J37" s="137">
        <v>10365.0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100.0</v>
      </c>
      <c r="G38" s="93">
        <v>100.0</v>
      </c>
      <c r="H38" s="92"/>
      <c r="I38" s="92"/>
      <c r="J38" s="137">
        <v>10366.0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20.0</v>
      </c>
      <c r="G39" s="93">
        <v>20.0</v>
      </c>
      <c r="H39" s="93"/>
      <c r="I39" s="92"/>
      <c r="J39" s="137">
        <v>10367.0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290.0</v>
      </c>
      <c r="G40" s="93">
        <v>290.0</v>
      </c>
      <c r="H40" s="93"/>
      <c r="I40" s="92"/>
      <c r="J40" s="137">
        <v>10368.0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623.0</v>
      </c>
      <c r="G41" s="93">
        <v>623.0</v>
      </c>
      <c r="H41" s="93"/>
      <c r="I41" s="92"/>
      <c r="J41" s="137">
        <v>10369.0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233.0</v>
      </c>
      <c r="G42" s="93"/>
      <c r="H42" s="143">
        <v>233.0</v>
      </c>
      <c r="I42" s="92"/>
      <c r="J42" s="137">
        <v>10370.0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355.0</v>
      </c>
      <c r="G43" s="93">
        <v>250.0</v>
      </c>
      <c r="H43" s="143">
        <v>105.0</v>
      </c>
      <c r="I43" s="92"/>
      <c r="J43" s="137">
        <v>10371.0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530.0</v>
      </c>
      <c r="G44" s="93">
        <v>530.0</v>
      </c>
      <c r="H44" s="93"/>
      <c r="I44" s="92"/>
      <c r="J44" s="137">
        <v>10372.0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261.0</v>
      </c>
      <c r="G45" s="93"/>
      <c r="H45" s="143">
        <v>261.0</v>
      </c>
      <c r="I45" s="92"/>
      <c r="J45" s="137">
        <v>10373.0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499.0</v>
      </c>
      <c r="G46" s="93">
        <v>499.0</v>
      </c>
      <c r="H46" s="92"/>
      <c r="I46" s="92"/>
      <c r="J46" s="137">
        <v>10374.0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340.0</v>
      </c>
      <c r="G47" s="93">
        <v>340.0</v>
      </c>
      <c r="H47" s="93"/>
      <c r="I47" s="92"/>
      <c r="J47" s="137">
        <v>10375.0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261.0</v>
      </c>
      <c r="G48" s="92"/>
      <c r="H48" s="143">
        <v>261.0</v>
      </c>
      <c r="I48" s="92"/>
      <c r="J48" s="137">
        <v>10376.0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141.0</v>
      </c>
      <c r="G49" s="92"/>
      <c r="H49" s="143">
        <v>141.0</v>
      </c>
      <c r="I49" s="92"/>
      <c r="J49" s="137">
        <v>10377.0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1006.0</v>
      </c>
      <c r="G50" s="93">
        <v>1006.0</v>
      </c>
      <c r="H50" s="93"/>
      <c r="I50" s="92"/>
      <c r="J50" s="137">
        <v>10378.0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65.0</v>
      </c>
      <c r="G51" s="93">
        <v>65.0</v>
      </c>
      <c r="H51" s="92"/>
      <c r="I51" s="92"/>
      <c r="J51" s="137">
        <v>10379.0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576.0</v>
      </c>
      <c r="G52" s="93">
        <v>576.0</v>
      </c>
      <c r="H52" s="92"/>
      <c r="I52" s="92"/>
      <c r="J52" s="137">
        <v>10380.0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437.0</v>
      </c>
      <c r="G53" s="93">
        <v>437.0</v>
      </c>
      <c r="H53" s="92"/>
      <c r="I53" s="92"/>
      <c r="J53" s="137">
        <v>10381.0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427.0</v>
      </c>
      <c r="G54" s="93">
        <v>427.0</v>
      </c>
      <c r="H54" s="92"/>
      <c r="I54" s="92"/>
      <c r="J54" s="137">
        <v>10382.0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95.0</v>
      </c>
      <c r="G55" s="93">
        <v>95.0</v>
      </c>
      <c r="H55" s="92"/>
      <c r="I55" s="92"/>
      <c r="J55" s="137">
        <v>10383.0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1384.0</v>
      </c>
      <c r="G56" s="93">
        <v>1384.0</v>
      </c>
      <c r="H56" s="92"/>
      <c r="I56" s="92"/>
      <c r="J56" s="137">
        <v>10384.0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1203.0</v>
      </c>
      <c r="G57" s="92"/>
      <c r="H57" s="143">
        <v>1203.0</v>
      </c>
      <c r="I57" s="92"/>
      <c r="J57" s="137">
        <v>10385.0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155.0</v>
      </c>
      <c r="G58" s="93">
        <v>105.0</v>
      </c>
      <c r="H58" s="143">
        <v>50.0</v>
      </c>
      <c r="I58" s="92"/>
      <c r="J58" s="137">
        <v>10386.0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179.0</v>
      </c>
      <c r="G59" s="93">
        <v>179.0</v>
      </c>
      <c r="H59" s="92"/>
      <c r="I59" s="92"/>
      <c r="J59" s="137">
        <v>10387.0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788.0</v>
      </c>
      <c r="G60" s="92"/>
      <c r="H60" s="143">
        <v>788.0</v>
      </c>
      <c r="I60" s="92"/>
      <c r="J60" s="137">
        <v>10388.0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379.0</v>
      </c>
      <c r="G61" s="92"/>
      <c r="H61" s="143">
        <v>379.0</v>
      </c>
      <c r="I61" s="92"/>
      <c r="J61" s="137">
        <v>10389.0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110.0</v>
      </c>
      <c r="G62" s="93">
        <v>110.0</v>
      </c>
      <c r="H62" s="92"/>
      <c r="I62" s="92"/>
      <c r="J62" s="137">
        <v>10390.0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899.0</v>
      </c>
      <c r="G63" s="93">
        <v>899.0</v>
      </c>
      <c r="H63" s="92"/>
      <c r="I63" s="92"/>
      <c r="J63" s="137">
        <v>10391.0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362.0</v>
      </c>
      <c r="G64" s="93">
        <v>362.0</v>
      </c>
      <c r="H64" s="92"/>
      <c r="I64" s="92"/>
      <c r="J64" s="137">
        <v>10392.0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1088.0</v>
      </c>
      <c r="G65" s="93">
        <v>1088.0</v>
      </c>
      <c r="H65" s="92"/>
      <c r="I65" s="92"/>
      <c r="J65" s="137">
        <v>10393.0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108.0</v>
      </c>
      <c r="G66" s="93">
        <v>108.0</v>
      </c>
      <c r="H66" s="92"/>
      <c r="I66" s="92"/>
      <c r="J66" s="137">
        <v>10394.0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140.0</v>
      </c>
      <c r="G67" s="92"/>
      <c r="H67" s="143">
        <v>140.0</v>
      </c>
      <c r="I67" s="92"/>
      <c r="J67" s="137">
        <v>10395.0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1046.0</v>
      </c>
      <c r="G68" s="93">
        <v>95.0</v>
      </c>
      <c r="H68" s="143">
        <v>951.0</v>
      </c>
      <c r="I68" s="92"/>
      <c r="J68" s="137">
        <v>10396.0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380.0</v>
      </c>
      <c r="G69" s="92"/>
      <c r="H69" s="92"/>
      <c r="I69" s="93">
        <v>380.0</v>
      </c>
      <c r="J69" s="137">
        <v>10397.0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46.0</v>
      </c>
      <c r="G70" s="93">
        <v>46.0</v>
      </c>
      <c r="H70" s="92"/>
      <c r="I70" s="92"/>
      <c r="J70" s="137">
        <v>10398.0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56">
        <v>16.0</v>
      </c>
      <c r="G71" s="92"/>
      <c r="H71" s="143">
        <v>16.0</v>
      </c>
      <c r="I71" s="92"/>
      <c r="J71" s="137">
        <v>10399.0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56">
        <v>74.0</v>
      </c>
      <c r="G72" s="92"/>
      <c r="H72" s="143">
        <v>74.0</v>
      </c>
      <c r="I72" s="92"/>
      <c r="J72" s="137">
        <v>10400.0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56">
        <v>1556.0</v>
      </c>
      <c r="G73" s="93">
        <v>1000.0</v>
      </c>
      <c r="H73" s="143">
        <v>556.0</v>
      </c>
      <c r="I73" s="92"/>
      <c r="J73" s="137">
        <v>10401.0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56">
        <v>178.0</v>
      </c>
      <c r="G74" s="93">
        <v>178.0</v>
      </c>
      <c r="H74" s="92"/>
      <c r="I74" s="92"/>
      <c r="J74" s="137">
        <v>10402.0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56">
        <v>6.0</v>
      </c>
      <c r="G75" s="93">
        <v>6.0</v>
      </c>
      <c r="H75" s="92"/>
      <c r="I75" s="92"/>
      <c r="J75" s="137">
        <v>10403.0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56">
        <v>90.0</v>
      </c>
      <c r="G76" s="92"/>
      <c r="H76" s="143">
        <v>90.0</v>
      </c>
      <c r="I76" s="92"/>
      <c r="J76" s="137">
        <v>10404.0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56">
        <v>628.0</v>
      </c>
      <c r="G77" s="93">
        <v>600.0</v>
      </c>
      <c r="H77" s="143">
        <v>28.0</v>
      </c>
      <c r="I77" s="92"/>
      <c r="J77" s="137">
        <v>10405.0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56">
        <v>740.0</v>
      </c>
      <c r="G78" s="93">
        <v>740.0</v>
      </c>
      <c r="H78" s="92"/>
      <c r="I78" s="92"/>
      <c r="J78" s="137">
        <v>10406.0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56">
        <v>20.0</v>
      </c>
      <c r="G79" s="92"/>
      <c r="H79" s="143">
        <v>20.0</v>
      </c>
      <c r="I79" s="92"/>
      <c r="J79" s="137">
        <v>10407.0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56">
        <v>192.0</v>
      </c>
      <c r="G80" s="92"/>
      <c r="H80" s="143">
        <v>192.0</v>
      </c>
      <c r="I80" s="92"/>
      <c r="J80" s="137">
        <v>10408.0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56">
        <v>248.0</v>
      </c>
      <c r="G81" s="92"/>
      <c r="H81" s="143">
        <v>248.0</v>
      </c>
      <c r="I81" s="92"/>
      <c r="J81" s="137">
        <v>10409.0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49">
        <v>114.0</v>
      </c>
      <c r="G82" s="54">
        <v>114.0</v>
      </c>
      <c r="H82" s="61"/>
      <c r="I82" s="61"/>
      <c r="J82" s="137">
        <v>10410.0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49">
        <v>229.0</v>
      </c>
      <c r="G83" s="54">
        <v>229.0</v>
      </c>
      <c r="H83" s="61"/>
      <c r="I83" s="61"/>
      <c r="J83" s="137">
        <v>10411.0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49">
        <v>145.0</v>
      </c>
      <c r="G84" s="54">
        <v>145.0</v>
      </c>
      <c r="H84" s="61"/>
      <c r="I84" s="61"/>
      <c r="J84" s="137">
        <v>10412.0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49">
        <v>160.0</v>
      </c>
      <c r="G85" s="61"/>
      <c r="H85" s="143">
        <v>160.0</v>
      </c>
      <c r="I85" s="61"/>
      <c r="J85" s="137">
        <v>10413.0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49">
        <v>1300.0</v>
      </c>
      <c r="G86" s="54">
        <v>1000.0</v>
      </c>
      <c r="H86" s="143">
        <v>300.0</v>
      </c>
      <c r="I86" s="61"/>
      <c r="J86" s="137">
        <v>10414.0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49">
        <v>94.0</v>
      </c>
      <c r="G87" s="54">
        <v>94.0</v>
      </c>
      <c r="H87" s="61"/>
      <c r="I87" s="61"/>
      <c r="J87" s="137">
        <v>10415.0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49">
        <v>502.0</v>
      </c>
      <c r="G88" s="54">
        <v>502.0</v>
      </c>
      <c r="H88" s="61"/>
      <c r="I88" s="61"/>
      <c r="J88" s="137">
        <v>10416.0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49">
        <v>11.0</v>
      </c>
      <c r="G89" s="54">
        <v>11.0</v>
      </c>
      <c r="H89" s="61"/>
      <c r="I89" s="61"/>
      <c r="J89" s="137">
        <v>10417.0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49">
        <v>321.0</v>
      </c>
      <c r="G90" s="61"/>
      <c r="H90" s="143">
        <v>321.0</v>
      </c>
      <c r="I90" s="61"/>
      <c r="J90" s="137">
        <v>10418.0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49">
        <v>350.0</v>
      </c>
      <c r="G91" s="61"/>
      <c r="H91" s="143">
        <v>350.0</v>
      </c>
      <c r="I91" s="61"/>
      <c r="J91" s="137">
        <v>10419.0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49">
        <v>93.0</v>
      </c>
      <c r="G92" s="54">
        <v>93.0</v>
      </c>
      <c r="H92" s="61"/>
      <c r="I92" s="61"/>
      <c r="J92" s="137">
        <v>10420.0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49">
        <v>99.0</v>
      </c>
      <c r="G93" s="61"/>
      <c r="H93" s="143">
        <v>99.0</v>
      </c>
      <c r="I93" s="61"/>
      <c r="J93" s="137">
        <v>10421.0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49">
        <v>100.0</v>
      </c>
      <c r="G94" s="54">
        <v>100.0</v>
      </c>
      <c r="H94" s="61"/>
      <c r="I94" s="61"/>
      <c r="J94" s="137">
        <v>10422.0</v>
      </c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49">
        <v>2207.0</v>
      </c>
      <c r="G95" s="61"/>
      <c r="H95" s="143">
        <v>2207.0</v>
      </c>
      <c r="I95" s="61"/>
      <c r="J95" s="137">
        <v>10423.0</v>
      </c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49">
        <v>238.0</v>
      </c>
      <c r="G96" s="54">
        <v>238.0</v>
      </c>
      <c r="H96" s="61"/>
      <c r="I96" s="61"/>
      <c r="J96" s="137">
        <v>10424.0</v>
      </c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24"/>
      <c r="E97" s="43">
        <v>88.0</v>
      </c>
      <c r="F97" s="149">
        <v>14.0</v>
      </c>
      <c r="G97" s="61"/>
      <c r="H97" s="143">
        <v>14.0</v>
      </c>
      <c r="I97" s="61"/>
      <c r="J97" s="137">
        <v>10425.0</v>
      </c>
      <c r="K97" s="24"/>
      <c r="L97" s="112"/>
      <c r="M97" s="112"/>
      <c r="N97" s="112"/>
      <c r="O97" s="112"/>
      <c r="P97" s="112"/>
      <c r="Q97" s="113"/>
      <c r="R97" s="114"/>
      <c r="S97" s="114"/>
      <c r="T97" s="114"/>
      <c r="U97" s="115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</row>
    <row r="98" ht="14.25" customHeight="1">
      <c r="A98" s="1"/>
      <c r="B98" s="1"/>
      <c r="C98" s="1"/>
      <c r="D98" s="24"/>
      <c r="E98" s="43">
        <v>89.0</v>
      </c>
      <c r="F98" s="149">
        <v>101.0</v>
      </c>
      <c r="G98" s="61"/>
      <c r="H98" s="143">
        <v>101.0</v>
      </c>
      <c r="I98" s="61"/>
      <c r="J98" s="137">
        <v>10426.0</v>
      </c>
      <c r="K98" s="24"/>
      <c r="L98" s="112"/>
      <c r="M98" s="112"/>
      <c r="N98" s="112"/>
      <c r="O98" s="112"/>
      <c r="P98" s="112"/>
      <c r="Q98" s="113"/>
      <c r="R98" s="114"/>
      <c r="S98" s="114"/>
      <c r="T98" s="114"/>
      <c r="U98" s="115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</row>
    <row r="99" ht="14.25" customHeight="1">
      <c r="A99" s="1"/>
      <c r="B99" s="1"/>
      <c r="C99" s="1"/>
      <c r="D99" s="24"/>
      <c r="E99" s="43">
        <v>90.0</v>
      </c>
      <c r="F99" s="149">
        <v>1153.0</v>
      </c>
      <c r="G99" s="61"/>
      <c r="H99" s="61"/>
      <c r="I99" s="54">
        <v>1153.0</v>
      </c>
      <c r="J99" s="137">
        <v>10427.0</v>
      </c>
      <c r="K99" s="24"/>
      <c r="L99" s="112"/>
      <c r="M99" s="112"/>
      <c r="N99" s="112"/>
      <c r="O99" s="112"/>
      <c r="P99" s="112"/>
      <c r="Q99" s="113"/>
      <c r="R99" s="114"/>
      <c r="S99" s="114"/>
      <c r="T99" s="114"/>
      <c r="U99" s="115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</row>
    <row r="100" ht="14.25" customHeight="1">
      <c r="A100" s="1"/>
      <c r="B100" s="1"/>
      <c r="C100" s="1"/>
      <c r="D100" s="24"/>
      <c r="E100" s="43">
        <v>91.0</v>
      </c>
      <c r="F100" s="149">
        <v>693.0</v>
      </c>
      <c r="G100" s="61"/>
      <c r="H100" s="61"/>
      <c r="I100" s="54">
        <v>693.0</v>
      </c>
      <c r="J100" s="137">
        <v>10428.0</v>
      </c>
      <c r="K100" s="24"/>
      <c r="L100" s="112"/>
      <c r="M100" s="112"/>
      <c r="N100" s="112"/>
      <c r="O100" s="112"/>
      <c r="P100" s="112"/>
      <c r="Q100" s="113"/>
      <c r="R100" s="114"/>
      <c r="S100" s="114"/>
      <c r="T100" s="114"/>
      <c r="U100" s="115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</row>
    <row r="101" ht="14.25" customHeight="1">
      <c r="A101" s="1"/>
      <c r="B101" s="1"/>
      <c r="C101" s="1"/>
      <c r="D101" s="24"/>
      <c r="E101" s="43">
        <v>92.0</v>
      </c>
      <c r="F101" s="149">
        <v>96.0</v>
      </c>
      <c r="G101" s="61"/>
      <c r="H101" s="61"/>
      <c r="I101" s="54">
        <v>96.0</v>
      </c>
      <c r="J101" s="137">
        <v>10429.0</v>
      </c>
      <c r="K101" s="24"/>
      <c r="L101" s="112"/>
      <c r="M101" s="112"/>
      <c r="N101" s="112"/>
      <c r="O101" s="112"/>
      <c r="P101" s="112"/>
      <c r="Q101" s="113"/>
      <c r="R101" s="114"/>
      <c r="S101" s="114"/>
      <c r="T101" s="114"/>
      <c r="U101" s="115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</row>
    <row r="102" ht="14.25" customHeight="1">
      <c r="A102" s="1"/>
      <c r="B102" s="1"/>
      <c r="C102" s="1"/>
      <c r="D102" s="24"/>
      <c r="E102" s="43">
        <v>93.0</v>
      </c>
      <c r="F102" s="121"/>
      <c r="G102" s="61"/>
      <c r="H102" s="61"/>
      <c r="I102" s="61"/>
      <c r="J102" s="137">
        <v>10430.0</v>
      </c>
      <c r="K102" s="24"/>
      <c r="L102" s="112"/>
      <c r="M102" s="112"/>
      <c r="N102" s="112"/>
      <c r="O102" s="112"/>
      <c r="P102" s="112"/>
      <c r="Q102" s="113"/>
      <c r="R102" s="114"/>
      <c r="S102" s="114"/>
      <c r="T102" s="114"/>
      <c r="U102" s="115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</row>
    <row r="103" ht="14.25" customHeight="1">
      <c r="A103" s="1"/>
      <c r="B103" s="1"/>
      <c r="C103" s="1"/>
      <c r="D103" s="24"/>
      <c r="E103" s="43">
        <v>94.0</v>
      </c>
      <c r="F103" s="121"/>
      <c r="G103" s="61"/>
      <c r="H103" s="61"/>
      <c r="I103" s="61"/>
      <c r="J103" s="137">
        <v>10431.0</v>
      </c>
      <c r="K103" s="24"/>
      <c r="L103" s="112"/>
      <c r="M103" s="112"/>
      <c r="N103" s="112"/>
      <c r="O103" s="112"/>
      <c r="P103" s="112"/>
      <c r="Q103" s="113"/>
      <c r="R103" s="114"/>
      <c r="S103" s="114"/>
      <c r="T103" s="114"/>
      <c r="U103" s="115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</row>
    <row r="104" ht="14.25" customHeight="1">
      <c r="A104" s="1"/>
      <c r="B104" s="1"/>
      <c r="C104" s="1"/>
      <c r="D104" s="24"/>
      <c r="E104" s="43">
        <v>95.0</v>
      </c>
      <c r="F104" s="121"/>
      <c r="G104" s="61"/>
      <c r="H104" s="61"/>
      <c r="I104" s="61"/>
      <c r="J104" s="137">
        <v>10432.0</v>
      </c>
      <c r="K104" s="24"/>
      <c r="L104" s="112"/>
      <c r="M104" s="112"/>
      <c r="N104" s="112"/>
      <c r="O104" s="112"/>
      <c r="P104" s="112"/>
      <c r="Q104" s="113"/>
      <c r="R104" s="114"/>
      <c r="S104" s="114"/>
      <c r="T104" s="114"/>
      <c r="U104" s="115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</row>
    <row r="105" ht="14.25" customHeight="1">
      <c r="A105" s="1"/>
      <c r="B105" s="1"/>
      <c r="C105" s="1"/>
      <c r="D105" s="24"/>
      <c r="E105" s="43">
        <v>96.0</v>
      </c>
      <c r="F105" s="121"/>
      <c r="G105" s="61"/>
      <c r="H105" s="61"/>
      <c r="I105" s="61"/>
      <c r="J105" s="137">
        <v>10433.0</v>
      </c>
      <c r="K105" s="24"/>
      <c r="L105" s="112"/>
      <c r="M105" s="112"/>
      <c r="N105" s="112"/>
      <c r="O105" s="112"/>
      <c r="P105" s="112"/>
      <c r="Q105" s="113"/>
      <c r="R105" s="114"/>
      <c r="S105" s="114"/>
      <c r="T105" s="114"/>
      <c r="U105" s="115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</row>
    <row r="106" ht="14.25" customHeight="1">
      <c r="A106" s="1"/>
      <c r="B106" s="1"/>
      <c r="C106" s="1"/>
      <c r="D106" s="1"/>
      <c r="E106" s="122"/>
      <c r="F106" s="123">
        <f t="shared" ref="F106:I106" si="4">SUM(F10:F105)</f>
        <v>39155</v>
      </c>
      <c r="G106" s="123">
        <f t="shared" si="4"/>
        <v>24380</v>
      </c>
      <c r="H106" s="123">
        <f t="shared" si="4"/>
        <v>12453</v>
      </c>
      <c r="I106" s="123">
        <f t="shared" si="4"/>
        <v>2322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18"/>
      <c r="C107" s="118"/>
      <c r="D107" s="1"/>
      <c r="E107" s="124"/>
      <c r="F107" s="124"/>
      <c r="G107" s="124"/>
      <c r="H107" s="124"/>
      <c r="I107" s="125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18"/>
      <c r="C108" s="1"/>
      <c r="D108" s="1"/>
      <c r="E108" s="8"/>
      <c r="F108" s="8"/>
      <c r="G108" s="8"/>
      <c r="H108" s="8"/>
      <c r="I108" s="8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8"/>
      <c r="F109" s="8"/>
      <c r="G109" s="8"/>
      <c r="H109" s="8"/>
      <c r="I109" s="8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8"/>
      <c r="F110" s="8"/>
      <c r="G110" s="8"/>
      <c r="H110" s="8"/>
      <c r="I110" s="8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8"/>
      <c r="F111" s="8"/>
      <c r="G111" s="8"/>
      <c r="H111" s="8"/>
      <c r="I111" s="8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8"/>
      <c r="F112" s="8"/>
      <c r="G112" s="8"/>
      <c r="H112" s="8"/>
      <c r="I112" s="8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26"/>
      <c r="H119" s="12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32">
        <v>45984.0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68667.0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12918.0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59809.0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F107-C15</f>
        <v>17776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G107-W33</f>
        <v>11458</v>
      </c>
      <c r="D10" s="24"/>
      <c r="E10" s="43">
        <v>1.0</v>
      </c>
      <c r="F10" s="44">
        <v>229.0</v>
      </c>
      <c r="G10" s="45">
        <v>229.0</v>
      </c>
      <c r="H10" s="45"/>
      <c r="I10" s="45"/>
      <c r="J10" s="137">
        <v>10430.0</v>
      </c>
      <c r="K10" s="24"/>
      <c r="L10" s="47"/>
      <c r="M10" s="171">
        <v>650.0</v>
      </c>
      <c r="N10" s="171">
        <v>10427.0</v>
      </c>
      <c r="O10" s="49"/>
      <c r="P10" s="85" t="s">
        <v>149</v>
      </c>
      <c r="Q10" s="51"/>
      <c r="R10" s="52">
        <v>200.0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H107-X33</f>
        <v>5110</v>
      </c>
      <c r="D11" s="24"/>
      <c r="E11" s="43">
        <v>2.0</v>
      </c>
      <c r="F11" s="56">
        <v>163.0</v>
      </c>
      <c r="G11" s="57">
        <v>163.0</v>
      </c>
      <c r="H11" s="58"/>
      <c r="I11" s="59"/>
      <c r="J11" s="137">
        <v>10431.0</v>
      </c>
      <c r="K11" s="24"/>
      <c r="L11" s="47">
        <v>1100.0</v>
      </c>
      <c r="M11" s="47"/>
      <c r="N11" s="47">
        <v>10332.0</v>
      </c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I107</f>
        <v>1208</v>
      </c>
      <c r="D12" s="24"/>
      <c r="E12" s="43">
        <v>3.0</v>
      </c>
      <c r="F12" s="63">
        <v>206.0</v>
      </c>
      <c r="G12" s="64">
        <v>200.0</v>
      </c>
      <c r="H12" s="139">
        <v>6.0</v>
      </c>
      <c r="I12" s="65"/>
      <c r="J12" s="137">
        <v>10432.0</v>
      </c>
      <c r="K12" s="24"/>
      <c r="L12" s="47">
        <v>380.0</v>
      </c>
      <c r="M12" s="48"/>
      <c r="N12" s="47">
        <v>10397.0</v>
      </c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2280</v>
      </c>
      <c r="D13" s="24"/>
      <c r="E13" s="43">
        <v>4.0</v>
      </c>
      <c r="F13" s="56">
        <v>163.0</v>
      </c>
      <c r="G13" s="64">
        <v>163.0</v>
      </c>
      <c r="H13" s="65"/>
      <c r="I13" s="65"/>
      <c r="J13" s="137">
        <v>10433.0</v>
      </c>
      <c r="K13" s="24"/>
      <c r="L13" s="47">
        <v>800.0</v>
      </c>
      <c r="M13" s="48"/>
      <c r="N13" s="48">
        <v>10073.0</v>
      </c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650</v>
      </c>
      <c r="D14" s="24"/>
      <c r="E14" s="43">
        <v>5.0</v>
      </c>
      <c r="F14" s="56">
        <v>154.0</v>
      </c>
      <c r="G14" s="64">
        <v>154.0</v>
      </c>
      <c r="H14" s="65"/>
      <c r="I14" s="65"/>
      <c r="J14" s="137">
        <v>10434.0</v>
      </c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>
        <v>543.0</v>
      </c>
      <c r="G15" s="64">
        <v>543.0</v>
      </c>
      <c r="H15" s="64"/>
      <c r="I15" s="65"/>
      <c r="J15" s="137">
        <v>10435.0</v>
      </c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200</v>
      </c>
      <c r="D16" s="24"/>
      <c r="E16" s="43">
        <v>7.0</v>
      </c>
      <c r="F16" s="56">
        <v>402.0</v>
      </c>
      <c r="G16" s="64"/>
      <c r="H16" s="139">
        <v>402.0</v>
      </c>
      <c r="I16" s="65"/>
      <c r="J16" s="137">
        <v>10436.0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200</v>
      </c>
      <c r="D17" s="24"/>
      <c r="E17" s="43">
        <v>8.0</v>
      </c>
      <c r="F17" s="56">
        <v>9.0</v>
      </c>
      <c r="G17" s="64">
        <v>9.0</v>
      </c>
      <c r="H17" s="64"/>
      <c r="I17" s="65"/>
      <c r="J17" s="137">
        <v>10437.0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495.0</v>
      </c>
      <c r="G18" s="64"/>
      <c r="H18" s="139">
        <v>495.0</v>
      </c>
      <c r="I18" s="65"/>
      <c r="J18" s="137">
        <v>10438.0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536.0</v>
      </c>
      <c r="G19" s="64"/>
      <c r="H19" s="139">
        <v>536.0</v>
      </c>
      <c r="I19" s="65"/>
      <c r="J19" s="137">
        <v>10439.0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58087</v>
      </c>
      <c r="D20" s="24"/>
      <c r="E20" s="43">
        <v>11.0</v>
      </c>
      <c r="F20" s="56">
        <v>126.0</v>
      </c>
      <c r="G20" s="64">
        <v>126.0</v>
      </c>
      <c r="H20" s="64"/>
      <c r="I20" s="65"/>
      <c r="J20" s="137">
        <v>10440.0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5760</v>
      </c>
      <c r="D21" s="24"/>
      <c r="E21" s="43">
        <v>12.0</v>
      </c>
      <c r="F21" s="56">
        <v>20.0</v>
      </c>
      <c r="G21" s="64">
        <v>20.0</v>
      </c>
      <c r="H21" s="64"/>
      <c r="I21" s="65"/>
      <c r="J21" s="137">
        <v>10441.0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82205</v>
      </c>
      <c r="D22" s="24"/>
      <c r="E22" s="43">
        <v>13.0</v>
      </c>
      <c r="F22" s="56">
        <v>56.0</v>
      </c>
      <c r="G22" s="64">
        <v>56.0</v>
      </c>
      <c r="H22" s="64"/>
      <c r="I22" s="65"/>
      <c r="J22" s="137">
        <v>10442.0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41">
        <v>74413.0</v>
      </c>
      <c r="D23" s="24"/>
      <c r="E23" s="43">
        <v>14.0</v>
      </c>
      <c r="F23" s="56">
        <v>420.0</v>
      </c>
      <c r="G23" s="65"/>
      <c r="H23" s="139">
        <v>420.0</v>
      </c>
      <c r="I23" s="65"/>
      <c r="J23" s="137">
        <v>10443.0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7792</v>
      </c>
      <c r="D24" s="24"/>
      <c r="E24" s="43">
        <v>15.0</v>
      </c>
      <c r="F24" s="56">
        <v>399.0</v>
      </c>
      <c r="G24" s="64">
        <v>399.0</v>
      </c>
      <c r="H24" s="65"/>
      <c r="I24" s="65"/>
      <c r="J24" s="137">
        <v>10444.0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1366.0</v>
      </c>
      <c r="G25" s="64">
        <v>1366.0</v>
      </c>
      <c r="H25" s="65"/>
      <c r="I25" s="65"/>
      <c r="J25" s="137">
        <v>10445.0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F107</f>
        <v>17776</v>
      </c>
      <c r="D26" s="24"/>
      <c r="E26" s="43">
        <v>17.0</v>
      </c>
      <c r="F26" s="56">
        <v>274.0</v>
      </c>
      <c r="G26" s="64">
        <v>274.0</v>
      </c>
      <c r="H26" s="65"/>
      <c r="I26" s="65"/>
      <c r="J26" s="137">
        <v>10446.0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57.0</v>
      </c>
      <c r="D27" s="24"/>
      <c r="E27" s="43">
        <v>18.0</v>
      </c>
      <c r="F27" s="56">
        <v>812.0</v>
      </c>
      <c r="G27" s="64">
        <v>812.0</v>
      </c>
      <c r="H27" s="65"/>
      <c r="I27" s="65"/>
      <c r="J27" s="137">
        <v>10447.0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311.8596491</v>
      </c>
      <c r="D28" s="24"/>
      <c r="E28" s="43">
        <v>19.0</v>
      </c>
      <c r="F28" s="56">
        <v>977.0</v>
      </c>
      <c r="G28" s="64">
        <v>977.0</v>
      </c>
      <c r="H28" s="65"/>
      <c r="I28" s="65"/>
      <c r="J28" s="137">
        <v>10448.0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63.0</v>
      </c>
      <c r="G29" s="64">
        <v>63.0</v>
      </c>
      <c r="H29" s="65"/>
      <c r="I29" s="65"/>
      <c r="J29" s="137">
        <v>10449.0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42.0</v>
      </c>
      <c r="G30" s="93">
        <v>42.0</v>
      </c>
      <c r="H30" s="92"/>
      <c r="I30" s="93"/>
      <c r="J30" s="137">
        <v>10450.0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>
        <f>S33</f>
        <v>12918</v>
      </c>
      <c r="D31" s="24"/>
      <c r="E31" s="43">
        <v>22.0</v>
      </c>
      <c r="F31" s="56">
        <v>761.0</v>
      </c>
      <c r="G31" s="93">
        <v>761.0</v>
      </c>
      <c r="H31" s="92"/>
      <c r="I31" s="92"/>
      <c r="J31" s="137">
        <v>10451.0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200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>
        <v>361.0</v>
      </c>
      <c r="G32" s="93">
        <v>361.0</v>
      </c>
      <c r="H32" s="92"/>
      <c r="I32" s="92"/>
      <c r="J32" s="137">
        <v>10452.0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315.0</v>
      </c>
      <c r="G33" s="93"/>
      <c r="H33" s="145">
        <v>315.0</v>
      </c>
      <c r="I33" s="92"/>
      <c r="J33" s="146" t="s">
        <v>218</v>
      </c>
      <c r="K33" s="24"/>
      <c r="L33" s="104">
        <f t="shared" ref="L33:M33" si="2">sum(L10:L32)</f>
        <v>2280</v>
      </c>
      <c r="M33" s="104">
        <f t="shared" si="2"/>
        <v>650</v>
      </c>
      <c r="N33" s="104"/>
      <c r="O33" s="105"/>
      <c r="P33" s="85" t="s">
        <v>38</v>
      </c>
      <c r="Q33" s="51"/>
      <c r="R33" s="100"/>
      <c r="S33" s="52">
        <v>12918.0</v>
      </c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700.0</v>
      </c>
      <c r="G34" s="93">
        <v>700.0</v>
      </c>
      <c r="H34" s="92"/>
      <c r="I34" s="92"/>
      <c r="J34" s="137">
        <v>10454.0</v>
      </c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29.0</v>
      </c>
      <c r="G35" s="92"/>
      <c r="H35" s="143">
        <v>29.0</v>
      </c>
      <c r="I35" s="92"/>
      <c r="J35" s="137">
        <v>10455.0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528.0</v>
      </c>
      <c r="G36" s="92"/>
      <c r="H36" s="93"/>
      <c r="I36" s="147">
        <v>528.0</v>
      </c>
      <c r="J36" s="148" t="s">
        <v>219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46.0</v>
      </c>
      <c r="G37" s="93"/>
      <c r="H37" s="143">
        <v>46.0</v>
      </c>
      <c r="I37" s="92"/>
      <c r="J37" s="137">
        <v>10457.0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99.0</v>
      </c>
      <c r="G38" s="93">
        <v>99.0</v>
      </c>
      <c r="H38" s="92"/>
      <c r="I38" s="92"/>
      <c r="J38" s="137">
        <v>10458.0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49.0</v>
      </c>
      <c r="G39" s="93">
        <v>49.0</v>
      </c>
      <c r="H39" s="93"/>
      <c r="I39" s="92"/>
      <c r="J39" s="137">
        <v>10459.0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764.0</v>
      </c>
      <c r="G40" s="93">
        <v>764.0</v>
      </c>
      <c r="H40" s="93"/>
      <c r="I40" s="92"/>
      <c r="J40" s="137">
        <v>10460.0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291.0</v>
      </c>
      <c r="G41" s="93">
        <v>291.0</v>
      </c>
      <c r="H41" s="93"/>
      <c r="I41" s="92"/>
      <c r="J41" s="137">
        <v>10461.0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42.0</v>
      </c>
      <c r="G42" s="93">
        <v>42.0</v>
      </c>
      <c r="H42" s="93"/>
      <c r="I42" s="92"/>
      <c r="J42" s="137">
        <v>10462.0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1108.0</v>
      </c>
      <c r="G43" s="93">
        <v>1108.0</v>
      </c>
      <c r="H43" s="92"/>
      <c r="I43" s="92"/>
      <c r="J43" s="137">
        <v>10463.0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14.0</v>
      </c>
      <c r="G44" s="92"/>
      <c r="H44" s="143">
        <v>14.0</v>
      </c>
      <c r="I44" s="92"/>
      <c r="J44" s="137">
        <v>10464.0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226.0</v>
      </c>
      <c r="G45" s="93"/>
      <c r="H45" s="145">
        <v>226.0</v>
      </c>
      <c r="I45" s="92"/>
      <c r="J45" s="146" t="s">
        <v>220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614.0</v>
      </c>
      <c r="G46" s="93"/>
      <c r="H46" s="143">
        <v>614.0</v>
      </c>
      <c r="I46" s="92"/>
      <c r="J46" s="137">
        <v>10466.0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215.0</v>
      </c>
      <c r="G47" s="93">
        <v>215.0</v>
      </c>
      <c r="H47" s="93"/>
      <c r="I47" s="92"/>
      <c r="J47" s="137">
        <v>10467.0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680.0</v>
      </c>
      <c r="G48" s="92"/>
      <c r="H48" s="92"/>
      <c r="I48" s="147">
        <v>680.0</v>
      </c>
      <c r="J48" s="148" t="s">
        <v>221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58.0</v>
      </c>
      <c r="G49" s="93">
        <v>58.0</v>
      </c>
      <c r="H49" s="92"/>
      <c r="I49" s="92"/>
      <c r="J49" s="137">
        <v>10469.0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284.0</v>
      </c>
      <c r="G50" s="93">
        <v>284.0</v>
      </c>
      <c r="H50" s="93"/>
      <c r="I50" s="92"/>
      <c r="J50" s="137">
        <v>10470.0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50.0</v>
      </c>
      <c r="G51" s="92"/>
      <c r="H51" s="143">
        <v>50.0</v>
      </c>
      <c r="I51" s="92"/>
      <c r="J51" s="137">
        <v>10471.0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57.0</v>
      </c>
      <c r="G52" s="92"/>
      <c r="H52" s="143">
        <v>57.0</v>
      </c>
      <c r="I52" s="92"/>
      <c r="J52" s="137">
        <v>10472.0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347.0</v>
      </c>
      <c r="G53" s="93">
        <v>347.0</v>
      </c>
      <c r="H53" s="92"/>
      <c r="I53" s="92"/>
      <c r="J53" s="137">
        <v>10473.0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120.0</v>
      </c>
      <c r="G54" s="92"/>
      <c r="H54" s="143">
        <v>120.0</v>
      </c>
      <c r="I54" s="92"/>
      <c r="J54" s="137">
        <v>10474.0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163.0</v>
      </c>
      <c r="G55" s="93">
        <v>163.0</v>
      </c>
      <c r="H55" s="92"/>
      <c r="I55" s="92"/>
      <c r="J55" s="137">
        <v>10475.0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131.0</v>
      </c>
      <c r="G56" s="93"/>
      <c r="H56" s="143">
        <v>131.0</v>
      </c>
      <c r="I56" s="92"/>
      <c r="J56" s="137">
        <v>10476.0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51">
        <v>132.0</v>
      </c>
      <c r="G57" s="93"/>
      <c r="H57" s="143">
        <v>132.0</v>
      </c>
      <c r="I57" s="92"/>
      <c r="J57" s="137">
        <v>10477.0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197.0</v>
      </c>
      <c r="G58" s="92"/>
      <c r="H58" s="143">
        <v>197.0</v>
      </c>
      <c r="I58" s="92"/>
      <c r="J58" s="137">
        <v>10478.0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253.0</v>
      </c>
      <c r="G59" s="93">
        <v>253.0</v>
      </c>
      <c r="H59" s="92"/>
      <c r="I59" s="92"/>
      <c r="J59" s="137">
        <v>10479.0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132.0</v>
      </c>
      <c r="G60" s="92"/>
      <c r="H60" s="143">
        <v>132.0</v>
      </c>
      <c r="I60" s="92"/>
      <c r="J60" s="137">
        <v>10480.0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15.0</v>
      </c>
      <c r="G61" s="92"/>
      <c r="H61" s="143">
        <v>15.0</v>
      </c>
      <c r="I61" s="92"/>
      <c r="J61" s="137">
        <v>10481.0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759.0</v>
      </c>
      <c r="G62" s="92"/>
      <c r="H62" s="145">
        <v>759.0</v>
      </c>
      <c r="I62" s="92"/>
      <c r="J62" s="146" t="s">
        <v>222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414.0</v>
      </c>
      <c r="G63" s="92"/>
      <c r="H63" s="143">
        <v>414.0</v>
      </c>
      <c r="I63" s="92"/>
      <c r="J63" s="137">
        <v>10483.0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99.0</v>
      </c>
      <c r="G64" s="93">
        <v>99.0</v>
      </c>
      <c r="H64" s="92"/>
      <c r="I64" s="92"/>
      <c r="J64" s="137">
        <v>10484.0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147.0</v>
      </c>
      <c r="G65" s="93">
        <v>147.0</v>
      </c>
      <c r="H65" s="92"/>
      <c r="I65" s="92"/>
      <c r="J65" s="137">
        <v>10485.0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121.0</v>
      </c>
      <c r="G66" s="93">
        <v>121.0</v>
      </c>
      <c r="H66" s="92"/>
      <c r="I66" s="92"/>
      <c r="J66" s="137">
        <v>10486.0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137">
        <v>10487.0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137">
        <v>10488.0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137">
        <v>10489.0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137">
        <v>10490.0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137">
        <v>10491.0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137">
        <v>10492.0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137">
        <v>10493.0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137">
        <v>10494.0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137">
        <v>10495.0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137">
        <v>10496.0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137">
        <v>10497.0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137">
        <v>10498.0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137">
        <v>10499.0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137">
        <v>10500.0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137">
        <v>10501.0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137">
        <v>10502.0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137">
        <v>10503.0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137">
        <v>10504.0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137">
        <v>10505.0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137">
        <v>10506.0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137">
        <v>10507.0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137">
        <v>10508.0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137">
        <v>10509.0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137">
        <v>10510.0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137">
        <v>10511.0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137">
        <v>10512.0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137">
        <v>10513.0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137">
        <v>10514.0</v>
      </c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137">
        <v>10515.0</v>
      </c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137">
        <v>10516.0</v>
      </c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24"/>
      <c r="E97" s="43">
        <v>88.0</v>
      </c>
      <c r="F97" s="121"/>
      <c r="G97" s="61"/>
      <c r="H97" s="61"/>
      <c r="I97" s="61"/>
      <c r="J97" s="137">
        <v>10517.0</v>
      </c>
      <c r="K97" s="24"/>
      <c r="L97" s="112"/>
      <c r="M97" s="112"/>
      <c r="N97" s="112"/>
      <c r="O97" s="112"/>
      <c r="P97" s="112"/>
      <c r="Q97" s="113"/>
      <c r="R97" s="114"/>
      <c r="S97" s="114"/>
      <c r="T97" s="114"/>
      <c r="U97" s="115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</row>
    <row r="98" ht="14.25" customHeight="1">
      <c r="A98" s="1"/>
      <c r="B98" s="1"/>
      <c r="C98" s="1"/>
      <c r="D98" s="24"/>
      <c r="E98" s="43">
        <v>89.0</v>
      </c>
      <c r="F98" s="121"/>
      <c r="G98" s="61"/>
      <c r="H98" s="61"/>
      <c r="I98" s="61"/>
      <c r="J98" s="137">
        <v>10518.0</v>
      </c>
      <c r="K98" s="24"/>
      <c r="L98" s="112"/>
      <c r="M98" s="112"/>
      <c r="N98" s="112"/>
      <c r="O98" s="112"/>
      <c r="P98" s="112"/>
      <c r="Q98" s="113"/>
      <c r="R98" s="114"/>
      <c r="S98" s="114"/>
      <c r="T98" s="114"/>
      <c r="U98" s="115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</row>
    <row r="99" ht="14.25" customHeight="1">
      <c r="A99" s="1"/>
      <c r="B99" s="1"/>
      <c r="C99" s="1"/>
      <c r="D99" s="24"/>
      <c r="E99" s="43">
        <v>90.0</v>
      </c>
      <c r="F99" s="121"/>
      <c r="G99" s="61"/>
      <c r="H99" s="61"/>
      <c r="I99" s="61"/>
      <c r="J99" s="137">
        <v>10519.0</v>
      </c>
      <c r="K99" s="24"/>
      <c r="L99" s="112"/>
      <c r="M99" s="112"/>
      <c r="N99" s="112"/>
      <c r="O99" s="112"/>
      <c r="P99" s="112"/>
      <c r="Q99" s="113"/>
      <c r="R99" s="114"/>
      <c r="S99" s="114"/>
      <c r="T99" s="114"/>
      <c r="U99" s="115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</row>
    <row r="100" ht="14.25" customHeight="1">
      <c r="A100" s="1"/>
      <c r="B100" s="1"/>
      <c r="C100" s="1"/>
      <c r="D100" s="24"/>
      <c r="E100" s="43">
        <v>91.0</v>
      </c>
      <c r="F100" s="121"/>
      <c r="G100" s="61"/>
      <c r="H100" s="61"/>
      <c r="I100" s="61"/>
      <c r="J100" s="137">
        <v>10520.0</v>
      </c>
      <c r="K100" s="24"/>
      <c r="L100" s="112"/>
      <c r="M100" s="112"/>
      <c r="N100" s="112"/>
      <c r="O100" s="112"/>
      <c r="P100" s="112"/>
      <c r="Q100" s="113"/>
      <c r="R100" s="114"/>
      <c r="S100" s="114"/>
      <c r="T100" s="114"/>
      <c r="U100" s="115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</row>
    <row r="101" ht="14.25" customHeight="1">
      <c r="A101" s="1"/>
      <c r="B101" s="1"/>
      <c r="C101" s="1"/>
      <c r="D101" s="24"/>
      <c r="E101" s="43">
        <v>92.0</v>
      </c>
      <c r="F101" s="121"/>
      <c r="G101" s="61"/>
      <c r="H101" s="61"/>
      <c r="I101" s="61"/>
      <c r="J101" s="137">
        <v>10521.0</v>
      </c>
      <c r="K101" s="24"/>
      <c r="L101" s="112"/>
      <c r="M101" s="112"/>
      <c r="N101" s="112"/>
      <c r="O101" s="112"/>
      <c r="P101" s="112"/>
      <c r="Q101" s="113"/>
      <c r="R101" s="114"/>
      <c r="S101" s="114"/>
      <c r="T101" s="114"/>
      <c r="U101" s="115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</row>
    <row r="102" ht="14.25" customHeight="1">
      <c r="A102" s="1"/>
      <c r="B102" s="1"/>
      <c r="C102" s="1"/>
      <c r="D102" s="24"/>
      <c r="E102" s="43">
        <v>93.0</v>
      </c>
      <c r="F102" s="121"/>
      <c r="G102" s="61"/>
      <c r="H102" s="61"/>
      <c r="I102" s="61"/>
      <c r="J102" s="137">
        <v>10522.0</v>
      </c>
      <c r="K102" s="24"/>
      <c r="L102" s="112"/>
      <c r="M102" s="112"/>
      <c r="N102" s="112"/>
      <c r="O102" s="112"/>
      <c r="P102" s="112"/>
      <c r="Q102" s="113"/>
      <c r="R102" s="114"/>
      <c r="S102" s="114"/>
      <c r="T102" s="114"/>
      <c r="U102" s="115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</row>
    <row r="103" ht="14.25" customHeight="1">
      <c r="A103" s="1"/>
      <c r="B103" s="1"/>
      <c r="C103" s="1"/>
      <c r="D103" s="24"/>
      <c r="E103" s="43">
        <v>94.0</v>
      </c>
      <c r="F103" s="121"/>
      <c r="G103" s="61"/>
      <c r="H103" s="61"/>
      <c r="I103" s="61"/>
      <c r="J103" s="137">
        <v>10523.0</v>
      </c>
      <c r="K103" s="24"/>
      <c r="L103" s="112"/>
      <c r="M103" s="112"/>
      <c r="N103" s="112"/>
      <c r="O103" s="112"/>
      <c r="P103" s="112"/>
      <c r="Q103" s="113"/>
      <c r="R103" s="114"/>
      <c r="S103" s="114"/>
      <c r="T103" s="114"/>
      <c r="U103" s="115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</row>
    <row r="104" ht="14.25" customHeight="1">
      <c r="A104" s="1"/>
      <c r="B104" s="1"/>
      <c r="C104" s="1"/>
      <c r="D104" s="24"/>
      <c r="E104" s="43">
        <v>95.0</v>
      </c>
      <c r="F104" s="121"/>
      <c r="G104" s="61"/>
      <c r="H104" s="61"/>
      <c r="I104" s="61"/>
      <c r="J104" s="137">
        <v>10524.0</v>
      </c>
      <c r="K104" s="24"/>
      <c r="L104" s="112"/>
      <c r="M104" s="112"/>
      <c r="N104" s="112"/>
      <c r="O104" s="112"/>
      <c r="P104" s="112"/>
      <c r="Q104" s="113"/>
      <c r="R104" s="114"/>
      <c r="S104" s="114"/>
      <c r="T104" s="114"/>
      <c r="U104" s="115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</row>
    <row r="105" ht="14.25" customHeight="1">
      <c r="A105" s="1"/>
      <c r="B105" s="1"/>
      <c r="C105" s="1"/>
      <c r="D105" s="24"/>
      <c r="E105" s="43">
        <v>96.0</v>
      </c>
      <c r="F105" s="121"/>
      <c r="G105" s="61"/>
      <c r="H105" s="61"/>
      <c r="I105" s="61"/>
      <c r="J105" s="137">
        <v>10525.0</v>
      </c>
      <c r="K105" s="24"/>
      <c r="L105" s="112"/>
      <c r="M105" s="112"/>
      <c r="N105" s="112"/>
      <c r="O105" s="112"/>
      <c r="P105" s="112"/>
      <c r="Q105" s="113"/>
      <c r="R105" s="114"/>
      <c r="S105" s="114"/>
      <c r="T105" s="114"/>
      <c r="U105" s="115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</row>
    <row r="106" ht="14.25" customHeight="1">
      <c r="A106" s="1"/>
      <c r="B106" s="1"/>
      <c r="C106" s="1"/>
      <c r="D106" s="24"/>
      <c r="E106" s="43">
        <v>97.0</v>
      </c>
      <c r="F106" s="121"/>
      <c r="G106" s="61"/>
      <c r="H106" s="61"/>
      <c r="I106" s="61"/>
      <c r="J106" s="137">
        <v>10526.0</v>
      </c>
      <c r="K106" s="24"/>
      <c r="L106" s="112"/>
      <c r="M106" s="112"/>
      <c r="N106" s="112"/>
      <c r="O106" s="112"/>
      <c r="P106" s="112"/>
      <c r="Q106" s="113"/>
      <c r="R106" s="114"/>
      <c r="S106" s="114"/>
      <c r="T106" s="114"/>
      <c r="U106" s="115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</row>
    <row r="107" ht="14.25" customHeight="1">
      <c r="A107" s="1"/>
      <c r="B107" s="1"/>
      <c r="C107" s="1"/>
      <c r="D107" s="1"/>
      <c r="E107" s="122"/>
      <c r="F107" s="123">
        <f t="shared" ref="F107:I107" si="4">SUM(F10:F106)</f>
        <v>17776</v>
      </c>
      <c r="G107" s="123">
        <f t="shared" si="4"/>
        <v>11458</v>
      </c>
      <c r="H107" s="123">
        <f t="shared" si="4"/>
        <v>5110</v>
      </c>
      <c r="I107" s="123">
        <f t="shared" si="4"/>
        <v>1208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18"/>
      <c r="C108" s="118"/>
      <c r="D108" s="1"/>
      <c r="E108" s="124"/>
      <c r="F108" s="124"/>
      <c r="G108" s="124"/>
      <c r="H108" s="124"/>
      <c r="I108" s="125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18"/>
      <c r="C109" s="1"/>
      <c r="D109" s="1"/>
      <c r="E109" s="8"/>
      <c r="F109" s="8"/>
      <c r="G109" s="8"/>
      <c r="H109" s="8"/>
      <c r="I109" s="8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8"/>
      <c r="F110" s="8"/>
      <c r="G110" s="8"/>
      <c r="H110" s="8"/>
      <c r="I110" s="8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8"/>
      <c r="F111" s="8"/>
      <c r="G111" s="8"/>
      <c r="H111" s="8"/>
      <c r="I111" s="8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8"/>
      <c r="F112" s="8"/>
      <c r="G112" s="8"/>
      <c r="H112" s="8"/>
      <c r="I112" s="8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8"/>
      <c r="F113" s="8"/>
      <c r="G113" s="8"/>
      <c r="H113" s="8"/>
      <c r="I113" s="8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26"/>
      <c r="H120" s="12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32">
        <v>45985.0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82205.0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5760.0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58087.0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F109-C15</f>
        <v>33788.76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G109-W33</f>
        <v>12786.76</v>
      </c>
      <c r="D10" s="24"/>
      <c r="E10" s="43">
        <v>1.0</v>
      </c>
      <c r="F10" s="44">
        <v>62.0</v>
      </c>
      <c r="G10" s="45">
        <v>62.0</v>
      </c>
      <c r="H10" s="45"/>
      <c r="I10" s="45"/>
      <c r="J10" s="137">
        <v>10487.0</v>
      </c>
      <c r="K10" s="24"/>
      <c r="L10" s="47">
        <v>879.0</v>
      </c>
      <c r="M10" s="47"/>
      <c r="N10" s="47">
        <v>10169.0</v>
      </c>
      <c r="O10" s="49"/>
      <c r="P10" s="85" t="s">
        <v>223</v>
      </c>
      <c r="Q10" s="51"/>
      <c r="R10" s="52">
        <v>100.0</v>
      </c>
      <c r="S10" s="53"/>
      <c r="T10" s="54"/>
      <c r="U10" s="55"/>
      <c r="V10" s="24"/>
      <c r="W10" s="47">
        <v>425.24</v>
      </c>
      <c r="X10" s="47"/>
      <c r="Y10" s="47">
        <v>142.0</v>
      </c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H109-X33</f>
        <v>12551</v>
      </c>
      <c r="D11" s="24"/>
      <c r="E11" s="43">
        <v>2.0</v>
      </c>
      <c r="F11" s="56">
        <v>177.0</v>
      </c>
      <c r="G11" s="57">
        <v>177.0</v>
      </c>
      <c r="H11" s="58"/>
      <c r="I11" s="59"/>
      <c r="J11" s="137">
        <v>10488.0</v>
      </c>
      <c r="K11" s="24"/>
      <c r="L11" s="48"/>
      <c r="M11" s="48"/>
      <c r="N11" s="48"/>
      <c r="O11" s="49"/>
      <c r="P11" s="72" t="s">
        <v>118</v>
      </c>
      <c r="Q11" s="51"/>
      <c r="R11" s="52">
        <v>50.0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I109</f>
        <v>8451</v>
      </c>
      <c r="D12" s="24"/>
      <c r="E12" s="43">
        <v>3.0</v>
      </c>
      <c r="F12" s="63">
        <v>340.0</v>
      </c>
      <c r="G12" s="64"/>
      <c r="H12" s="139">
        <v>340.0</v>
      </c>
      <c r="I12" s="65"/>
      <c r="J12" s="137">
        <v>10489.0</v>
      </c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879</v>
      </c>
      <c r="D13" s="24"/>
      <c r="E13" s="43">
        <v>4.0</v>
      </c>
      <c r="F13" s="56">
        <v>1412.0</v>
      </c>
      <c r="G13" s="64">
        <v>1412.0</v>
      </c>
      <c r="H13" s="65"/>
      <c r="I13" s="65"/>
      <c r="J13" s="137">
        <v>10490.0</v>
      </c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>
        <v>10.0</v>
      </c>
      <c r="G14" s="64">
        <v>10.0</v>
      </c>
      <c r="H14" s="65"/>
      <c r="I14" s="65"/>
      <c r="J14" s="137">
        <v>10491.0</v>
      </c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425.24</v>
      </c>
      <c r="D15" s="24"/>
      <c r="E15" s="43">
        <v>6.0</v>
      </c>
      <c r="F15" s="56">
        <v>974.0</v>
      </c>
      <c r="G15" s="64"/>
      <c r="H15" s="139">
        <v>974.0</v>
      </c>
      <c r="I15" s="65"/>
      <c r="J15" s="137">
        <v>10492.0</v>
      </c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150</v>
      </c>
      <c r="D16" s="24"/>
      <c r="E16" s="43">
        <v>7.0</v>
      </c>
      <c r="F16" s="56">
        <v>75.0</v>
      </c>
      <c r="G16" s="64">
        <v>75.0</v>
      </c>
      <c r="H16" s="64"/>
      <c r="I16" s="65"/>
      <c r="J16" s="137">
        <v>10493.0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150</v>
      </c>
      <c r="D17" s="24"/>
      <c r="E17" s="43">
        <v>8.0</v>
      </c>
      <c r="F17" s="56">
        <v>404.0</v>
      </c>
      <c r="G17" s="64">
        <v>404.0</v>
      </c>
      <c r="H17" s="64"/>
      <c r="I17" s="65"/>
      <c r="J17" s="137">
        <v>10494.0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1106.0</v>
      </c>
      <c r="G18" s="64">
        <v>1100.0</v>
      </c>
      <c r="H18" s="139">
        <v>6.0</v>
      </c>
      <c r="I18" s="65"/>
      <c r="J18" s="137">
        <v>10495.0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99.0</v>
      </c>
      <c r="G19" s="64">
        <v>99.0</v>
      </c>
      <c r="H19" s="65"/>
      <c r="I19" s="65"/>
      <c r="J19" s="137">
        <v>10496.0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65659</v>
      </c>
      <c r="D20" s="24"/>
      <c r="E20" s="43">
        <v>11.0</v>
      </c>
      <c r="F20" s="56">
        <v>144.0</v>
      </c>
      <c r="G20" s="64">
        <v>140.0</v>
      </c>
      <c r="H20" s="139">
        <v>4.0</v>
      </c>
      <c r="I20" s="65"/>
      <c r="J20" s="137">
        <v>10497.0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12551</v>
      </c>
      <c r="D21" s="24"/>
      <c r="E21" s="43">
        <v>12.0</v>
      </c>
      <c r="F21" s="56">
        <v>203.0</v>
      </c>
      <c r="G21" s="65"/>
      <c r="H21" s="139">
        <v>203.0</v>
      </c>
      <c r="I21" s="65"/>
      <c r="J21" s="137">
        <v>10498.0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17220.76</v>
      </c>
      <c r="D22" s="24"/>
      <c r="E22" s="43">
        <v>13.0</v>
      </c>
      <c r="F22" s="56">
        <v>351.0</v>
      </c>
      <c r="G22" s="64">
        <v>351.0</v>
      </c>
      <c r="H22" s="64"/>
      <c r="I22" s="65"/>
      <c r="J22" s="137">
        <v>10499.0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41">
        <v>9428.76</v>
      </c>
      <c r="D23" s="24"/>
      <c r="E23" s="43">
        <v>14.0</v>
      </c>
      <c r="F23" s="56">
        <v>240.0</v>
      </c>
      <c r="G23" s="64">
        <v>240.0</v>
      </c>
      <c r="H23" s="65"/>
      <c r="I23" s="65"/>
      <c r="J23" s="137">
        <v>10500.0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7792</v>
      </c>
      <c r="D24" s="24"/>
      <c r="E24" s="43">
        <v>15.0</v>
      </c>
      <c r="F24" s="56">
        <v>38.0</v>
      </c>
      <c r="G24" s="64">
        <v>38.0</v>
      </c>
      <c r="H24" s="65"/>
      <c r="I24" s="65"/>
      <c r="J24" s="137">
        <v>10501.0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484.0</v>
      </c>
      <c r="G25" s="64"/>
      <c r="H25" s="139">
        <v>484.0</v>
      </c>
      <c r="I25" s="65"/>
      <c r="J25" s="137">
        <v>10502.0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F109</f>
        <v>34214</v>
      </c>
      <c r="D26" s="24"/>
      <c r="E26" s="43">
        <v>17.0</v>
      </c>
      <c r="F26" s="56">
        <v>889.0</v>
      </c>
      <c r="G26" s="64">
        <v>889.0</v>
      </c>
      <c r="H26" s="65"/>
      <c r="I26" s="65"/>
      <c r="J26" s="137">
        <v>10503.0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87.0</v>
      </c>
      <c r="D27" s="24"/>
      <c r="E27" s="43">
        <v>18.0</v>
      </c>
      <c r="F27" s="56">
        <v>307.0</v>
      </c>
      <c r="G27" s="64"/>
      <c r="H27" s="139">
        <v>307.0</v>
      </c>
      <c r="I27" s="65"/>
      <c r="J27" s="137">
        <v>10504.0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393.2643678</v>
      </c>
      <c r="D28" s="24"/>
      <c r="E28" s="43">
        <v>19.0</v>
      </c>
      <c r="F28" s="56">
        <v>207.0</v>
      </c>
      <c r="G28" s="64">
        <v>207.0</v>
      </c>
      <c r="H28" s="65"/>
      <c r="I28" s="65"/>
      <c r="J28" s="137">
        <v>10505.0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24.0</v>
      </c>
      <c r="G29" s="64">
        <v>24.0</v>
      </c>
      <c r="H29" s="65"/>
      <c r="I29" s="65"/>
      <c r="J29" s="137">
        <v>10506.0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>
        <f>R32</f>
        <v>75000</v>
      </c>
      <c r="D30" s="24"/>
      <c r="E30" s="43">
        <v>21.0</v>
      </c>
      <c r="F30" s="56">
        <v>276.0</v>
      </c>
      <c r="G30" s="93">
        <v>276.0</v>
      </c>
      <c r="H30" s="92"/>
      <c r="I30" s="93"/>
      <c r="J30" s="137">
        <v>10507.0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>
        <f>S33</f>
        <v>5760</v>
      </c>
      <c r="D31" s="24"/>
      <c r="E31" s="43">
        <v>22.0</v>
      </c>
      <c r="F31" s="56">
        <v>30.0</v>
      </c>
      <c r="G31" s="93">
        <v>30.0</v>
      </c>
      <c r="H31" s="92"/>
      <c r="I31" s="92"/>
      <c r="J31" s="137">
        <v>10508.0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150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>
        <f>R34</f>
        <v>3500</v>
      </c>
      <c r="D32" s="24"/>
      <c r="E32" s="43">
        <v>23.0</v>
      </c>
      <c r="F32" s="56">
        <v>197.0</v>
      </c>
      <c r="G32" s="93">
        <v>197.0</v>
      </c>
      <c r="H32" s="92"/>
      <c r="I32" s="92"/>
      <c r="J32" s="137">
        <v>10509.0</v>
      </c>
      <c r="K32" s="24"/>
      <c r="L32" s="48"/>
      <c r="M32" s="48"/>
      <c r="N32" s="48"/>
      <c r="O32" s="98"/>
      <c r="P32" s="90" t="s">
        <v>37</v>
      </c>
      <c r="Q32" s="51"/>
      <c r="R32" s="99">
        <v>75000.0</v>
      </c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85.0</v>
      </c>
      <c r="G33" s="93">
        <v>80.0</v>
      </c>
      <c r="H33" s="143">
        <v>5.0</v>
      </c>
      <c r="I33" s="92"/>
      <c r="J33" s="137">
        <v>10510.0</v>
      </c>
      <c r="K33" s="24"/>
      <c r="L33" s="104">
        <f t="shared" ref="L33:M33" si="2">sum(L10:L32)</f>
        <v>879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>
        <v>5760.0</v>
      </c>
      <c r="T33" s="101"/>
      <c r="U33" s="55"/>
      <c r="V33" s="24"/>
      <c r="W33" s="104">
        <f t="shared" ref="W33:X33" si="3">sum(W10:W32)</f>
        <v>425.24</v>
      </c>
      <c r="X33" s="104">
        <f t="shared" si="3"/>
        <v>0</v>
      </c>
      <c r="Y33" s="104">
        <f>W33+X33</f>
        <v>425.24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18.0</v>
      </c>
      <c r="G34" s="93">
        <v>18.0</v>
      </c>
      <c r="H34" s="92"/>
      <c r="I34" s="92"/>
      <c r="J34" s="137">
        <v>10511.0</v>
      </c>
      <c r="K34" s="24"/>
      <c r="L34" s="106"/>
      <c r="M34" s="106"/>
      <c r="N34" s="106"/>
      <c r="O34" s="106"/>
      <c r="P34" s="85" t="s">
        <v>40</v>
      </c>
      <c r="Q34" s="107"/>
      <c r="R34" s="144">
        <v>3500.0</v>
      </c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433.0</v>
      </c>
      <c r="G35" s="93">
        <v>433.0</v>
      </c>
      <c r="H35" s="93"/>
      <c r="I35" s="92"/>
      <c r="J35" s="137">
        <v>10512.0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212.0</v>
      </c>
      <c r="G36" s="92"/>
      <c r="H36" s="143">
        <v>212.0</v>
      </c>
      <c r="I36" s="92"/>
      <c r="J36" s="137">
        <v>10513.0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138.0</v>
      </c>
      <c r="G37" s="93"/>
      <c r="H37" s="143">
        <v>138.0</v>
      </c>
      <c r="I37" s="92"/>
      <c r="J37" s="137">
        <v>10514.0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10.0</v>
      </c>
      <c r="G38" s="93">
        <v>10.0</v>
      </c>
      <c r="H38" s="92"/>
      <c r="I38" s="92"/>
      <c r="J38" s="137">
        <v>10515.0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580.0</v>
      </c>
      <c r="G39" s="93">
        <v>580.0</v>
      </c>
      <c r="H39" s="93"/>
      <c r="I39" s="92"/>
      <c r="J39" s="137">
        <v>10516.0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134.0</v>
      </c>
      <c r="G40" s="93">
        <v>134.0</v>
      </c>
      <c r="H40" s="93"/>
      <c r="I40" s="92"/>
      <c r="J40" s="137">
        <v>10517.0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98.0</v>
      </c>
      <c r="G41" s="93">
        <v>98.0</v>
      </c>
      <c r="H41" s="93"/>
      <c r="I41" s="92"/>
      <c r="J41" s="137">
        <v>10518.0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38.0</v>
      </c>
      <c r="G42" s="93">
        <v>38.0</v>
      </c>
      <c r="H42" s="93"/>
      <c r="I42" s="92"/>
      <c r="J42" s="137">
        <v>10519.0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2072.0</v>
      </c>
      <c r="G43" s="93"/>
      <c r="H43" s="92"/>
      <c r="I43" s="147">
        <v>2072.0</v>
      </c>
      <c r="J43" s="148" t="s">
        <v>224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223.0</v>
      </c>
      <c r="G44" s="93">
        <v>223.0</v>
      </c>
      <c r="H44" s="93"/>
      <c r="I44" s="92"/>
      <c r="J44" s="137">
        <v>10521.0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617.0</v>
      </c>
      <c r="G45" s="93">
        <v>617.0</v>
      </c>
      <c r="H45" s="92"/>
      <c r="I45" s="92"/>
      <c r="J45" s="137">
        <v>10522.0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207.0</v>
      </c>
      <c r="G46" s="93"/>
      <c r="H46" s="143">
        <v>207.0</v>
      </c>
      <c r="I46" s="92"/>
      <c r="J46" s="137">
        <v>10523.0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28.0</v>
      </c>
      <c r="G47" s="93">
        <v>28.0</v>
      </c>
      <c r="H47" s="93"/>
      <c r="I47" s="92"/>
      <c r="J47" s="137">
        <v>10524.0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93.0</v>
      </c>
      <c r="G48" s="93">
        <v>93.0</v>
      </c>
      <c r="H48" s="92"/>
      <c r="I48" s="92"/>
      <c r="J48" s="137">
        <v>10525.0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143.0</v>
      </c>
      <c r="G49" s="93">
        <v>143.0</v>
      </c>
      <c r="H49" s="92"/>
      <c r="I49" s="92"/>
      <c r="J49" s="137">
        <v>10526.0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1350.0</v>
      </c>
      <c r="G50" s="92"/>
      <c r="H50" s="93"/>
      <c r="I50" s="147">
        <v>1350.0</v>
      </c>
      <c r="J50" s="148" t="s">
        <v>225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203.0</v>
      </c>
      <c r="G51" s="93">
        <v>203.0</v>
      </c>
      <c r="H51" s="92"/>
      <c r="I51" s="92"/>
      <c r="J51" s="137">
        <v>10528.0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203.0</v>
      </c>
      <c r="G52" s="92"/>
      <c r="H52" s="143">
        <v>203.0</v>
      </c>
      <c r="I52" s="92"/>
      <c r="J52" s="137">
        <v>10529.0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190.0</v>
      </c>
      <c r="G53" s="93">
        <v>190.0</v>
      </c>
      <c r="H53" s="92"/>
      <c r="I53" s="92"/>
      <c r="J53" s="137">
        <v>10530.0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149.0</v>
      </c>
      <c r="G54" s="93">
        <v>149.0</v>
      </c>
      <c r="H54" s="92"/>
      <c r="I54" s="92"/>
      <c r="J54" s="137">
        <v>10531.0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566.0</v>
      </c>
      <c r="G55" s="93">
        <v>566.0</v>
      </c>
      <c r="H55" s="92"/>
      <c r="I55" s="92"/>
      <c r="J55" s="137">
        <v>10532.0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331.0</v>
      </c>
      <c r="G56" s="93">
        <v>331.0</v>
      </c>
      <c r="H56" s="92"/>
      <c r="I56" s="92"/>
      <c r="J56" s="137">
        <v>10533.0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30.0</v>
      </c>
      <c r="G57" s="92"/>
      <c r="H57" s="143">
        <v>30.0</v>
      </c>
      <c r="I57" s="92"/>
      <c r="J57" s="137">
        <v>10534.0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2080.0</v>
      </c>
      <c r="G58" s="92"/>
      <c r="H58" s="143">
        <v>2080.0</v>
      </c>
      <c r="I58" s="92"/>
      <c r="J58" s="137">
        <v>10535.0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119.0</v>
      </c>
      <c r="G59" s="92"/>
      <c r="H59" s="143">
        <v>119.0</v>
      </c>
      <c r="I59" s="92"/>
      <c r="J59" s="137">
        <v>10536.0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817.0</v>
      </c>
      <c r="G60" s="92"/>
      <c r="H60" s="143">
        <v>817.0</v>
      </c>
      <c r="I60" s="92"/>
      <c r="J60" s="137">
        <v>10537.0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214.0</v>
      </c>
      <c r="G61" s="93">
        <v>214.0</v>
      </c>
      <c r="H61" s="92"/>
      <c r="I61" s="92"/>
      <c r="J61" s="137">
        <v>10538.0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38.0</v>
      </c>
      <c r="G62" s="93">
        <v>38.0</v>
      </c>
      <c r="H62" s="92"/>
      <c r="I62" s="92"/>
      <c r="J62" s="137">
        <v>10539.0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261.0</v>
      </c>
      <c r="G63" s="93">
        <v>261.0</v>
      </c>
      <c r="H63" s="92"/>
      <c r="I63" s="92"/>
      <c r="J63" s="137">
        <v>10540.0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91.0</v>
      </c>
      <c r="G64" s="92"/>
      <c r="H64" s="143">
        <v>91.0</v>
      </c>
      <c r="I64" s="92"/>
      <c r="J64" s="137">
        <v>10541.0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212.0</v>
      </c>
      <c r="G65" s="93">
        <v>212.0</v>
      </c>
      <c r="H65" s="92"/>
      <c r="I65" s="92"/>
      <c r="J65" s="137">
        <v>10542.0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63.0</v>
      </c>
      <c r="G66" s="92"/>
      <c r="H66" s="143">
        <v>63.0</v>
      </c>
      <c r="I66" s="92"/>
      <c r="J66" s="137">
        <v>10543.0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284.0</v>
      </c>
      <c r="G67" s="93">
        <v>284.0</v>
      </c>
      <c r="H67" s="92"/>
      <c r="I67" s="92"/>
      <c r="J67" s="137">
        <v>10544.0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61.0</v>
      </c>
      <c r="G68" s="93">
        <v>61.0</v>
      </c>
      <c r="H68" s="92"/>
      <c r="I68" s="92"/>
      <c r="J68" s="137">
        <v>10545.0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237.0</v>
      </c>
      <c r="G69" s="92"/>
      <c r="H69" s="143">
        <v>237.0</v>
      </c>
      <c r="I69" s="92"/>
      <c r="J69" s="137">
        <v>10546.0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184.0</v>
      </c>
      <c r="G70" s="92"/>
      <c r="H70" s="143">
        <v>184.0</v>
      </c>
      <c r="I70" s="92"/>
      <c r="J70" s="137">
        <v>10547.0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56">
        <v>226.0</v>
      </c>
      <c r="G71" s="93">
        <v>226.0</v>
      </c>
      <c r="H71" s="92"/>
      <c r="I71" s="92"/>
      <c r="J71" s="137">
        <v>10548.0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56">
        <v>549.0</v>
      </c>
      <c r="G72" s="92"/>
      <c r="H72" s="143">
        <v>549.0</v>
      </c>
      <c r="I72" s="92"/>
      <c r="J72" s="137">
        <v>10549.0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56">
        <v>358.0</v>
      </c>
      <c r="G73" s="93">
        <v>358.0</v>
      </c>
      <c r="H73" s="92"/>
      <c r="I73" s="92"/>
      <c r="J73" s="137">
        <v>10550.0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56">
        <v>182.0</v>
      </c>
      <c r="G74" s="93">
        <v>182.0</v>
      </c>
      <c r="H74" s="92"/>
      <c r="I74" s="92"/>
      <c r="J74" s="137">
        <v>10551.0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56">
        <v>2020.0</v>
      </c>
      <c r="G75" s="92"/>
      <c r="H75" s="143">
        <v>2020.0</v>
      </c>
      <c r="I75" s="92"/>
      <c r="J75" s="137">
        <v>10552.0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56">
        <v>196.0</v>
      </c>
      <c r="G76" s="93">
        <v>156.0</v>
      </c>
      <c r="H76" s="143">
        <v>40.0</v>
      </c>
      <c r="I76" s="92"/>
      <c r="J76" s="137">
        <v>10553.0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56">
        <v>130.0</v>
      </c>
      <c r="G77" s="93">
        <v>130.0</v>
      </c>
      <c r="H77" s="92"/>
      <c r="I77" s="92"/>
      <c r="J77" s="137">
        <v>10554.0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56">
        <v>480.0</v>
      </c>
      <c r="G78" s="93">
        <v>480.0</v>
      </c>
      <c r="H78" s="92"/>
      <c r="I78" s="92"/>
      <c r="J78" s="137">
        <v>10555.0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56">
        <v>90.0</v>
      </c>
      <c r="G79" s="92"/>
      <c r="H79" s="143">
        <v>90.0</v>
      </c>
      <c r="I79" s="92"/>
      <c r="J79" s="137">
        <v>10556.0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56">
        <v>678.0</v>
      </c>
      <c r="G80" s="92"/>
      <c r="H80" s="143">
        <v>678.0</v>
      </c>
      <c r="I80" s="92"/>
      <c r="J80" s="137">
        <v>10557.0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56">
        <v>113.0</v>
      </c>
      <c r="G81" s="93">
        <v>113.0</v>
      </c>
      <c r="H81" s="92"/>
      <c r="I81" s="92"/>
      <c r="J81" s="137">
        <v>10558.0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49">
        <v>1382.0</v>
      </c>
      <c r="G82" s="61"/>
      <c r="H82" s="61"/>
      <c r="I82" s="147">
        <v>1382.0</v>
      </c>
      <c r="J82" s="148" t="s">
        <v>226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49">
        <v>582.0</v>
      </c>
      <c r="G83" s="61"/>
      <c r="H83" s="61"/>
      <c r="I83" s="147">
        <v>582.0</v>
      </c>
      <c r="J83" s="148" t="s">
        <v>227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49">
        <v>100.0</v>
      </c>
      <c r="G84" s="54">
        <v>100.0</v>
      </c>
      <c r="H84" s="61"/>
      <c r="I84" s="61"/>
      <c r="J84" s="137">
        <v>10561.0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49">
        <v>120.0</v>
      </c>
      <c r="G85" s="54">
        <v>120.0</v>
      </c>
      <c r="H85" s="61"/>
      <c r="I85" s="61"/>
      <c r="J85" s="137">
        <v>10562.0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49">
        <v>3065.0</v>
      </c>
      <c r="G86" s="61"/>
      <c r="H86" s="61"/>
      <c r="I86" s="147">
        <v>3065.0</v>
      </c>
      <c r="J86" s="148" t="s">
        <v>228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49">
        <v>55.0</v>
      </c>
      <c r="G87" s="61"/>
      <c r="H87" s="143">
        <v>55.0</v>
      </c>
      <c r="I87" s="61"/>
      <c r="J87" s="137">
        <v>10564.0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49">
        <v>266.0</v>
      </c>
      <c r="G88" s="61"/>
      <c r="H88" s="143">
        <v>266.0</v>
      </c>
      <c r="I88" s="61"/>
      <c r="J88" s="137">
        <v>10565.0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49">
        <v>374.0</v>
      </c>
      <c r="G89" s="61"/>
      <c r="H89" s="143">
        <v>374.0</v>
      </c>
      <c r="I89" s="61"/>
      <c r="J89" s="137">
        <v>10566.0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49">
        <v>1181.0</v>
      </c>
      <c r="G90" s="61"/>
      <c r="H90" s="143">
        <v>1181.0</v>
      </c>
      <c r="I90" s="61"/>
      <c r="J90" s="137">
        <v>10567.0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49">
        <v>7.0</v>
      </c>
      <c r="G91" s="54">
        <v>7.0</v>
      </c>
      <c r="H91" s="61"/>
      <c r="I91" s="61"/>
      <c r="J91" s="137">
        <v>10568.0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49">
        <v>119.0</v>
      </c>
      <c r="G92" s="54">
        <v>119.0</v>
      </c>
      <c r="H92" s="61"/>
      <c r="I92" s="61"/>
      <c r="J92" s="137">
        <v>10569.0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49">
        <v>374.0</v>
      </c>
      <c r="G93" s="61"/>
      <c r="H93" s="143">
        <v>374.0</v>
      </c>
      <c r="I93" s="61"/>
      <c r="J93" s="137">
        <v>10570.0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49">
        <v>165.0</v>
      </c>
      <c r="G94" s="54">
        <v>165.0</v>
      </c>
      <c r="H94" s="61"/>
      <c r="I94" s="61"/>
      <c r="J94" s="137">
        <v>10571.0</v>
      </c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49">
        <v>220.0</v>
      </c>
      <c r="G95" s="61"/>
      <c r="H95" s="143">
        <v>220.0</v>
      </c>
      <c r="I95" s="61"/>
      <c r="J95" s="137">
        <v>10572.0</v>
      </c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49">
        <v>321.0</v>
      </c>
      <c r="G96" s="54">
        <v>321.0</v>
      </c>
      <c r="H96" s="61"/>
      <c r="I96" s="61"/>
      <c r="J96" s="137">
        <v>10573.0</v>
      </c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24"/>
      <c r="E97" s="43">
        <v>88.0</v>
      </c>
      <c r="F97" s="121"/>
      <c r="G97" s="61"/>
      <c r="H97" s="61"/>
      <c r="I97" s="61"/>
      <c r="J97" s="137">
        <v>10574.0</v>
      </c>
      <c r="K97" s="24"/>
      <c r="L97" s="112"/>
      <c r="M97" s="112"/>
      <c r="N97" s="112"/>
      <c r="O97" s="112"/>
      <c r="P97" s="112"/>
      <c r="Q97" s="113"/>
      <c r="R97" s="114"/>
      <c r="S97" s="114"/>
      <c r="T97" s="114"/>
      <c r="U97" s="115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</row>
    <row r="98" ht="14.25" customHeight="1">
      <c r="A98" s="1"/>
      <c r="B98" s="1"/>
      <c r="C98" s="1"/>
      <c r="D98" s="24"/>
      <c r="E98" s="43">
        <v>89.0</v>
      </c>
      <c r="F98" s="121"/>
      <c r="G98" s="61"/>
      <c r="H98" s="61"/>
      <c r="I98" s="61"/>
      <c r="J98" s="137">
        <v>10575.0</v>
      </c>
      <c r="K98" s="24"/>
      <c r="L98" s="112"/>
      <c r="M98" s="112"/>
      <c r="N98" s="112"/>
      <c r="O98" s="112"/>
      <c r="P98" s="112"/>
      <c r="Q98" s="113"/>
      <c r="R98" s="114"/>
      <c r="S98" s="114"/>
      <c r="T98" s="114"/>
      <c r="U98" s="115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</row>
    <row r="99" ht="14.25" customHeight="1">
      <c r="A99" s="1"/>
      <c r="B99" s="1"/>
      <c r="C99" s="1"/>
      <c r="D99" s="24"/>
      <c r="E99" s="43">
        <v>90.0</v>
      </c>
      <c r="F99" s="121"/>
      <c r="G99" s="61"/>
      <c r="H99" s="61"/>
      <c r="I99" s="61"/>
      <c r="J99" s="137">
        <v>10576.0</v>
      </c>
      <c r="K99" s="24"/>
      <c r="L99" s="112"/>
      <c r="M99" s="112"/>
      <c r="N99" s="112"/>
      <c r="O99" s="112"/>
      <c r="P99" s="112"/>
      <c r="Q99" s="113"/>
      <c r="R99" s="114"/>
      <c r="S99" s="114"/>
      <c r="T99" s="114"/>
      <c r="U99" s="115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</row>
    <row r="100" ht="14.25" customHeight="1">
      <c r="A100" s="1"/>
      <c r="B100" s="1"/>
      <c r="C100" s="1"/>
      <c r="D100" s="24"/>
      <c r="E100" s="43">
        <v>91.0</v>
      </c>
      <c r="F100" s="121"/>
      <c r="G100" s="61"/>
      <c r="H100" s="61"/>
      <c r="I100" s="61"/>
      <c r="J100" s="137">
        <v>10577.0</v>
      </c>
      <c r="K100" s="24"/>
      <c r="L100" s="112"/>
      <c r="M100" s="112"/>
      <c r="N100" s="112"/>
      <c r="O100" s="112"/>
      <c r="P100" s="112"/>
      <c r="Q100" s="113"/>
      <c r="R100" s="114"/>
      <c r="S100" s="114"/>
      <c r="T100" s="114"/>
      <c r="U100" s="115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</row>
    <row r="101" ht="14.25" customHeight="1">
      <c r="A101" s="1"/>
      <c r="B101" s="1"/>
      <c r="C101" s="1"/>
      <c r="D101" s="24"/>
      <c r="E101" s="43">
        <v>92.0</v>
      </c>
      <c r="F101" s="121"/>
      <c r="G101" s="61"/>
      <c r="H101" s="61"/>
      <c r="I101" s="61"/>
      <c r="J101" s="137">
        <v>10578.0</v>
      </c>
      <c r="K101" s="24"/>
      <c r="L101" s="112"/>
      <c r="M101" s="112"/>
      <c r="N101" s="112"/>
      <c r="O101" s="112"/>
      <c r="P101" s="112"/>
      <c r="Q101" s="113"/>
      <c r="R101" s="114"/>
      <c r="S101" s="114"/>
      <c r="T101" s="114"/>
      <c r="U101" s="115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</row>
    <row r="102" ht="14.25" customHeight="1">
      <c r="A102" s="1"/>
      <c r="B102" s="1"/>
      <c r="C102" s="1"/>
      <c r="D102" s="24"/>
      <c r="E102" s="43">
        <v>93.0</v>
      </c>
      <c r="F102" s="121"/>
      <c r="G102" s="61"/>
      <c r="H102" s="61"/>
      <c r="I102" s="61"/>
      <c r="J102" s="137">
        <v>10579.0</v>
      </c>
      <c r="K102" s="24"/>
      <c r="L102" s="112"/>
      <c r="M102" s="112"/>
      <c r="N102" s="112"/>
      <c r="O102" s="112"/>
      <c r="P102" s="112"/>
      <c r="Q102" s="113"/>
      <c r="R102" s="114"/>
      <c r="S102" s="114"/>
      <c r="T102" s="114"/>
      <c r="U102" s="115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</row>
    <row r="103" ht="14.25" customHeight="1">
      <c r="A103" s="1"/>
      <c r="B103" s="1"/>
      <c r="C103" s="1"/>
      <c r="D103" s="24"/>
      <c r="E103" s="43">
        <v>94.0</v>
      </c>
      <c r="F103" s="121"/>
      <c r="G103" s="61"/>
      <c r="H103" s="61"/>
      <c r="I103" s="61"/>
      <c r="J103" s="137">
        <v>10580.0</v>
      </c>
      <c r="K103" s="24"/>
      <c r="L103" s="112"/>
      <c r="M103" s="112"/>
      <c r="N103" s="112"/>
      <c r="O103" s="112"/>
      <c r="P103" s="112"/>
      <c r="Q103" s="113"/>
      <c r="R103" s="114"/>
      <c r="S103" s="114"/>
      <c r="T103" s="114"/>
      <c r="U103" s="115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</row>
    <row r="104" ht="14.25" customHeight="1">
      <c r="A104" s="1"/>
      <c r="B104" s="1"/>
      <c r="C104" s="1"/>
      <c r="D104" s="24"/>
      <c r="E104" s="43">
        <v>95.0</v>
      </c>
      <c r="F104" s="121"/>
      <c r="G104" s="61"/>
      <c r="H104" s="61"/>
      <c r="I104" s="61"/>
      <c r="J104" s="137">
        <v>10581.0</v>
      </c>
      <c r="K104" s="24"/>
      <c r="L104" s="112"/>
      <c r="M104" s="112"/>
      <c r="N104" s="112"/>
      <c r="O104" s="112"/>
      <c r="P104" s="112"/>
      <c r="Q104" s="113"/>
      <c r="R104" s="114"/>
      <c r="S104" s="114"/>
      <c r="T104" s="114"/>
      <c r="U104" s="115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</row>
    <row r="105" ht="14.25" customHeight="1">
      <c r="A105" s="1"/>
      <c r="B105" s="1"/>
      <c r="C105" s="1"/>
      <c r="D105" s="24"/>
      <c r="E105" s="43">
        <v>96.0</v>
      </c>
      <c r="F105" s="121"/>
      <c r="G105" s="61"/>
      <c r="H105" s="61"/>
      <c r="I105" s="61"/>
      <c r="J105" s="137">
        <v>10582.0</v>
      </c>
      <c r="K105" s="24"/>
      <c r="L105" s="112"/>
      <c r="M105" s="112"/>
      <c r="N105" s="112"/>
      <c r="O105" s="112"/>
      <c r="P105" s="112"/>
      <c r="Q105" s="113"/>
      <c r="R105" s="114"/>
      <c r="S105" s="114"/>
      <c r="T105" s="114"/>
      <c r="U105" s="115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</row>
    <row r="106" ht="14.25" customHeight="1">
      <c r="A106" s="1"/>
      <c r="B106" s="1"/>
      <c r="C106" s="1"/>
      <c r="D106" s="24"/>
      <c r="E106" s="43">
        <v>97.0</v>
      </c>
      <c r="F106" s="121"/>
      <c r="G106" s="61"/>
      <c r="H106" s="61"/>
      <c r="I106" s="61"/>
      <c r="J106" s="137">
        <v>10583.0</v>
      </c>
      <c r="K106" s="24"/>
      <c r="L106" s="112"/>
      <c r="M106" s="112"/>
      <c r="N106" s="112"/>
      <c r="O106" s="112"/>
      <c r="P106" s="112"/>
      <c r="Q106" s="113"/>
      <c r="R106" s="114"/>
      <c r="S106" s="114"/>
      <c r="T106" s="114"/>
      <c r="U106" s="115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</row>
    <row r="107" ht="14.25" customHeight="1">
      <c r="A107" s="1"/>
      <c r="B107" s="1"/>
      <c r="C107" s="1"/>
      <c r="D107" s="24"/>
      <c r="E107" s="43">
        <v>98.0</v>
      </c>
      <c r="F107" s="121"/>
      <c r="G107" s="61"/>
      <c r="H107" s="61"/>
      <c r="I107" s="61"/>
      <c r="J107" s="137">
        <v>10584.0</v>
      </c>
      <c r="K107" s="24"/>
      <c r="L107" s="112"/>
      <c r="M107" s="112"/>
      <c r="N107" s="112"/>
      <c r="O107" s="112"/>
      <c r="P107" s="112"/>
      <c r="Q107" s="113"/>
      <c r="R107" s="114"/>
      <c r="S107" s="114"/>
      <c r="T107" s="114"/>
      <c r="U107" s="115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</row>
    <row r="108" ht="14.25" customHeight="1">
      <c r="A108" s="1"/>
      <c r="B108" s="1"/>
      <c r="C108" s="1"/>
      <c r="D108" s="24"/>
      <c r="E108" s="43">
        <v>99.0</v>
      </c>
      <c r="F108" s="121"/>
      <c r="G108" s="61"/>
      <c r="H108" s="61"/>
      <c r="I108" s="61"/>
      <c r="J108" s="137">
        <v>10585.0</v>
      </c>
      <c r="K108" s="24"/>
      <c r="L108" s="112"/>
      <c r="M108" s="112"/>
      <c r="N108" s="112"/>
      <c r="O108" s="112"/>
      <c r="P108" s="112"/>
      <c r="Q108" s="113"/>
      <c r="R108" s="114"/>
      <c r="S108" s="114"/>
      <c r="T108" s="114"/>
      <c r="U108" s="115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</row>
    <row r="109" ht="14.25" customHeight="1">
      <c r="A109" s="1"/>
      <c r="B109" s="1"/>
      <c r="C109" s="1"/>
      <c r="D109" s="1"/>
      <c r="E109" s="122"/>
      <c r="F109" s="123">
        <f t="shared" ref="F109:I109" si="4">SUM(F10:F108)</f>
        <v>34214</v>
      </c>
      <c r="G109" s="123">
        <f t="shared" si="4"/>
        <v>13212</v>
      </c>
      <c r="H109" s="123">
        <f t="shared" si="4"/>
        <v>12551</v>
      </c>
      <c r="I109" s="123">
        <f t="shared" si="4"/>
        <v>8451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18"/>
      <c r="C110" s="118"/>
      <c r="D110" s="1"/>
      <c r="E110" s="124"/>
      <c r="F110" s="124"/>
      <c r="G110" s="124"/>
      <c r="H110" s="124"/>
      <c r="I110" s="125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18"/>
      <c r="C111" s="1"/>
      <c r="D111" s="1"/>
      <c r="E111" s="8"/>
      <c r="F111" s="8"/>
      <c r="G111" s="8"/>
      <c r="H111" s="8"/>
      <c r="I111" s="8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8"/>
      <c r="F112" s="8"/>
      <c r="G112" s="8"/>
      <c r="H112" s="8"/>
      <c r="I112" s="8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8"/>
      <c r="F113" s="8"/>
      <c r="G113" s="8"/>
      <c r="H113" s="8"/>
      <c r="I113" s="8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8"/>
      <c r="F114" s="8"/>
      <c r="G114" s="8"/>
      <c r="H114" s="8"/>
      <c r="I114" s="8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8"/>
      <c r="F115" s="8"/>
      <c r="G115" s="8"/>
      <c r="H115" s="8"/>
      <c r="I115" s="8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26"/>
      <c r="H122" s="12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32">
        <v>45986.0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17220.0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12551.0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65659.0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F119-C15</f>
        <v>30810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G119-W33</f>
        <v>19569</v>
      </c>
      <c r="D10" s="24"/>
      <c r="E10" s="43">
        <v>1.0</v>
      </c>
      <c r="F10" s="44">
        <v>167.0</v>
      </c>
      <c r="G10" s="45">
        <v>167.0</v>
      </c>
      <c r="H10" s="45"/>
      <c r="I10" s="45"/>
      <c r="J10" s="137">
        <v>10574.0</v>
      </c>
      <c r="K10" s="24"/>
      <c r="L10" s="47"/>
      <c r="M10" s="47">
        <v>2277.0</v>
      </c>
      <c r="N10" s="47">
        <v>10082.0</v>
      </c>
      <c r="O10" s="49"/>
      <c r="P10" s="85" t="s">
        <v>109</v>
      </c>
      <c r="Q10" s="51"/>
      <c r="R10" s="52">
        <v>50.0</v>
      </c>
      <c r="S10" s="53"/>
      <c r="T10" s="54"/>
      <c r="U10" s="55"/>
      <c r="V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H119-X33</f>
        <v>10374</v>
      </c>
      <c r="D11" s="24"/>
      <c r="E11" s="43">
        <v>2.0</v>
      </c>
      <c r="F11" s="56">
        <v>50.0</v>
      </c>
      <c r="G11" s="57">
        <v>50.0</v>
      </c>
      <c r="H11" s="58"/>
      <c r="I11" s="59"/>
      <c r="J11" s="137">
        <v>10575.0</v>
      </c>
      <c r="K11" s="24"/>
      <c r="L11" s="47">
        <v>3065.0</v>
      </c>
      <c r="M11" s="47"/>
      <c r="N11" s="47">
        <v>10563.0</v>
      </c>
      <c r="O11" s="49"/>
      <c r="P11" s="72" t="s">
        <v>204</v>
      </c>
      <c r="Q11" s="51"/>
      <c r="R11" s="52">
        <v>100.0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I119</f>
        <v>868</v>
      </c>
      <c r="D12" s="24"/>
      <c r="E12" s="43">
        <v>3.0</v>
      </c>
      <c r="F12" s="63">
        <v>333.0</v>
      </c>
      <c r="G12" s="64"/>
      <c r="H12" s="139">
        <v>333.0</v>
      </c>
      <c r="I12" s="65"/>
      <c r="J12" s="137">
        <v>10576.0</v>
      </c>
      <c r="K12" s="24"/>
      <c r="L12" s="47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3065</v>
      </c>
      <c r="D13" s="24"/>
      <c r="E13" s="43">
        <v>4.0</v>
      </c>
      <c r="F13" s="56">
        <v>241.0</v>
      </c>
      <c r="G13" s="64">
        <v>241.0</v>
      </c>
      <c r="H13" s="65"/>
      <c r="I13" s="65"/>
      <c r="J13" s="137">
        <v>10577.0</v>
      </c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2277</v>
      </c>
      <c r="D14" s="24"/>
      <c r="E14" s="43">
        <v>5.0</v>
      </c>
      <c r="F14" s="56">
        <v>486.0</v>
      </c>
      <c r="G14" s="64"/>
      <c r="H14" s="139">
        <v>486.0</v>
      </c>
      <c r="I14" s="65"/>
      <c r="J14" s="137">
        <v>10578.0</v>
      </c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>
        <v>1423.0</v>
      </c>
      <c r="G15" s="64">
        <v>26.0</v>
      </c>
      <c r="H15" s="139">
        <v>1397.0</v>
      </c>
      <c r="I15" s="65"/>
      <c r="J15" s="137">
        <v>10579.0</v>
      </c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150</v>
      </c>
      <c r="D16" s="24"/>
      <c r="E16" s="43">
        <v>7.0</v>
      </c>
      <c r="F16" s="56">
        <v>287.0</v>
      </c>
      <c r="G16" s="64">
        <v>287.0</v>
      </c>
      <c r="H16" s="64"/>
      <c r="I16" s="65"/>
      <c r="J16" s="137">
        <v>10580.0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150</v>
      </c>
      <c r="D17" s="24"/>
      <c r="E17" s="43">
        <v>8.0</v>
      </c>
      <c r="F17" s="56">
        <v>46.0</v>
      </c>
      <c r="G17" s="64">
        <v>46.0</v>
      </c>
      <c r="H17" s="64"/>
      <c r="I17" s="65"/>
      <c r="J17" s="137">
        <v>10581.0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32.0</v>
      </c>
      <c r="G18" s="64">
        <v>32.0</v>
      </c>
      <c r="H18" s="64"/>
      <c r="I18" s="65"/>
      <c r="J18" s="137">
        <v>10582.0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5716.0</v>
      </c>
      <c r="G19" s="64">
        <v>5716.0</v>
      </c>
      <c r="H19" s="65"/>
      <c r="I19" s="65"/>
      <c r="J19" s="137">
        <v>10583.0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61185</v>
      </c>
      <c r="D20" s="24"/>
      <c r="E20" s="43">
        <v>11.0</v>
      </c>
      <c r="F20" s="56">
        <v>346.0</v>
      </c>
      <c r="G20" s="64">
        <v>346.0</v>
      </c>
      <c r="H20" s="64"/>
      <c r="I20" s="65"/>
      <c r="J20" s="137">
        <v>10584.0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12651</v>
      </c>
      <c r="D21" s="24"/>
      <c r="E21" s="43">
        <v>12.0</v>
      </c>
      <c r="F21" s="56">
        <v>868.0</v>
      </c>
      <c r="G21" s="65"/>
      <c r="H21" s="64"/>
      <c r="I21" s="169">
        <v>868.0</v>
      </c>
      <c r="J21" s="148" t="s">
        <v>229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36204</v>
      </c>
      <c r="D22" s="24"/>
      <c r="E22" s="43">
        <v>13.0</v>
      </c>
      <c r="F22" s="56">
        <v>225.0</v>
      </c>
      <c r="G22" s="64"/>
      <c r="H22" s="139">
        <v>225.0</v>
      </c>
      <c r="I22" s="65"/>
      <c r="J22" s="137">
        <v>10586.0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41">
        <v>28411.76</v>
      </c>
      <c r="D23" s="24"/>
      <c r="E23" s="43">
        <v>14.0</v>
      </c>
      <c r="F23" s="56">
        <v>47.0</v>
      </c>
      <c r="G23" s="64">
        <v>47.0</v>
      </c>
      <c r="H23" s="65"/>
      <c r="I23" s="65"/>
      <c r="J23" s="137">
        <v>10587.0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7792.24</v>
      </c>
      <c r="D24" s="24"/>
      <c r="E24" s="43">
        <v>15.0</v>
      </c>
      <c r="F24" s="56">
        <v>7.0</v>
      </c>
      <c r="G24" s="64">
        <v>7.0</v>
      </c>
      <c r="H24" s="65"/>
      <c r="I24" s="65"/>
      <c r="J24" s="137">
        <v>10588.0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170.0</v>
      </c>
      <c r="G25" s="64">
        <v>170.0</v>
      </c>
      <c r="H25" s="65"/>
      <c r="I25" s="65"/>
      <c r="J25" s="137">
        <v>10589.0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F119</f>
        <v>30810</v>
      </c>
      <c r="D26" s="24"/>
      <c r="E26" s="43">
        <v>17.0</v>
      </c>
      <c r="F26" s="56">
        <v>49.0</v>
      </c>
      <c r="G26" s="64">
        <v>49.0</v>
      </c>
      <c r="H26" s="65"/>
      <c r="I26" s="65"/>
      <c r="J26" s="137">
        <v>10590.0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74.0</v>
      </c>
      <c r="D27" s="24"/>
      <c r="E27" s="43">
        <v>18.0</v>
      </c>
      <c r="F27" s="56">
        <v>391.0</v>
      </c>
      <c r="G27" s="64"/>
      <c r="H27" s="139">
        <v>391.0</v>
      </c>
      <c r="I27" s="65"/>
      <c r="J27" s="137">
        <v>10591.0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416.3513514</v>
      </c>
      <c r="D28" s="24"/>
      <c r="E28" s="43">
        <v>19.0</v>
      </c>
      <c r="F28" s="56">
        <v>257.0</v>
      </c>
      <c r="G28" s="64">
        <v>257.0</v>
      </c>
      <c r="H28" s="65"/>
      <c r="I28" s="65"/>
      <c r="J28" s="137">
        <v>10592.0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181.0</v>
      </c>
      <c r="G29" s="64">
        <v>181.0</v>
      </c>
      <c r="H29" s="65"/>
      <c r="I29" s="65"/>
      <c r="J29" s="137">
        <v>10593.0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102.0</v>
      </c>
      <c r="G30" s="93">
        <v>102.0</v>
      </c>
      <c r="H30" s="92"/>
      <c r="I30" s="93"/>
      <c r="J30" s="137">
        <v>10594.0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>
        <f>S33</f>
        <v>12551</v>
      </c>
      <c r="D31" s="24"/>
      <c r="E31" s="43">
        <v>22.0</v>
      </c>
      <c r="F31" s="56">
        <v>1131.0</v>
      </c>
      <c r="G31" s="93">
        <v>1131.0</v>
      </c>
      <c r="H31" s="92"/>
      <c r="I31" s="92"/>
      <c r="J31" s="137">
        <v>10595.0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150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>
        <f>R34</f>
        <v>3500</v>
      </c>
      <c r="D32" s="24"/>
      <c r="E32" s="43">
        <v>23.0</v>
      </c>
      <c r="F32" s="56">
        <v>64.0</v>
      </c>
      <c r="G32" s="93">
        <v>64.0</v>
      </c>
      <c r="H32" s="92"/>
      <c r="I32" s="92"/>
      <c r="J32" s="137">
        <v>10596.0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105.0</v>
      </c>
      <c r="G33" s="93"/>
      <c r="H33" s="143">
        <v>105.0</v>
      </c>
      <c r="I33" s="92"/>
      <c r="J33" s="137">
        <v>10597.0</v>
      </c>
      <c r="K33" s="24"/>
      <c r="L33" s="104">
        <f t="shared" ref="L33:M33" si="2">sum(L10:L32)</f>
        <v>3065</v>
      </c>
      <c r="M33" s="104">
        <f t="shared" si="2"/>
        <v>2277</v>
      </c>
      <c r="N33" s="104"/>
      <c r="O33" s="105"/>
      <c r="P33" s="85" t="s">
        <v>38</v>
      </c>
      <c r="Q33" s="51"/>
      <c r="R33" s="100"/>
      <c r="S33" s="52">
        <v>12551.0</v>
      </c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15.0</v>
      </c>
      <c r="G34" s="93"/>
      <c r="H34" s="143">
        <v>15.0</v>
      </c>
      <c r="I34" s="92"/>
      <c r="J34" s="137">
        <v>10598.0</v>
      </c>
      <c r="K34" s="24"/>
      <c r="L34" s="106"/>
      <c r="M34" s="106"/>
      <c r="N34" s="106"/>
      <c r="O34" s="106"/>
      <c r="P34" s="85" t="s">
        <v>40</v>
      </c>
      <c r="Q34" s="107"/>
      <c r="R34" s="144">
        <v>3500.0</v>
      </c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241.0</v>
      </c>
      <c r="G35" s="92"/>
      <c r="H35" s="143">
        <v>241.0</v>
      </c>
      <c r="I35" s="92"/>
      <c r="J35" s="137">
        <v>10599.0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56.0</v>
      </c>
      <c r="G36" s="92"/>
      <c r="H36" s="143">
        <v>56.0</v>
      </c>
      <c r="I36" s="92"/>
      <c r="J36" s="137">
        <v>10600.0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467.0</v>
      </c>
      <c r="G37" s="93">
        <v>467.0</v>
      </c>
      <c r="H37" s="92"/>
      <c r="I37" s="92"/>
      <c r="J37" s="137">
        <v>10601.0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284.0</v>
      </c>
      <c r="G38" s="93"/>
      <c r="H38" s="143">
        <v>284.0</v>
      </c>
      <c r="I38" s="92"/>
      <c r="J38" s="137">
        <v>10602.0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300.0</v>
      </c>
      <c r="G39" s="93">
        <v>300.0</v>
      </c>
      <c r="H39" s="93"/>
      <c r="I39" s="92"/>
      <c r="J39" s="137">
        <v>10603.0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1694.0</v>
      </c>
      <c r="G40" s="93">
        <v>1694.0</v>
      </c>
      <c r="H40" s="93"/>
      <c r="I40" s="92"/>
      <c r="J40" s="137">
        <v>10604.0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649.0</v>
      </c>
      <c r="G41" s="93">
        <v>649.0</v>
      </c>
      <c r="H41" s="93"/>
      <c r="I41" s="92"/>
      <c r="J41" s="137">
        <v>10605.0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118.0</v>
      </c>
      <c r="G42" s="93">
        <v>118.0</v>
      </c>
      <c r="H42" s="93"/>
      <c r="I42" s="92"/>
      <c r="J42" s="137">
        <v>10606.0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518.0</v>
      </c>
      <c r="G43" s="93"/>
      <c r="H43" s="143">
        <v>518.0</v>
      </c>
      <c r="I43" s="92"/>
      <c r="J43" s="137">
        <v>10607.0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1749.0</v>
      </c>
      <c r="G44" s="92"/>
      <c r="H44" s="143">
        <v>1749.0</v>
      </c>
      <c r="I44" s="92"/>
      <c r="J44" s="137">
        <v>10608.0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59.0</v>
      </c>
      <c r="G45" s="93">
        <v>59.0</v>
      </c>
      <c r="H45" s="92"/>
      <c r="I45" s="92"/>
      <c r="J45" s="137">
        <v>10609.0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150.0</v>
      </c>
      <c r="G46" s="93"/>
      <c r="H46" s="143">
        <v>150.0</v>
      </c>
      <c r="I46" s="92"/>
      <c r="J46" s="137">
        <v>10610.0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664.0</v>
      </c>
      <c r="G47" s="93">
        <v>664.0</v>
      </c>
      <c r="H47" s="93"/>
      <c r="I47" s="92"/>
      <c r="J47" s="137">
        <v>10611.0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469.0</v>
      </c>
      <c r="G48" s="93">
        <v>469.0</v>
      </c>
      <c r="H48" s="92"/>
      <c r="I48" s="92"/>
      <c r="J48" s="137">
        <v>10612.0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862.0</v>
      </c>
      <c r="G49" s="92"/>
      <c r="H49" s="143">
        <v>862.0</v>
      </c>
      <c r="I49" s="92"/>
      <c r="J49" s="137">
        <v>10613.0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241.0</v>
      </c>
      <c r="G50" s="93">
        <v>241.0</v>
      </c>
      <c r="H50" s="93"/>
      <c r="I50" s="92"/>
      <c r="J50" s="137">
        <v>10614.0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354.0</v>
      </c>
      <c r="G51" s="93">
        <v>354.0</v>
      </c>
      <c r="H51" s="92"/>
      <c r="I51" s="92"/>
      <c r="J51" s="137">
        <v>10615.0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36.0</v>
      </c>
      <c r="G52" s="92"/>
      <c r="H52" s="143">
        <v>36.0</v>
      </c>
      <c r="I52" s="92"/>
      <c r="J52" s="137">
        <v>10616.0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98.0</v>
      </c>
      <c r="G53" s="92"/>
      <c r="H53" s="143">
        <v>98.0</v>
      </c>
      <c r="I53" s="92"/>
      <c r="J53" s="137">
        <v>10617.0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82.0</v>
      </c>
      <c r="G54" s="92"/>
      <c r="H54" s="143">
        <v>82.0</v>
      </c>
      <c r="I54" s="92"/>
      <c r="J54" s="137">
        <v>10618.0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58.0</v>
      </c>
      <c r="G55" s="92"/>
      <c r="H55" s="143">
        <v>58.0</v>
      </c>
      <c r="I55" s="92"/>
      <c r="J55" s="137">
        <v>10619.0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376.0</v>
      </c>
      <c r="G56" s="93">
        <v>376.0</v>
      </c>
      <c r="H56" s="92"/>
      <c r="I56" s="92"/>
      <c r="J56" s="137">
        <v>10620.0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135.0</v>
      </c>
      <c r="G57" s="92"/>
      <c r="H57" s="143">
        <v>135.0</v>
      </c>
      <c r="I57" s="92"/>
      <c r="J57" s="137">
        <v>10621.0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464.0</v>
      </c>
      <c r="G58" s="93">
        <v>464.0</v>
      </c>
      <c r="H58" s="92"/>
      <c r="I58" s="92"/>
      <c r="J58" s="137">
        <v>10622.0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147.0</v>
      </c>
      <c r="G59" s="93">
        <v>147.0</v>
      </c>
      <c r="H59" s="92"/>
      <c r="I59" s="92"/>
      <c r="J59" s="137">
        <v>10623.0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74.0</v>
      </c>
      <c r="G60" s="92"/>
      <c r="H60" s="143">
        <v>74.0</v>
      </c>
      <c r="I60" s="92"/>
      <c r="J60" s="137">
        <v>10624.0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99.0</v>
      </c>
      <c r="G61" s="93">
        <v>99.0</v>
      </c>
      <c r="H61" s="92"/>
      <c r="I61" s="92"/>
      <c r="J61" s="137">
        <v>10625.0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241.0</v>
      </c>
      <c r="G62" s="92"/>
      <c r="H62" s="143">
        <v>241.0</v>
      </c>
      <c r="I62" s="92"/>
      <c r="J62" s="137">
        <v>10626.0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545.0</v>
      </c>
      <c r="G63" s="93">
        <v>545.0</v>
      </c>
      <c r="H63" s="92"/>
      <c r="I63" s="92"/>
      <c r="J63" s="137">
        <v>10627.0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80.0</v>
      </c>
      <c r="G64" s="93">
        <v>80.0</v>
      </c>
      <c r="H64" s="92"/>
      <c r="I64" s="92"/>
      <c r="J64" s="137">
        <v>10628.0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726.0</v>
      </c>
      <c r="G65" s="92"/>
      <c r="H65" s="143">
        <v>726.0</v>
      </c>
      <c r="I65" s="92"/>
      <c r="J65" s="137">
        <v>10629.0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1408.0</v>
      </c>
      <c r="G66" s="93">
        <v>1408.0</v>
      </c>
      <c r="H66" s="92"/>
      <c r="I66" s="92"/>
      <c r="J66" s="137">
        <v>10630.0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836.0</v>
      </c>
      <c r="G67" s="92"/>
      <c r="H67" s="143">
        <v>836.0</v>
      </c>
      <c r="I67" s="92"/>
      <c r="J67" s="137">
        <v>10631.0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134.0</v>
      </c>
      <c r="G68" s="93">
        <v>134.0</v>
      </c>
      <c r="H68" s="92"/>
      <c r="I68" s="92"/>
      <c r="J68" s="137">
        <v>10632.0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237.0</v>
      </c>
      <c r="G69" s="92"/>
      <c r="H69" s="143">
        <v>237.0</v>
      </c>
      <c r="I69" s="92"/>
      <c r="J69" s="137">
        <v>10633.0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173.0</v>
      </c>
      <c r="G70" s="92"/>
      <c r="H70" s="143">
        <v>173.0</v>
      </c>
      <c r="I70" s="92"/>
      <c r="J70" s="137">
        <v>10634.0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56">
        <v>65.0</v>
      </c>
      <c r="G71" s="93">
        <v>65.0</v>
      </c>
      <c r="H71" s="92"/>
      <c r="I71" s="92"/>
      <c r="J71" s="137">
        <v>10635.0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56">
        <v>156.0</v>
      </c>
      <c r="G72" s="92"/>
      <c r="H72" s="143">
        <v>156.0</v>
      </c>
      <c r="I72" s="92"/>
      <c r="J72" s="137">
        <v>10636.0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56">
        <v>122.0</v>
      </c>
      <c r="G73" s="93">
        <v>122.0</v>
      </c>
      <c r="H73" s="92"/>
      <c r="I73" s="92"/>
      <c r="J73" s="137">
        <v>10637.0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56">
        <v>335.0</v>
      </c>
      <c r="G74" s="93">
        <v>335.0</v>
      </c>
      <c r="H74" s="92"/>
      <c r="I74" s="92"/>
      <c r="J74" s="137">
        <v>10638.0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56">
        <v>151.0</v>
      </c>
      <c r="G75" s="92"/>
      <c r="H75" s="143">
        <v>151.0</v>
      </c>
      <c r="I75" s="92"/>
      <c r="J75" s="137">
        <v>10639.0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56">
        <v>107.0</v>
      </c>
      <c r="G76" s="92"/>
      <c r="H76" s="143">
        <v>107.0</v>
      </c>
      <c r="I76" s="92"/>
      <c r="J76" s="137">
        <v>10640.0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56">
        <v>104.0</v>
      </c>
      <c r="G77" s="93">
        <v>104.0</v>
      </c>
      <c r="H77" s="92"/>
      <c r="I77" s="92"/>
      <c r="J77" s="137">
        <v>10641.0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56">
        <v>50.0</v>
      </c>
      <c r="G78" s="93">
        <v>50.0</v>
      </c>
      <c r="H78" s="92"/>
      <c r="I78" s="92"/>
      <c r="J78" s="137">
        <v>10642.0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56">
        <v>1141.0</v>
      </c>
      <c r="G79" s="93">
        <v>1141.0</v>
      </c>
      <c r="H79" s="92"/>
      <c r="I79" s="92"/>
      <c r="J79" s="137">
        <v>10643.0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56">
        <v>300.0</v>
      </c>
      <c r="G80" s="93">
        <v>300.0</v>
      </c>
      <c r="H80" s="92"/>
      <c r="I80" s="92"/>
      <c r="J80" s="137">
        <v>10644.0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56">
        <v>452.0</v>
      </c>
      <c r="G81" s="92"/>
      <c r="H81" s="143">
        <v>452.0</v>
      </c>
      <c r="I81" s="92"/>
      <c r="J81" s="137">
        <v>10645.0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49">
        <v>76.0</v>
      </c>
      <c r="G82" s="54">
        <v>76.0</v>
      </c>
      <c r="H82" s="61"/>
      <c r="I82" s="61"/>
      <c r="J82" s="137">
        <v>10646.0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49">
        <v>188.0</v>
      </c>
      <c r="G83" s="54">
        <v>188.0</v>
      </c>
      <c r="H83" s="61"/>
      <c r="I83" s="61"/>
      <c r="J83" s="137">
        <v>10647.0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54">
        <v>1.0</v>
      </c>
      <c r="H84" s="61"/>
      <c r="I84" s="61"/>
      <c r="J84" s="137">
        <v>10648.0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137">
        <v>10649.0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137">
        <v>10650.0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137">
        <v>10651.0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137">
        <v>10652.0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137">
        <v>10653.0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137">
        <v>10654.0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137">
        <v>10655.0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137">
        <v>10656.0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137">
        <v>10657.0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137">
        <v>10658.0</v>
      </c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137">
        <v>10659.0</v>
      </c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137">
        <v>10660.0</v>
      </c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24"/>
      <c r="E97" s="43">
        <v>88.0</v>
      </c>
      <c r="F97" s="121"/>
      <c r="G97" s="61"/>
      <c r="H97" s="61"/>
      <c r="I97" s="61"/>
      <c r="J97" s="137">
        <v>10661.0</v>
      </c>
      <c r="K97" s="24"/>
      <c r="L97" s="112"/>
      <c r="M97" s="112"/>
      <c r="N97" s="112"/>
      <c r="O97" s="112"/>
      <c r="P97" s="112"/>
      <c r="Q97" s="113"/>
      <c r="R97" s="114"/>
      <c r="S97" s="114"/>
      <c r="T97" s="114"/>
      <c r="U97" s="115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</row>
    <row r="98" ht="14.25" customHeight="1">
      <c r="A98" s="1"/>
      <c r="B98" s="1"/>
      <c r="C98" s="1"/>
      <c r="D98" s="24"/>
      <c r="E98" s="43">
        <v>89.0</v>
      </c>
      <c r="F98" s="121"/>
      <c r="G98" s="61"/>
      <c r="H98" s="61"/>
      <c r="I98" s="61"/>
      <c r="J98" s="137">
        <v>10662.0</v>
      </c>
      <c r="K98" s="24"/>
      <c r="L98" s="112"/>
      <c r="M98" s="112"/>
      <c r="N98" s="112"/>
      <c r="O98" s="112"/>
      <c r="P98" s="112"/>
      <c r="Q98" s="113"/>
      <c r="R98" s="114"/>
      <c r="S98" s="114"/>
      <c r="T98" s="114"/>
      <c r="U98" s="115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</row>
    <row r="99" ht="14.25" customHeight="1">
      <c r="A99" s="1"/>
      <c r="B99" s="1"/>
      <c r="C99" s="1"/>
      <c r="D99" s="24"/>
      <c r="E99" s="43">
        <v>90.0</v>
      </c>
      <c r="F99" s="121"/>
      <c r="G99" s="61"/>
      <c r="H99" s="61"/>
      <c r="I99" s="61"/>
      <c r="J99" s="137">
        <v>10663.0</v>
      </c>
      <c r="K99" s="24"/>
      <c r="L99" s="112"/>
      <c r="M99" s="112"/>
      <c r="N99" s="112"/>
      <c r="O99" s="112"/>
      <c r="P99" s="112"/>
      <c r="Q99" s="113"/>
      <c r="R99" s="114"/>
      <c r="S99" s="114"/>
      <c r="T99" s="114"/>
      <c r="U99" s="115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</row>
    <row r="100" ht="14.25" customHeight="1">
      <c r="A100" s="1"/>
      <c r="B100" s="1"/>
      <c r="C100" s="1"/>
      <c r="D100" s="24"/>
      <c r="E100" s="43">
        <v>91.0</v>
      </c>
      <c r="F100" s="121"/>
      <c r="G100" s="61"/>
      <c r="H100" s="61"/>
      <c r="I100" s="61"/>
      <c r="J100" s="137">
        <v>10664.0</v>
      </c>
      <c r="K100" s="24"/>
      <c r="L100" s="112"/>
      <c r="M100" s="112"/>
      <c r="N100" s="112"/>
      <c r="O100" s="112"/>
      <c r="P100" s="112"/>
      <c r="Q100" s="113"/>
      <c r="R100" s="114"/>
      <c r="S100" s="114"/>
      <c r="T100" s="114"/>
      <c r="U100" s="115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</row>
    <row r="101" ht="14.25" customHeight="1">
      <c r="A101" s="1"/>
      <c r="B101" s="1"/>
      <c r="C101" s="1"/>
      <c r="D101" s="24"/>
      <c r="E101" s="43">
        <v>92.0</v>
      </c>
      <c r="F101" s="121"/>
      <c r="G101" s="61"/>
      <c r="H101" s="61"/>
      <c r="I101" s="61"/>
      <c r="J101" s="137">
        <v>10665.0</v>
      </c>
      <c r="K101" s="24"/>
      <c r="L101" s="112"/>
      <c r="M101" s="112"/>
      <c r="N101" s="112"/>
      <c r="O101" s="112"/>
      <c r="P101" s="112"/>
      <c r="Q101" s="113"/>
      <c r="R101" s="114"/>
      <c r="S101" s="114"/>
      <c r="T101" s="114"/>
      <c r="U101" s="115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</row>
    <row r="102" ht="14.25" customHeight="1">
      <c r="A102" s="1"/>
      <c r="B102" s="1"/>
      <c r="C102" s="1"/>
      <c r="D102" s="24"/>
      <c r="E102" s="43">
        <v>93.0</v>
      </c>
      <c r="F102" s="121"/>
      <c r="G102" s="61"/>
      <c r="H102" s="61"/>
      <c r="I102" s="61"/>
      <c r="J102" s="137">
        <v>10666.0</v>
      </c>
      <c r="K102" s="24"/>
      <c r="L102" s="112"/>
      <c r="M102" s="112"/>
      <c r="N102" s="112"/>
      <c r="O102" s="112"/>
      <c r="P102" s="112"/>
      <c r="Q102" s="113"/>
      <c r="R102" s="114"/>
      <c r="S102" s="114"/>
      <c r="T102" s="114"/>
      <c r="U102" s="115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</row>
    <row r="103" ht="14.25" customHeight="1">
      <c r="A103" s="1"/>
      <c r="B103" s="1"/>
      <c r="C103" s="1"/>
      <c r="D103" s="24"/>
      <c r="E103" s="43">
        <v>94.0</v>
      </c>
      <c r="F103" s="121"/>
      <c r="G103" s="61"/>
      <c r="H103" s="61"/>
      <c r="I103" s="61"/>
      <c r="J103" s="137">
        <v>10667.0</v>
      </c>
      <c r="K103" s="24"/>
      <c r="L103" s="112"/>
      <c r="M103" s="112"/>
      <c r="N103" s="112"/>
      <c r="O103" s="112"/>
      <c r="P103" s="112"/>
      <c r="Q103" s="113"/>
      <c r="R103" s="114"/>
      <c r="S103" s="114"/>
      <c r="T103" s="114"/>
      <c r="U103" s="115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</row>
    <row r="104" ht="14.25" customHeight="1">
      <c r="A104" s="1"/>
      <c r="B104" s="1"/>
      <c r="C104" s="1"/>
      <c r="D104" s="24"/>
      <c r="E104" s="43">
        <v>95.0</v>
      </c>
      <c r="F104" s="121"/>
      <c r="G104" s="61"/>
      <c r="H104" s="61"/>
      <c r="I104" s="61"/>
      <c r="J104" s="137">
        <v>10668.0</v>
      </c>
      <c r="K104" s="24"/>
      <c r="L104" s="112"/>
      <c r="M104" s="112"/>
      <c r="N104" s="112"/>
      <c r="O104" s="112"/>
      <c r="P104" s="112"/>
      <c r="Q104" s="113"/>
      <c r="R104" s="114"/>
      <c r="S104" s="114"/>
      <c r="T104" s="114"/>
      <c r="U104" s="115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</row>
    <row r="105" ht="14.25" customHeight="1">
      <c r="A105" s="1"/>
      <c r="B105" s="1"/>
      <c r="C105" s="1"/>
      <c r="D105" s="24"/>
      <c r="E105" s="43">
        <v>96.0</v>
      </c>
      <c r="F105" s="121"/>
      <c r="G105" s="61"/>
      <c r="H105" s="61"/>
      <c r="I105" s="61"/>
      <c r="J105" s="137">
        <v>10669.0</v>
      </c>
      <c r="K105" s="24"/>
      <c r="L105" s="112"/>
      <c r="M105" s="112"/>
      <c r="N105" s="112"/>
      <c r="O105" s="112"/>
      <c r="P105" s="112"/>
      <c r="Q105" s="113"/>
      <c r="R105" s="114"/>
      <c r="S105" s="114"/>
      <c r="T105" s="114"/>
      <c r="U105" s="115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</row>
    <row r="106" ht="14.25" customHeight="1">
      <c r="A106" s="1"/>
      <c r="B106" s="1"/>
      <c r="C106" s="1"/>
      <c r="D106" s="24"/>
      <c r="E106" s="43">
        <v>97.0</v>
      </c>
      <c r="F106" s="121"/>
      <c r="G106" s="61"/>
      <c r="H106" s="61"/>
      <c r="I106" s="61"/>
      <c r="J106" s="137">
        <v>10670.0</v>
      </c>
      <c r="K106" s="24"/>
      <c r="L106" s="112"/>
      <c r="M106" s="112"/>
      <c r="N106" s="112"/>
      <c r="O106" s="112"/>
      <c r="P106" s="112"/>
      <c r="Q106" s="113"/>
      <c r="R106" s="114"/>
      <c r="S106" s="114"/>
      <c r="T106" s="114"/>
      <c r="U106" s="115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</row>
    <row r="107" ht="14.25" customHeight="1">
      <c r="A107" s="1"/>
      <c r="B107" s="1"/>
      <c r="C107" s="1"/>
      <c r="D107" s="24"/>
      <c r="E107" s="43">
        <v>98.0</v>
      </c>
      <c r="F107" s="121"/>
      <c r="G107" s="61"/>
      <c r="H107" s="61"/>
      <c r="I107" s="61"/>
      <c r="J107" s="137">
        <v>10671.0</v>
      </c>
      <c r="K107" s="24"/>
      <c r="L107" s="112"/>
      <c r="M107" s="112"/>
      <c r="N107" s="112"/>
      <c r="O107" s="112"/>
      <c r="P107" s="112"/>
      <c r="Q107" s="113"/>
      <c r="R107" s="114"/>
      <c r="S107" s="114"/>
      <c r="T107" s="114"/>
      <c r="U107" s="115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</row>
    <row r="108" ht="14.25" customHeight="1">
      <c r="A108" s="1"/>
      <c r="B108" s="1"/>
      <c r="C108" s="1"/>
      <c r="D108" s="24"/>
      <c r="E108" s="43">
        <v>99.0</v>
      </c>
      <c r="F108" s="121"/>
      <c r="G108" s="61"/>
      <c r="H108" s="61"/>
      <c r="I108" s="61"/>
      <c r="J108" s="137">
        <v>10672.0</v>
      </c>
      <c r="K108" s="24"/>
      <c r="L108" s="112"/>
      <c r="M108" s="112"/>
      <c r="N108" s="112"/>
      <c r="O108" s="112"/>
      <c r="P108" s="112"/>
      <c r="Q108" s="113"/>
      <c r="R108" s="114"/>
      <c r="S108" s="114"/>
      <c r="T108" s="114"/>
      <c r="U108" s="115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</row>
    <row r="109" ht="14.25" customHeight="1">
      <c r="A109" s="1"/>
      <c r="B109" s="1"/>
      <c r="C109" s="1"/>
      <c r="D109" s="24"/>
      <c r="E109" s="43">
        <v>100.0</v>
      </c>
      <c r="F109" s="121"/>
      <c r="G109" s="61"/>
      <c r="H109" s="61"/>
      <c r="I109" s="61"/>
      <c r="J109" s="137">
        <v>10673.0</v>
      </c>
      <c r="K109" s="24"/>
      <c r="L109" s="112"/>
      <c r="M109" s="112"/>
      <c r="N109" s="112"/>
      <c r="O109" s="112"/>
      <c r="P109" s="112"/>
      <c r="Q109" s="113"/>
      <c r="R109" s="114"/>
      <c r="S109" s="114"/>
      <c r="T109" s="114"/>
      <c r="U109" s="115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</row>
    <row r="110" ht="14.25" customHeight="1">
      <c r="A110" s="1"/>
      <c r="B110" s="1"/>
      <c r="C110" s="1"/>
      <c r="D110" s="24"/>
      <c r="E110" s="43">
        <v>101.0</v>
      </c>
      <c r="F110" s="121"/>
      <c r="G110" s="61"/>
      <c r="H110" s="61"/>
      <c r="I110" s="61"/>
      <c r="J110" s="137">
        <v>10674.0</v>
      </c>
      <c r="K110" s="24"/>
      <c r="L110" s="112"/>
      <c r="M110" s="112"/>
      <c r="N110" s="112"/>
      <c r="O110" s="112"/>
      <c r="P110" s="112"/>
      <c r="Q110" s="113"/>
      <c r="R110" s="114"/>
      <c r="S110" s="114"/>
      <c r="T110" s="114"/>
      <c r="U110" s="115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</row>
    <row r="111" ht="14.25" customHeight="1">
      <c r="A111" s="1"/>
      <c r="B111" s="1"/>
      <c r="C111" s="1"/>
      <c r="D111" s="24"/>
      <c r="E111" s="43">
        <v>102.0</v>
      </c>
      <c r="F111" s="121"/>
      <c r="G111" s="61"/>
      <c r="H111" s="61"/>
      <c r="I111" s="61"/>
      <c r="J111" s="137">
        <v>10675.0</v>
      </c>
      <c r="K111" s="24"/>
      <c r="L111" s="112"/>
      <c r="M111" s="112"/>
      <c r="N111" s="112"/>
      <c r="O111" s="112"/>
      <c r="P111" s="112"/>
      <c r="Q111" s="113"/>
      <c r="R111" s="114"/>
      <c r="S111" s="114"/>
      <c r="T111" s="114"/>
      <c r="U111" s="115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</row>
    <row r="112" ht="14.25" customHeight="1">
      <c r="A112" s="1"/>
      <c r="B112" s="1"/>
      <c r="C112" s="1"/>
      <c r="D112" s="24"/>
      <c r="E112" s="43">
        <v>103.0</v>
      </c>
      <c r="F112" s="121"/>
      <c r="G112" s="61"/>
      <c r="H112" s="61"/>
      <c r="I112" s="61"/>
      <c r="J112" s="137">
        <v>10676.0</v>
      </c>
      <c r="K112" s="24"/>
      <c r="L112" s="112"/>
      <c r="M112" s="112"/>
      <c r="N112" s="112"/>
      <c r="O112" s="112"/>
      <c r="P112" s="112"/>
      <c r="Q112" s="113"/>
      <c r="R112" s="114"/>
      <c r="S112" s="114"/>
      <c r="T112" s="114"/>
      <c r="U112" s="115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</row>
    <row r="113" ht="14.25" customHeight="1">
      <c r="A113" s="1"/>
      <c r="B113" s="1"/>
      <c r="C113" s="1"/>
      <c r="D113" s="24"/>
      <c r="E113" s="43">
        <v>104.0</v>
      </c>
      <c r="F113" s="121"/>
      <c r="G113" s="61"/>
      <c r="H113" s="61"/>
      <c r="I113" s="61"/>
      <c r="J113" s="137">
        <v>10677.0</v>
      </c>
      <c r="K113" s="24"/>
      <c r="L113" s="112"/>
      <c r="M113" s="112"/>
      <c r="N113" s="112"/>
      <c r="O113" s="112"/>
      <c r="P113" s="112"/>
      <c r="Q113" s="113"/>
      <c r="R113" s="114"/>
      <c r="S113" s="114"/>
      <c r="T113" s="114"/>
      <c r="U113" s="115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</row>
    <row r="114" ht="14.25" customHeight="1">
      <c r="A114" s="1"/>
      <c r="B114" s="1"/>
      <c r="C114" s="1"/>
      <c r="D114" s="24"/>
      <c r="E114" s="43">
        <v>105.0</v>
      </c>
      <c r="F114" s="121"/>
      <c r="G114" s="61"/>
      <c r="H114" s="61"/>
      <c r="I114" s="61"/>
      <c r="J114" s="137">
        <v>10678.0</v>
      </c>
      <c r="K114" s="24"/>
      <c r="L114" s="112"/>
      <c r="M114" s="112"/>
      <c r="N114" s="112"/>
      <c r="O114" s="112"/>
      <c r="P114" s="112"/>
      <c r="Q114" s="113"/>
      <c r="R114" s="114"/>
      <c r="S114" s="114"/>
      <c r="T114" s="114"/>
      <c r="U114" s="115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</row>
    <row r="115" ht="14.25" customHeight="1">
      <c r="A115" s="1"/>
      <c r="B115" s="1"/>
      <c r="C115" s="1"/>
      <c r="D115" s="24"/>
      <c r="E115" s="43">
        <v>106.0</v>
      </c>
      <c r="F115" s="121"/>
      <c r="G115" s="61"/>
      <c r="H115" s="61"/>
      <c r="I115" s="61"/>
      <c r="J115" s="137">
        <v>10679.0</v>
      </c>
      <c r="K115" s="24"/>
      <c r="L115" s="112"/>
      <c r="M115" s="112"/>
      <c r="N115" s="112"/>
      <c r="O115" s="112"/>
      <c r="P115" s="112"/>
      <c r="Q115" s="113"/>
      <c r="R115" s="114"/>
      <c r="S115" s="114"/>
      <c r="T115" s="114"/>
      <c r="U115" s="115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</row>
    <row r="116" ht="14.25" customHeight="1">
      <c r="A116" s="1"/>
      <c r="B116" s="1"/>
      <c r="C116" s="1"/>
      <c r="D116" s="24"/>
      <c r="E116" s="43">
        <v>107.0</v>
      </c>
      <c r="F116" s="121"/>
      <c r="G116" s="61"/>
      <c r="H116" s="61"/>
      <c r="I116" s="61"/>
      <c r="J116" s="137">
        <v>10680.0</v>
      </c>
      <c r="K116" s="24"/>
      <c r="L116" s="112"/>
      <c r="M116" s="112"/>
      <c r="N116" s="112"/>
      <c r="O116" s="112"/>
      <c r="P116" s="112"/>
      <c r="Q116" s="113"/>
      <c r="R116" s="114"/>
      <c r="S116" s="114"/>
      <c r="T116" s="114"/>
      <c r="U116" s="115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</row>
    <row r="117" ht="14.25" customHeight="1">
      <c r="A117" s="1"/>
      <c r="B117" s="1"/>
      <c r="C117" s="1"/>
      <c r="D117" s="24"/>
      <c r="E117" s="43">
        <v>108.0</v>
      </c>
      <c r="F117" s="121"/>
      <c r="G117" s="61"/>
      <c r="H117" s="61"/>
      <c r="I117" s="61"/>
      <c r="J117" s="137">
        <v>10681.0</v>
      </c>
      <c r="K117" s="24"/>
      <c r="L117" s="112"/>
      <c r="M117" s="112"/>
      <c r="N117" s="112"/>
      <c r="O117" s="112"/>
      <c r="P117" s="112"/>
      <c r="Q117" s="113"/>
      <c r="R117" s="114"/>
      <c r="S117" s="114"/>
      <c r="T117" s="114"/>
      <c r="U117" s="115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</row>
    <row r="118" ht="14.25" customHeight="1">
      <c r="A118" s="1"/>
      <c r="B118" s="1"/>
      <c r="C118" s="1"/>
      <c r="D118" s="24"/>
      <c r="E118" s="43">
        <v>109.0</v>
      </c>
      <c r="F118" s="121"/>
      <c r="G118" s="61"/>
      <c r="H118" s="61"/>
      <c r="I118" s="61"/>
      <c r="J118" s="137">
        <v>10682.0</v>
      </c>
      <c r="K118" s="24"/>
      <c r="L118" s="112"/>
      <c r="M118" s="112"/>
      <c r="N118" s="112"/>
      <c r="O118" s="112"/>
      <c r="P118" s="112"/>
      <c r="Q118" s="113"/>
      <c r="R118" s="114"/>
      <c r="S118" s="114"/>
      <c r="T118" s="114"/>
      <c r="U118" s="115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</row>
    <row r="119" ht="14.25" customHeight="1">
      <c r="A119" s="1"/>
      <c r="B119" s="1"/>
      <c r="C119" s="1"/>
      <c r="D119" s="1"/>
      <c r="E119" s="122"/>
      <c r="F119" s="123">
        <f t="shared" ref="F119:I119" si="4">SUM(F10:F118)</f>
        <v>30810</v>
      </c>
      <c r="G119" s="123">
        <f t="shared" si="4"/>
        <v>19569</v>
      </c>
      <c r="H119" s="123">
        <f t="shared" si="4"/>
        <v>10374</v>
      </c>
      <c r="I119" s="123">
        <f t="shared" si="4"/>
        <v>868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18"/>
      <c r="C120" s="118"/>
      <c r="D120" s="1"/>
      <c r="E120" s="124"/>
      <c r="F120" s="124"/>
      <c r="G120" s="124"/>
      <c r="H120" s="124"/>
      <c r="I120" s="125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18"/>
      <c r="C121" s="1"/>
      <c r="D121" s="1"/>
      <c r="E121" s="8"/>
      <c r="F121" s="8"/>
      <c r="G121" s="8"/>
      <c r="H121" s="8"/>
      <c r="I121" s="8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8"/>
      <c r="F122" s="8"/>
      <c r="G122" s="8"/>
      <c r="H122" s="8"/>
      <c r="I122" s="8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8"/>
      <c r="F123" s="8"/>
      <c r="G123" s="8"/>
      <c r="H123" s="8"/>
      <c r="I123" s="8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8"/>
      <c r="F124" s="8"/>
      <c r="G124" s="8"/>
      <c r="H124" s="8"/>
      <c r="I124" s="8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8"/>
      <c r="F125" s="8"/>
      <c r="G125" s="8"/>
      <c r="H125" s="8"/>
      <c r="I125" s="8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26"/>
      <c r="H132" s="12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32">
        <v>45987.0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36204.0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12651.0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61185.0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43161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20940</v>
      </c>
      <c r="D10" s="24"/>
      <c r="E10" s="43">
        <v>1.0</v>
      </c>
      <c r="F10" s="44">
        <v>490.0</v>
      </c>
      <c r="G10" s="45">
        <v>490.0</v>
      </c>
      <c r="H10" s="45"/>
      <c r="I10" s="45"/>
      <c r="J10" s="137">
        <v>10648.0</v>
      </c>
      <c r="K10" s="24"/>
      <c r="L10" s="47"/>
      <c r="M10" s="47">
        <v>868.0</v>
      </c>
      <c r="N10" s="47">
        <v>10585.0</v>
      </c>
      <c r="O10" s="49"/>
      <c r="P10" s="85" t="s">
        <v>230</v>
      </c>
      <c r="Q10" s="51"/>
      <c r="R10" s="52">
        <v>3000.0</v>
      </c>
      <c r="S10" s="53"/>
      <c r="T10" s="54"/>
      <c r="U10" s="55"/>
      <c r="V10" s="24"/>
      <c r="W10" s="47">
        <v>100.0</v>
      </c>
      <c r="X10" s="47"/>
      <c r="Y10" s="47">
        <v>143.0</v>
      </c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13586</v>
      </c>
      <c r="D11" s="24"/>
      <c r="E11" s="43">
        <v>2.0</v>
      </c>
      <c r="F11" s="56">
        <v>47.0</v>
      </c>
      <c r="G11" s="57">
        <v>47.0</v>
      </c>
      <c r="H11" s="58"/>
      <c r="I11" s="59"/>
      <c r="J11" s="137">
        <v>10649.0</v>
      </c>
      <c r="K11" s="24"/>
      <c r="L11" s="48"/>
      <c r="M11" s="48"/>
      <c r="N11" s="48"/>
      <c r="O11" s="49"/>
      <c r="P11" s="72" t="s">
        <v>204</v>
      </c>
      <c r="Q11" s="51"/>
      <c r="R11" s="52">
        <v>300.0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8635</v>
      </c>
      <c r="D12" s="24"/>
      <c r="E12" s="43">
        <v>3.0</v>
      </c>
      <c r="F12" s="63">
        <v>305.0</v>
      </c>
      <c r="G12" s="64">
        <v>305.0</v>
      </c>
      <c r="H12" s="64"/>
      <c r="I12" s="65"/>
      <c r="J12" s="137">
        <v>10650.0</v>
      </c>
      <c r="K12" s="24"/>
      <c r="L12" s="48"/>
      <c r="M12" s="48"/>
      <c r="N12" s="48"/>
      <c r="O12" s="49"/>
      <c r="P12" s="72" t="s">
        <v>85</v>
      </c>
      <c r="Q12" s="51"/>
      <c r="R12" s="52">
        <v>100.0</v>
      </c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>
        <v>5.0</v>
      </c>
      <c r="G13" s="64">
        <v>5.0</v>
      </c>
      <c r="H13" s="65"/>
      <c r="I13" s="65"/>
      <c r="J13" s="137">
        <v>10651.0</v>
      </c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868</v>
      </c>
      <c r="D14" s="24"/>
      <c r="E14" s="43">
        <v>5.0</v>
      </c>
      <c r="F14" s="56">
        <v>14.0</v>
      </c>
      <c r="G14" s="64">
        <v>14.0</v>
      </c>
      <c r="H14" s="65"/>
      <c r="I14" s="65"/>
      <c r="J14" s="137">
        <v>10652.0</v>
      </c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100</v>
      </c>
      <c r="D15" s="24"/>
      <c r="E15" s="43">
        <v>6.0</v>
      </c>
      <c r="F15" s="56">
        <v>1267.0</v>
      </c>
      <c r="G15" s="64">
        <v>1267.0</v>
      </c>
      <c r="H15" s="64"/>
      <c r="I15" s="65"/>
      <c r="J15" s="137">
        <v>10653.0</v>
      </c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3400</v>
      </c>
      <c r="D16" s="24"/>
      <c r="E16" s="43">
        <v>7.0</v>
      </c>
      <c r="F16" s="56">
        <v>782.0</v>
      </c>
      <c r="G16" s="64">
        <v>782.0</v>
      </c>
      <c r="H16" s="64"/>
      <c r="I16" s="65"/>
      <c r="J16" s="137">
        <v>10654.0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3400</v>
      </c>
      <c r="D17" s="24"/>
      <c r="E17" s="43">
        <v>8.0</v>
      </c>
      <c r="F17" s="56">
        <v>410.0</v>
      </c>
      <c r="G17" s="64">
        <v>410.0</v>
      </c>
      <c r="H17" s="64"/>
      <c r="I17" s="65"/>
      <c r="J17" s="137">
        <v>10655.0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218.0</v>
      </c>
      <c r="G18" s="64"/>
      <c r="H18" s="64">
        <v>218.0</v>
      </c>
      <c r="I18" s="65"/>
      <c r="J18" s="137">
        <v>10656.0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118.0</v>
      </c>
      <c r="G19" s="64"/>
      <c r="H19" s="64">
        <v>118.0</v>
      </c>
      <c r="I19" s="65"/>
      <c r="J19" s="137">
        <v>10657.0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68952</v>
      </c>
      <c r="D20" s="24"/>
      <c r="E20" s="43">
        <v>11.0</v>
      </c>
      <c r="F20" s="56">
        <v>605.0</v>
      </c>
      <c r="G20" s="64">
        <v>605.0</v>
      </c>
      <c r="H20" s="64"/>
      <c r="I20" s="65"/>
      <c r="J20" s="137">
        <v>10658.0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14454</v>
      </c>
      <c r="D21" s="24"/>
      <c r="E21" s="43">
        <v>12.0</v>
      </c>
      <c r="F21" s="56">
        <v>65.0</v>
      </c>
      <c r="G21" s="64">
        <v>65.0</v>
      </c>
      <c r="H21" s="64"/>
      <c r="I21" s="65"/>
      <c r="J21" s="137">
        <v>10659.0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50244</v>
      </c>
      <c r="D22" s="24"/>
      <c r="E22" s="43">
        <v>13.0</v>
      </c>
      <c r="F22" s="56">
        <v>11.0</v>
      </c>
      <c r="G22" s="64">
        <v>11.0</v>
      </c>
      <c r="H22" s="64"/>
      <c r="I22" s="65"/>
      <c r="J22" s="137">
        <v>10660.0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41">
        <v>42431.0</v>
      </c>
      <c r="D23" s="24"/>
      <c r="E23" s="43">
        <v>14.0</v>
      </c>
      <c r="F23" s="56">
        <v>869.0</v>
      </c>
      <c r="G23" s="65"/>
      <c r="H23" s="64">
        <v>869.0</v>
      </c>
      <c r="I23" s="65"/>
      <c r="J23" s="137">
        <v>10661.0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7813</v>
      </c>
      <c r="D24" s="24"/>
      <c r="E24" s="43">
        <v>15.0</v>
      </c>
      <c r="F24" s="56">
        <v>154.0</v>
      </c>
      <c r="G24" s="64">
        <v>154.0</v>
      </c>
      <c r="H24" s="65"/>
      <c r="I24" s="65"/>
      <c r="J24" s="137">
        <v>10662.0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100.0</v>
      </c>
      <c r="G25" s="64"/>
      <c r="H25" s="64">
        <v>100.0</v>
      </c>
      <c r="I25" s="65"/>
      <c r="J25" s="137">
        <v>10663.0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43261</v>
      </c>
      <c r="D26" s="24"/>
      <c r="E26" s="43">
        <v>17.0</v>
      </c>
      <c r="F26" s="56">
        <v>1679.0</v>
      </c>
      <c r="G26" s="64">
        <v>1679.0</v>
      </c>
      <c r="H26" s="65"/>
      <c r="I26" s="65"/>
      <c r="J26" s="137">
        <v>10664.0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85.0</v>
      </c>
      <c r="D27" s="24"/>
      <c r="E27" s="43">
        <v>18.0</v>
      </c>
      <c r="F27" s="56">
        <v>546.0</v>
      </c>
      <c r="G27" s="64">
        <v>500.0</v>
      </c>
      <c r="H27" s="64">
        <v>46.0</v>
      </c>
      <c r="I27" s="65"/>
      <c r="J27" s="137">
        <v>10665.0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508.9529412</v>
      </c>
      <c r="D28" s="24"/>
      <c r="E28" s="43">
        <v>19.0</v>
      </c>
      <c r="F28" s="56">
        <v>540.0</v>
      </c>
      <c r="G28" s="64">
        <v>540.0</v>
      </c>
      <c r="H28" s="65"/>
      <c r="I28" s="65"/>
      <c r="J28" s="137">
        <v>10666.0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134.0</v>
      </c>
      <c r="G29" s="64">
        <v>134.0</v>
      </c>
      <c r="H29" s="65"/>
      <c r="I29" s="65"/>
      <c r="J29" s="137">
        <v>10667.0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207.0</v>
      </c>
      <c r="G30" s="93">
        <v>207.0</v>
      </c>
      <c r="H30" s="92"/>
      <c r="I30" s="93"/>
      <c r="J30" s="137">
        <v>10668.0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>
        <f>S33</f>
        <v>12651</v>
      </c>
      <c r="D31" s="24"/>
      <c r="E31" s="43">
        <v>22.0</v>
      </c>
      <c r="F31" s="56">
        <v>9.0</v>
      </c>
      <c r="G31" s="93">
        <v>9.0</v>
      </c>
      <c r="H31" s="92"/>
      <c r="I31" s="92"/>
      <c r="J31" s="137">
        <v>10669.0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3400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>
        <f>R34</f>
        <v>3500</v>
      </c>
      <c r="D32" s="24"/>
      <c r="E32" s="43">
        <v>23.0</v>
      </c>
      <c r="F32" s="56">
        <v>185.0</v>
      </c>
      <c r="G32" s="93"/>
      <c r="H32" s="93">
        <v>185.0</v>
      </c>
      <c r="I32" s="92"/>
      <c r="J32" s="137">
        <v>10670.0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2469.0</v>
      </c>
      <c r="G33" s="93"/>
      <c r="H33" s="92"/>
      <c r="I33" s="147">
        <v>2469.0</v>
      </c>
      <c r="J33" s="148" t="s">
        <v>231</v>
      </c>
      <c r="K33" s="24"/>
      <c r="L33" s="104">
        <f t="shared" ref="L33:M33" si="2">sum(L10:L32)</f>
        <v>0</v>
      </c>
      <c r="M33" s="104">
        <f t="shared" si="2"/>
        <v>868</v>
      </c>
      <c r="N33" s="104"/>
      <c r="O33" s="105"/>
      <c r="P33" s="85" t="s">
        <v>38</v>
      </c>
      <c r="Q33" s="51"/>
      <c r="R33" s="100"/>
      <c r="S33" s="52">
        <v>12651.0</v>
      </c>
      <c r="T33" s="101"/>
      <c r="U33" s="55"/>
      <c r="V33" s="24"/>
      <c r="W33" s="104">
        <f t="shared" ref="W33:X33" si="3">sum(W10:W32)</f>
        <v>100</v>
      </c>
      <c r="X33" s="104">
        <f t="shared" si="3"/>
        <v>0</v>
      </c>
      <c r="Y33" s="104">
        <f>W33+X33</f>
        <v>100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171.0</v>
      </c>
      <c r="G34" s="93"/>
      <c r="H34" s="93">
        <v>171.0</v>
      </c>
      <c r="I34" s="92"/>
      <c r="J34" s="137">
        <v>10672.0</v>
      </c>
      <c r="K34" s="24"/>
      <c r="L34" s="106"/>
      <c r="M34" s="106"/>
      <c r="N34" s="106"/>
      <c r="O34" s="106"/>
      <c r="P34" s="85" t="s">
        <v>40</v>
      </c>
      <c r="Q34" s="107"/>
      <c r="R34" s="144">
        <v>3500.0</v>
      </c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48.0</v>
      </c>
      <c r="G35" s="93">
        <v>48.0</v>
      </c>
      <c r="H35" s="93"/>
      <c r="I35" s="92"/>
      <c r="J35" s="137">
        <v>10673.0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10.0</v>
      </c>
      <c r="G36" s="93">
        <v>10.0</v>
      </c>
      <c r="H36" s="93"/>
      <c r="I36" s="92"/>
      <c r="J36" s="137">
        <v>10674.0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299.0</v>
      </c>
      <c r="G37" s="93">
        <v>299.0</v>
      </c>
      <c r="H37" s="92"/>
      <c r="I37" s="92"/>
      <c r="J37" s="137">
        <v>10675.0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1391.0</v>
      </c>
      <c r="G38" s="93"/>
      <c r="H38" s="93">
        <v>1391.0</v>
      </c>
      <c r="I38" s="92"/>
      <c r="J38" s="137">
        <v>10676.0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871.0</v>
      </c>
      <c r="G39" s="93">
        <v>871.0</v>
      </c>
      <c r="H39" s="93"/>
      <c r="I39" s="92"/>
      <c r="J39" s="137">
        <v>10677.0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550.0</v>
      </c>
      <c r="G40" s="93">
        <v>550.0</v>
      </c>
      <c r="H40" s="93"/>
      <c r="I40" s="92"/>
      <c r="J40" s="137">
        <v>10678.0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190.0</v>
      </c>
      <c r="G41" s="93">
        <v>20.0</v>
      </c>
      <c r="H41" s="93">
        <v>170.0</v>
      </c>
      <c r="I41" s="92"/>
      <c r="J41" s="137">
        <v>10679.0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1406.0</v>
      </c>
      <c r="G42" s="93"/>
      <c r="H42" s="93">
        <v>1406.0</v>
      </c>
      <c r="I42" s="92"/>
      <c r="J42" s="137">
        <v>10680.0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199.0</v>
      </c>
      <c r="G43" s="93">
        <v>19.0</v>
      </c>
      <c r="H43" s="93">
        <v>180.0</v>
      </c>
      <c r="I43" s="92"/>
      <c r="J43" s="137">
        <v>10681.0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1180.0</v>
      </c>
      <c r="G44" s="92"/>
      <c r="H44" s="145">
        <v>1180.0</v>
      </c>
      <c r="I44" s="92"/>
      <c r="J44" s="146" t="s">
        <v>232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2081.0</v>
      </c>
      <c r="G45" s="93">
        <v>2081.0</v>
      </c>
      <c r="H45" s="92"/>
      <c r="I45" s="92"/>
      <c r="J45" s="137">
        <v>10683.0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333.0</v>
      </c>
      <c r="G46" s="93"/>
      <c r="H46" s="93">
        <v>333.0</v>
      </c>
      <c r="I46" s="92"/>
      <c r="J46" s="137">
        <v>10684.0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333.0</v>
      </c>
      <c r="G47" s="93">
        <v>333.0</v>
      </c>
      <c r="H47" s="93"/>
      <c r="I47" s="92"/>
      <c r="J47" s="137">
        <v>10685.0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1636.0</v>
      </c>
      <c r="G48" s="92"/>
      <c r="H48" s="93">
        <v>1636.0</v>
      </c>
      <c r="I48" s="92"/>
      <c r="J48" s="137">
        <v>10686.0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413.0</v>
      </c>
      <c r="G49" s="93">
        <v>413.0</v>
      </c>
      <c r="H49" s="92"/>
      <c r="I49" s="92"/>
      <c r="J49" s="137">
        <v>10687.0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90.0</v>
      </c>
      <c r="G50" s="93">
        <v>90.0</v>
      </c>
      <c r="H50" s="93"/>
      <c r="I50" s="92"/>
      <c r="J50" s="137">
        <v>10688.0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225.0</v>
      </c>
      <c r="G51" s="93">
        <v>225.0</v>
      </c>
      <c r="H51" s="92"/>
      <c r="I51" s="92"/>
      <c r="J51" s="137">
        <v>10689.0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901.0</v>
      </c>
      <c r="G52" s="92"/>
      <c r="H52" s="92"/>
      <c r="I52" s="93">
        <v>901.0</v>
      </c>
      <c r="J52" s="137" t="s">
        <v>233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298.0</v>
      </c>
      <c r="G53" s="92"/>
      <c r="H53" s="93">
        <v>298.0</v>
      </c>
      <c r="I53" s="93"/>
      <c r="J53" s="137">
        <v>10691.0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1996.0</v>
      </c>
      <c r="G54" s="92"/>
      <c r="H54" s="92"/>
      <c r="I54" s="93">
        <v>1996.0</v>
      </c>
      <c r="J54" s="137" t="s">
        <v>234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423.0</v>
      </c>
      <c r="G55" s="93">
        <v>423.0</v>
      </c>
      <c r="H55" s="92"/>
      <c r="I55" s="92"/>
      <c r="J55" s="137">
        <v>10693.0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110.0</v>
      </c>
      <c r="G56" s="93">
        <v>110.0</v>
      </c>
      <c r="H56" s="92"/>
      <c r="I56" s="92"/>
      <c r="J56" s="137">
        <v>10694.0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2353.0</v>
      </c>
      <c r="G57" s="93"/>
      <c r="H57" s="92"/>
      <c r="I57" s="93">
        <v>2353.0</v>
      </c>
      <c r="J57" s="137" t="s">
        <v>235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51.0</v>
      </c>
      <c r="G58" s="93">
        <v>51.0</v>
      </c>
      <c r="H58" s="92"/>
      <c r="I58" s="92"/>
      <c r="J58" s="137">
        <v>10696.0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754.0</v>
      </c>
      <c r="G59" s="93">
        <v>754.0</v>
      </c>
      <c r="H59" s="92"/>
      <c r="I59" s="92"/>
      <c r="J59" s="137">
        <v>10697.0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85.0</v>
      </c>
      <c r="G60" s="93">
        <v>85.0</v>
      </c>
      <c r="H60" s="92"/>
      <c r="I60" s="92"/>
      <c r="J60" s="137">
        <v>10698.0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673.0</v>
      </c>
      <c r="G61" s="92"/>
      <c r="H61" s="93">
        <v>673.0</v>
      </c>
      <c r="I61" s="92"/>
      <c r="J61" s="137">
        <v>10699.0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182.0</v>
      </c>
      <c r="G62" s="93">
        <v>182.0</v>
      </c>
      <c r="H62" s="92"/>
      <c r="I62" s="92"/>
      <c r="J62" s="137">
        <v>10700.0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465.0</v>
      </c>
      <c r="G63" s="92"/>
      <c r="H63" s="93">
        <v>465.0</v>
      </c>
      <c r="I63" s="93"/>
      <c r="J63" s="137">
        <v>10701.0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97.0</v>
      </c>
      <c r="G64" s="93">
        <v>97.0</v>
      </c>
      <c r="H64" s="92"/>
      <c r="I64" s="92"/>
      <c r="J64" s="137">
        <v>10702.0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592.0</v>
      </c>
      <c r="G65" s="93">
        <v>592.0</v>
      </c>
      <c r="H65" s="92"/>
      <c r="I65" s="92"/>
      <c r="J65" s="137">
        <v>10703.0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199.0</v>
      </c>
      <c r="G66" s="93">
        <v>199.0</v>
      </c>
      <c r="H66" s="92"/>
      <c r="I66" s="92"/>
      <c r="J66" s="137">
        <v>10704.0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84.0</v>
      </c>
      <c r="G67" s="93">
        <v>84.0</v>
      </c>
      <c r="H67" s="92"/>
      <c r="I67" s="92"/>
      <c r="J67" s="137">
        <v>10705.0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53.0</v>
      </c>
      <c r="G68" s="93">
        <v>53.0</v>
      </c>
      <c r="H68" s="92"/>
      <c r="I68" s="92"/>
      <c r="J68" s="137">
        <v>10706.0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204.0</v>
      </c>
      <c r="G69" s="92"/>
      <c r="H69" s="93">
        <v>204.0</v>
      </c>
      <c r="I69" s="92"/>
      <c r="J69" s="137">
        <v>10707.0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386.0</v>
      </c>
      <c r="G70" s="93">
        <v>386.0</v>
      </c>
      <c r="H70" s="167"/>
      <c r="I70" s="92"/>
      <c r="J70" s="137">
        <v>10708.0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56">
        <v>222.0</v>
      </c>
      <c r="G71" s="93">
        <v>222.0</v>
      </c>
      <c r="H71" s="92"/>
      <c r="I71" s="92"/>
      <c r="J71" s="137">
        <v>10709.0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56">
        <v>379.0</v>
      </c>
      <c r="G72" s="93">
        <v>379.0</v>
      </c>
      <c r="H72" s="92"/>
      <c r="I72" s="92"/>
      <c r="J72" s="137">
        <v>10710.0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56">
        <v>211.0</v>
      </c>
      <c r="G73" s="93">
        <v>211.0</v>
      </c>
      <c r="H73" s="92"/>
      <c r="I73" s="92"/>
      <c r="J73" s="137">
        <v>10711.0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56">
        <v>254.0</v>
      </c>
      <c r="G74" s="93">
        <v>240.0</v>
      </c>
      <c r="H74" s="93">
        <v>14.0</v>
      </c>
      <c r="I74" s="92"/>
      <c r="J74" s="137">
        <v>10712.0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56">
        <v>121.0</v>
      </c>
      <c r="G75" s="93">
        <v>121.0</v>
      </c>
      <c r="H75" s="92"/>
      <c r="I75" s="92"/>
      <c r="J75" s="137">
        <v>10713.0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56">
        <v>199.0</v>
      </c>
      <c r="G76" s="93">
        <v>199.0</v>
      </c>
      <c r="H76" s="92"/>
      <c r="I76" s="92"/>
      <c r="J76" s="137">
        <v>10714.0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56">
        <v>100.0</v>
      </c>
      <c r="G77" s="93">
        <v>100.0</v>
      </c>
      <c r="H77" s="92"/>
      <c r="I77" s="92"/>
      <c r="J77" s="137">
        <v>10715.0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56">
        <v>237.0</v>
      </c>
      <c r="G78" s="92"/>
      <c r="H78" s="93">
        <v>237.0</v>
      </c>
      <c r="I78" s="92"/>
      <c r="J78" s="137">
        <v>10716.0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56">
        <v>157.0</v>
      </c>
      <c r="G79" s="93">
        <v>157.0</v>
      </c>
      <c r="H79" s="92"/>
      <c r="I79" s="92"/>
      <c r="J79" s="137">
        <v>10717.0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56">
        <v>284.0</v>
      </c>
      <c r="G80" s="93">
        <v>284.0</v>
      </c>
      <c r="H80" s="92"/>
      <c r="I80" s="92"/>
      <c r="J80" s="137">
        <v>10718.0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56">
        <v>1239.0</v>
      </c>
      <c r="G81" s="93">
        <v>1239.0</v>
      </c>
      <c r="H81" s="92"/>
      <c r="I81" s="92"/>
      <c r="J81" s="137">
        <v>10719.0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49">
        <v>655.0</v>
      </c>
      <c r="G82" s="54">
        <v>655.0</v>
      </c>
      <c r="H82" s="61"/>
      <c r="I82" s="61"/>
      <c r="J82" s="137">
        <v>10720.0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49">
        <v>626.0</v>
      </c>
      <c r="G83" s="54"/>
      <c r="H83" s="145">
        <v>626.0</v>
      </c>
      <c r="I83" s="61"/>
      <c r="J83" s="146" t="s">
        <v>236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49">
        <v>801.0</v>
      </c>
      <c r="G84" s="54">
        <v>801.0</v>
      </c>
      <c r="H84" s="61"/>
      <c r="I84" s="61"/>
      <c r="J84" s="137">
        <v>10722.0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49">
        <v>435.0</v>
      </c>
      <c r="G85" s="61"/>
      <c r="H85" s="54">
        <v>435.0</v>
      </c>
      <c r="I85" s="61"/>
      <c r="J85" s="137">
        <v>10723.0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49">
        <v>2396.0</v>
      </c>
      <c r="G86" s="61"/>
      <c r="H86" s="54">
        <v>2396.0</v>
      </c>
      <c r="I86" s="61"/>
      <c r="J86" s="137">
        <v>10724.0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49">
        <v>313.0</v>
      </c>
      <c r="G87" s="54">
        <v>313.0</v>
      </c>
      <c r="H87" s="61"/>
      <c r="I87" s="61"/>
      <c r="J87" s="137">
        <v>10725.0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49">
        <v>305.0</v>
      </c>
      <c r="G88" s="54">
        <v>305.0</v>
      </c>
      <c r="H88" s="61"/>
      <c r="I88" s="61"/>
      <c r="J88" s="137">
        <v>10726.0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49">
        <v>235.0</v>
      </c>
      <c r="G89" s="61"/>
      <c r="H89" s="54">
        <v>235.0</v>
      </c>
      <c r="I89" s="61"/>
      <c r="J89" s="137">
        <v>10727.0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49">
        <v>221.0</v>
      </c>
      <c r="G90" s="61"/>
      <c r="H90" s="61"/>
      <c r="I90" s="54">
        <v>221.0</v>
      </c>
      <c r="J90" s="137" t="s">
        <v>237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49">
        <v>427.0</v>
      </c>
      <c r="G91" s="54">
        <v>427.0</v>
      </c>
      <c r="H91" s="61"/>
      <c r="I91" s="61"/>
      <c r="J91" s="137">
        <v>10729.0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49">
        <v>695.0</v>
      </c>
      <c r="G92" s="61"/>
      <c r="H92" s="61"/>
      <c r="I92" s="54">
        <v>695.0</v>
      </c>
      <c r="J92" s="137" t="s">
        <v>238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49">
        <v>130.0</v>
      </c>
      <c r="G93" s="54">
        <v>130.0</v>
      </c>
      <c r="H93" s="61"/>
      <c r="I93" s="61"/>
      <c r="J93" s="137">
        <v>10731.0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49">
        <v>58.0</v>
      </c>
      <c r="G94" s="54">
        <v>58.0</v>
      </c>
      <c r="H94" s="61"/>
      <c r="I94" s="61"/>
      <c r="J94" s="137">
        <v>10732.0</v>
      </c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137">
        <v>10733.0</v>
      </c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137">
        <v>10734.0</v>
      </c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43261</v>
      </c>
      <c r="G97" s="123">
        <f t="shared" si="4"/>
        <v>21040</v>
      </c>
      <c r="H97" s="123">
        <f t="shared" si="4"/>
        <v>13586</v>
      </c>
      <c r="I97" s="123">
        <f t="shared" si="4"/>
        <v>8635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32">
        <v>45988.0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50244.0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14454.0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68952.0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F129-C15</f>
        <v>35825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G129-W33</f>
        <v>18865</v>
      </c>
      <c r="D10" s="24"/>
      <c r="E10" s="43">
        <v>1.0</v>
      </c>
      <c r="F10" s="44">
        <v>123.0</v>
      </c>
      <c r="G10" s="45">
        <v>100.0</v>
      </c>
      <c r="H10" s="45">
        <v>23.0</v>
      </c>
      <c r="I10" s="45"/>
      <c r="J10" s="137">
        <v>10733.0</v>
      </c>
      <c r="K10" s="24"/>
      <c r="L10" s="47">
        <v>582.0</v>
      </c>
      <c r="M10" s="47"/>
      <c r="N10" s="47">
        <v>10560.0</v>
      </c>
      <c r="O10" s="49"/>
      <c r="P10" s="85" t="s">
        <v>239</v>
      </c>
      <c r="Q10" s="51"/>
      <c r="R10" s="52">
        <v>100.0</v>
      </c>
      <c r="S10" s="53"/>
      <c r="T10" s="54"/>
      <c r="U10" s="55"/>
      <c r="V10" s="24"/>
      <c r="W10" s="47"/>
      <c r="X10" s="47"/>
      <c r="Y10" s="47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H129-X33</f>
        <v>12662</v>
      </c>
      <c r="D11" s="24"/>
      <c r="E11" s="43">
        <v>2.0</v>
      </c>
      <c r="F11" s="56">
        <v>298.0</v>
      </c>
      <c r="G11" s="57"/>
      <c r="H11" s="58">
        <v>298.0</v>
      </c>
      <c r="I11" s="59"/>
      <c r="J11" s="137">
        <v>10734.0</v>
      </c>
      <c r="K11" s="24"/>
      <c r="L11" s="47">
        <v>1382.0</v>
      </c>
      <c r="M11" s="48"/>
      <c r="N11" s="47">
        <v>10559.0</v>
      </c>
      <c r="O11" s="49"/>
      <c r="P11" s="72" t="s">
        <v>240</v>
      </c>
      <c r="Q11" s="51"/>
      <c r="R11" s="52">
        <v>100.0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I129</f>
        <v>3746</v>
      </c>
      <c r="D12" s="24"/>
      <c r="E12" s="43">
        <v>3.0</v>
      </c>
      <c r="F12" s="63">
        <v>475.0</v>
      </c>
      <c r="G12" s="64"/>
      <c r="H12" s="64">
        <v>475.0</v>
      </c>
      <c r="I12" s="65"/>
      <c r="J12" s="137">
        <v>10735.0</v>
      </c>
      <c r="K12" s="24"/>
      <c r="L12" s="48"/>
      <c r="M12" s="164">
        <v>901.0</v>
      </c>
      <c r="N12" s="47">
        <v>10690.0</v>
      </c>
      <c r="O12" s="49"/>
      <c r="P12" s="72" t="s">
        <v>241</v>
      </c>
      <c r="Q12" s="51"/>
      <c r="R12" s="52">
        <v>70.0</v>
      </c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1964</v>
      </c>
      <c r="D13" s="24"/>
      <c r="E13" s="43">
        <v>4.0</v>
      </c>
      <c r="F13" s="56">
        <v>314.0</v>
      </c>
      <c r="G13" s="64">
        <v>314.0</v>
      </c>
      <c r="H13" s="65"/>
      <c r="I13" s="65"/>
      <c r="J13" s="137">
        <v>10736.0</v>
      </c>
      <c r="K13" s="24"/>
      <c r="L13" s="48"/>
      <c r="M13" s="164">
        <v>2072.0</v>
      </c>
      <c r="N13" s="47">
        <v>10520.0</v>
      </c>
      <c r="O13" s="49"/>
      <c r="P13" s="72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4969</v>
      </c>
      <c r="D14" s="24"/>
      <c r="E14" s="43">
        <v>5.0</v>
      </c>
      <c r="F14" s="56">
        <v>200.0</v>
      </c>
      <c r="G14" s="64">
        <v>200.0</v>
      </c>
      <c r="H14" s="65"/>
      <c r="I14" s="65"/>
      <c r="J14" s="137">
        <v>10737.0</v>
      </c>
      <c r="K14" s="24"/>
      <c r="L14" s="48"/>
      <c r="M14" s="164">
        <v>1996.0</v>
      </c>
      <c r="N14" s="48">
        <v>10692.0</v>
      </c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>
        <v>42.0</v>
      </c>
      <c r="G15" s="64"/>
      <c r="H15" s="64">
        <v>42.0</v>
      </c>
      <c r="I15" s="65"/>
      <c r="J15" s="137">
        <v>10738.0</v>
      </c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270</v>
      </c>
      <c r="D16" s="24"/>
      <c r="E16" s="43">
        <v>7.0</v>
      </c>
      <c r="F16" s="56">
        <v>111.0</v>
      </c>
      <c r="G16" s="64">
        <v>111.0</v>
      </c>
      <c r="H16" s="64"/>
      <c r="I16" s="65"/>
      <c r="J16" s="137">
        <v>10739.0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270</v>
      </c>
      <c r="D17" s="24"/>
      <c r="E17" s="43">
        <v>8.0</v>
      </c>
      <c r="F17" s="56">
        <v>185.0</v>
      </c>
      <c r="G17" s="64">
        <v>185.0</v>
      </c>
      <c r="H17" s="64"/>
      <c r="I17" s="65"/>
      <c r="J17" s="137">
        <v>10740.0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589.0</v>
      </c>
      <c r="G18" s="64">
        <v>589.0</v>
      </c>
      <c r="H18" s="64"/>
      <c r="I18" s="65"/>
      <c r="J18" s="137">
        <v>10741.0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196.0</v>
      </c>
      <c r="G19" s="64">
        <v>196.0</v>
      </c>
      <c r="H19" s="65"/>
      <c r="I19" s="65"/>
      <c r="J19" s="137">
        <v>10742.0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65765</v>
      </c>
      <c r="D20" s="24"/>
      <c r="E20" s="43">
        <v>11.0</v>
      </c>
      <c r="F20" s="56">
        <v>46.0</v>
      </c>
      <c r="G20" s="64">
        <v>46.0</v>
      </c>
      <c r="H20" s="64"/>
      <c r="I20" s="65"/>
      <c r="J20" s="137">
        <v>10743.0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17631</v>
      </c>
      <c r="D21" s="24"/>
      <c r="E21" s="43">
        <v>12.0</v>
      </c>
      <c r="F21" s="56">
        <v>58.0</v>
      </c>
      <c r="G21" s="65"/>
      <c r="H21" s="64">
        <v>58.0</v>
      </c>
      <c r="I21" s="65"/>
      <c r="J21" s="137">
        <v>10744.0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67303</v>
      </c>
      <c r="D22" s="24"/>
      <c r="E22" s="43">
        <v>13.0</v>
      </c>
      <c r="F22" s="56">
        <v>113.0</v>
      </c>
      <c r="G22" s="64">
        <v>113.0</v>
      </c>
      <c r="H22" s="64"/>
      <c r="I22" s="65"/>
      <c r="J22" s="137">
        <v>10745.0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41">
        <v>66751.0</v>
      </c>
      <c r="D23" s="24"/>
      <c r="E23" s="43">
        <v>14.0</v>
      </c>
      <c r="F23" s="56">
        <v>184.0</v>
      </c>
      <c r="G23" s="65"/>
      <c r="H23" s="64">
        <v>184.0</v>
      </c>
      <c r="I23" s="65"/>
      <c r="J23" s="137">
        <v>10746.0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552</v>
      </c>
      <c r="D24" s="24"/>
      <c r="E24" s="43">
        <v>15.0</v>
      </c>
      <c r="F24" s="56">
        <v>155.0</v>
      </c>
      <c r="G24" s="64">
        <v>155.0</v>
      </c>
      <c r="H24" s="65"/>
      <c r="I24" s="65"/>
      <c r="J24" s="137">
        <v>10747.0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35.0</v>
      </c>
      <c r="G25" s="64"/>
      <c r="H25" s="64">
        <v>35.0</v>
      </c>
      <c r="I25" s="65"/>
      <c r="J25" s="137">
        <v>10748.0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F129</f>
        <v>35825</v>
      </c>
      <c r="D26" s="24"/>
      <c r="E26" s="43">
        <v>17.0</v>
      </c>
      <c r="F26" s="56">
        <v>180.0</v>
      </c>
      <c r="G26" s="64"/>
      <c r="H26" s="64">
        <v>180.0</v>
      </c>
      <c r="I26" s="65"/>
      <c r="J26" s="137">
        <v>10749.0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106.0</v>
      </c>
      <c r="D27" s="24"/>
      <c r="E27" s="43">
        <v>18.0</v>
      </c>
      <c r="F27" s="56">
        <v>554.0</v>
      </c>
      <c r="G27" s="64"/>
      <c r="H27" s="64">
        <v>554.0</v>
      </c>
      <c r="I27" s="65"/>
      <c r="J27" s="137">
        <v>10750.0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337.9716981</v>
      </c>
      <c r="D28" s="24"/>
      <c r="E28" s="43">
        <v>19.0</v>
      </c>
      <c r="F28" s="56">
        <v>50.0</v>
      </c>
      <c r="G28" s="64">
        <v>50.0</v>
      </c>
      <c r="H28" s="65"/>
      <c r="I28" s="65"/>
      <c r="J28" s="137">
        <v>10751.0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319.0</v>
      </c>
      <c r="G29" s="64"/>
      <c r="H29" s="64">
        <v>319.0</v>
      </c>
      <c r="I29" s="65"/>
      <c r="J29" s="137">
        <v>10752.0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67.0</v>
      </c>
      <c r="G30" s="93"/>
      <c r="H30" s="145">
        <v>67.0</v>
      </c>
      <c r="I30" s="93"/>
      <c r="J30" s="146" t="s">
        <v>242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>
        <f>S33</f>
        <v>14454</v>
      </c>
      <c r="D31" s="24"/>
      <c r="E31" s="43">
        <v>22.0</v>
      </c>
      <c r="F31" s="56">
        <v>296.0</v>
      </c>
      <c r="G31" s="93"/>
      <c r="H31" s="93">
        <v>296.0</v>
      </c>
      <c r="I31" s="92"/>
      <c r="J31" s="137">
        <v>10754.0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270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>
        <f>R34</f>
        <v>3500</v>
      </c>
      <c r="D32" s="24"/>
      <c r="E32" s="43">
        <v>23.0</v>
      </c>
      <c r="F32" s="56">
        <v>55.0</v>
      </c>
      <c r="G32" s="93">
        <v>55.0</v>
      </c>
      <c r="H32" s="92"/>
      <c r="I32" s="92"/>
      <c r="J32" s="137">
        <v>10755.0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609.0</v>
      </c>
      <c r="G33" s="93">
        <v>609.0</v>
      </c>
      <c r="H33" s="92"/>
      <c r="I33" s="92"/>
      <c r="J33" s="137">
        <v>10756.0</v>
      </c>
      <c r="K33" s="24"/>
      <c r="L33" s="104">
        <f t="shared" ref="L33:M33" si="2">sum(L10:L32)</f>
        <v>1964</v>
      </c>
      <c r="M33" s="104">
        <f t="shared" si="2"/>
        <v>4969</v>
      </c>
      <c r="N33" s="104"/>
      <c r="O33" s="105"/>
      <c r="P33" s="85" t="s">
        <v>38</v>
      </c>
      <c r="Q33" s="51"/>
      <c r="R33" s="100"/>
      <c r="S33" s="52">
        <v>14454.0</v>
      </c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285.0</v>
      </c>
      <c r="G34" s="93">
        <v>285.0</v>
      </c>
      <c r="H34" s="92"/>
      <c r="I34" s="92"/>
      <c r="J34" s="137">
        <v>10757.0</v>
      </c>
      <c r="K34" s="24"/>
      <c r="L34" s="106"/>
      <c r="M34" s="106"/>
      <c r="N34" s="106"/>
      <c r="O34" s="106"/>
      <c r="P34" s="85" t="s">
        <v>40</v>
      </c>
      <c r="Q34" s="107"/>
      <c r="R34" s="144">
        <v>3500.0</v>
      </c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206.0</v>
      </c>
      <c r="G35" s="93">
        <v>206.0</v>
      </c>
      <c r="H35" s="93"/>
      <c r="I35" s="92"/>
      <c r="J35" s="137">
        <v>10758.0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75.0</v>
      </c>
      <c r="G36" s="93">
        <v>75.0</v>
      </c>
      <c r="H36" s="93"/>
      <c r="I36" s="92"/>
      <c r="J36" s="137">
        <v>10759.0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742.0</v>
      </c>
      <c r="G37" s="93"/>
      <c r="H37" s="92"/>
      <c r="I37" s="93">
        <v>742.0</v>
      </c>
      <c r="J37" s="137" t="s">
        <v>243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104.0</v>
      </c>
      <c r="G38" s="93"/>
      <c r="H38" s="93">
        <v>104.0</v>
      </c>
      <c r="I38" s="92"/>
      <c r="J38" s="137">
        <v>10761.0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29.0</v>
      </c>
      <c r="G39" s="93">
        <v>29.0</v>
      </c>
      <c r="H39" s="93"/>
      <c r="I39" s="92"/>
      <c r="J39" s="137">
        <v>10762.0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127.0</v>
      </c>
      <c r="G40" s="93">
        <v>127.0</v>
      </c>
      <c r="H40" s="93"/>
      <c r="I40" s="92"/>
      <c r="J40" s="137">
        <v>10763.0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472.0</v>
      </c>
      <c r="G41" s="92"/>
      <c r="H41" s="93"/>
      <c r="I41" s="93">
        <v>472.0</v>
      </c>
      <c r="J41" s="137" t="s">
        <v>244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209.0</v>
      </c>
      <c r="G42" s="93"/>
      <c r="H42" s="93">
        <v>209.0</v>
      </c>
      <c r="I42" s="92"/>
      <c r="J42" s="137">
        <v>10765.0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164.0</v>
      </c>
      <c r="G43" s="93">
        <v>164.0</v>
      </c>
      <c r="H43" s="92"/>
      <c r="I43" s="92"/>
      <c r="J43" s="137">
        <v>10766.0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62.0</v>
      </c>
      <c r="G44" s="93">
        <v>62.0</v>
      </c>
      <c r="H44" s="93"/>
      <c r="I44" s="92"/>
      <c r="J44" s="137">
        <v>10767.0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148.0</v>
      </c>
      <c r="G45" s="93">
        <v>148.0</v>
      </c>
      <c r="H45" s="92"/>
      <c r="I45" s="92"/>
      <c r="J45" s="137">
        <v>10768.0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379.0</v>
      </c>
      <c r="G46" s="93">
        <v>379.0</v>
      </c>
      <c r="H46" s="92"/>
      <c r="I46" s="92"/>
      <c r="J46" s="137">
        <v>10769.0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3042.0</v>
      </c>
      <c r="G47" s="93">
        <v>3042.0</v>
      </c>
      <c r="H47" s="93"/>
      <c r="I47" s="92"/>
      <c r="J47" s="137">
        <v>10770.0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116.0</v>
      </c>
      <c r="G48" s="92"/>
      <c r="H48" s="93">
        <v>116.0</v>
      </c>
      <c r="I48" s="92"/>
      <c r="J48" s="137">
        <v>10771.0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168.0</v>
      </c>
      <c r="G49" s="93">
        <v>11.0</v>
      </c>
      <c r="H49" s="93">
        <v>157.0</v>
      </c>
      <c r="I49" s="92"/>
      <c r="J49" s="137">
        <v>10772.0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18.0</v>
      </c>
      <c r="G50" s="93">
        <v>18.0</v>
      </c>
      <c r="H50" s="93"/>
      <c r="I50" s="92"/>
      <c r="J50" s="137">
        <v>10773.0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66.0</v>
      </c>
      <c r="G51" s="93">
        <v>66.0</v>
      </c>
      <c r="H51" s="92"/>
      <c r="I51" s="92"/>
      <c r="J51" s="137">
        <v>10774.0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1175.0</v>
      </c>
      <c r="G52" s="93">
        <v>1175.0</v>
      </c>
      <c r="H52" s="92"/>
      <c r="I52" s="92"/>
      <c r="J52" s="137">
        <v>10775.0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21.0</v>
      </c>
      <c r="G53" s="93">
        <v>21.0</v>
      </c>
      <c r="H53" s="92"/>
      <c r="I53" s="92"/>
      <c r="J53" s="137">
        <v>10776.0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184.0</v>
      </c>
      <c r="G54" s="93">
        <v>184.0</v>
      </c>
      <c r="H54" s="92"/>
      <c r="I54" s="92"/>
      <c r="J54" s="137">
        <v>10777.0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225.0</v>
      </c>
      <c r="G55" s="92"/>
      <c r="H55" s="93">
        <v>225.0</v>
      </c>
      <c r="I55" s="92"/>
      <c r="J55" s="137">
        <v>10778.0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115.0</v>
      </c>
      <c r="G56" s="93">
        <v>115.0</v>
      </c>
      <c r="H56" s="92"/>
      <c r="I56" s="92"/>
      <c r="J56" s="137">
        <v>10779.0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739.0</v>
      </c>
      <c r="G57" s="93">
        <v>739.0</v>
      </c>
      <c r="H57" s="92"/>
      <c r="I57" s="92"/>
      <c r="J57" s="137">
        <v>10780.0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22.0</v>
      </c>
      <c r="G58" s="93">
        <v>22.0</v>
      </c>
      <c r="H58" s="92"/>
      <c r="I58" s="92"/>
      <c r="J58" s="137">
        <v>10781.0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345.0</v>
      </c>
      <c r="G59" s="93">
        <v>345.0</v>
      </c>
      <c r="H59" s="92"/>
      <c r="I59" s="92"/>
      <c r="J59" s="137">
        <v>10782.0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334.0</v>
      </c>
      <c r="G60" s="93">
        <v>334.0</v>
      </c>
      <c r="H60" s="92"/>
      <c r="I60" s="92"/>
      <c r="J60" s="137">
        <v>10783.0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283.0</v>
      </c>
      <c r="G61" s="92"/>
      <c r="H61" s="93">
        <v>283.0</v>
      </c>
      <c r="I61" s="92"/>
      <c r="J61" s="137">
        <v>10784.0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625.0</v>
      </c>
      <c r="G62" s="92"/>
      <c r="H62" s="93">
        <v>625.0</v>
      </c>
      <c r="I62" s="92"/>
      <c r="J62" s="137">
        <v>10785.0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109.0</v>
      </c>
      <c r="G63" s="92"/>
      <c r="H63" s="93">
        <v>109.0</v>
      </c>
      <c r="I63" s="92"/>
      <c r="J63" s="137">
        <v>10786.0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74.0</v>
      </c>
      <c r="G64" s="93">
        <v>74.0</v>
      </c>
      <c r="H64" s="92"/>
      <c r="I64" s="92"/>
      <c r="J64" s="137">
        <v>10787.0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299.0</v>
      </c>
      <c r="G65" s="92"/>
      <c r="H65" s="93">
        <v>299.0</v>
      </c>
      <c r="I65" s="92"/>
      <c r="J65" s="137">
        <v>10788.0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1777.0</v>
      </c>
      <c r="G66" s="93">
        <v>98.0</v>
      </c>
      <c r="H66" s="93">
        <v>1679.0</v>
      </c>
      <c r="I66" s="92"/>
      <c r="J66" s="137">
        <v>10789.0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169.0</v>
      </c>
      <c r="G67" s="93">
        <v>169.0</v>
      </c>
      <c r="H67" s="92"/>
      <c r="I67" s="92"/>
      <c r="J67" s="137">
        <v>10790.0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383.0</v>
      </c>
      <c r="G68" s="92"/>
      <c r="H68" s="93">
        <v>383.0</v>
      </c>
      <c r="I68" s="92"/>
      <c r="J68" s="137">
        <v>10791.0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306.0</v>
      </c>
      <c r="G69" s="92"/>
      <c r="H69" s="93">
        <v>306.0</v>
      </c>
      <c r="I69" s="92"/>
      <c r="J69" s="137">
        <v>10792.0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333.0</v>
      </c>
      <c r="G70" s="93">
        <v>333.0</v>
      </c>
      <c r="H70" s="92"/>
      <c r="I70" s="92"/>
      <c r="J70" s="137">
        <v>10793.0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56">
        <v>362.0</v>
      </c>
      <c r="G71" s="92"/>
      <c r="H71" s="93">
        <v>362.0</v>
      </c>
      <c r="I71" s="92"/>
      <c r="J71" s="137">
        <v>10794.0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56">
        <v>507.0</v>
      </c>
      <c r="G72" s="93">
        <v>507.0</v>
      </c>
      <c r="H72" s="92"/>
      <c r="I72" s="92"/>
      <c r="J72" s="137">
        <v>10795.0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56">
        <v>152.0</v>
      </c>
      <c r="G73" s="92"/>
      <c r="H73" s="93">
        <v>152.0</v>
      </c>
      <c r="I73" s="92"/>
      <c r="J73" s="137">
        <v>10796.0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56">
        <v>413.0</v>
      </c>
      <c r="G74" s="92"/>
      <c r="H74" s="93">
        <v>413.0</v>
      </c>
      <c r="I74" s="92"/>
      <c r="J74" s="137">
        <v>10797.0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56">
        <v>62.0</v>
      </c>
      <c r="G75" s="93">
        <v>62.0</v>
      </c>
      <c r="H75" s="92"/>
      <c r="I75" s="92"/>
      <c r="J75" s="137">
        <v>10798.0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56">
        <v>242.0</v>
      </c>
      <c r="G76" s="93">
        <v>242.0</v>
      </c>
      <c r="H76" s="92"/>
      <c r="I76" s="92"/>
      <c r="J76" s="137">
        <v>10799.0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56">
        <v>213.0</v>
      </c>
      <c r="G77" s="93">
        <v>213.0</v>
      </c>
      <c r="H77" s="92"/>
      <c r="I77" s="92"/>
      <c r="J77" s="137">
        <v>10800.0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56">
        <v>85.0</v>
      </c>
      <c r="G78" s="93">
        <v>85.0</v>
      </c>
      <c r="H78" s="92"/>
      <c r="I78" s="92"/>
      <c r="J78" s="137">
        <v>10801.0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56">
        <v>229.0</v>
      </c>
      <c r="G79" s="93">
        <v>229.0</v>
      </c>
      <c r="H79" s="92"/>
      <c r="I79" s="92"/>
      <c r="J79" s="137">
        <v>10802.0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56">
        <v>90.0</v>
      </c>
      <c r="G80" s="93">
        <v>90.0</v>
      </c>
      <c r="H80" s="92"/>
      <c r="I80" s="92"/>
      <c r="J80" s="137">
        <v>10803.0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56">
        <v>619.0</v>
      </c>
      <c r="G81" s="92"/>
      <c r="H81" s="93">
        <v>619.0</v>
      </c>
      <c r="I81" s="92"/>
      <c r="J81" s="137">
        <v>10804.0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49">
        <v>103.0</v>
      </c>
      <c r="G82" s="54">
        <v>103.0</v>
      </c>
      <c r="H82" s="61"/>
      <c r="I82" s="61"/>
      <c r="J82" s="137">
        <v>10805.0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49">
        <v>1392.0</v>
      </c>
      <c r="G83" s="54">
        <v>1392.0</v>
      </c>
      <c r="H83" s="61"/>
      <c r="I83" s="61"/>
      <c r="J83" s="137">
        <v>10806.0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49">
        <v>99.0</v>
      </c>
      <c r="G84" s="61"/>
      <c r="H84" s="61"/>
      <c r="I84" s="54">
        <v>99.0</v>
      </c>
      <c r="J84" s="137" t="s">
        <v>245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49">
        <v>178.0</v>
      </c>
      <c r="G85" s="61"/>
      <c r="H85" s="54">
        <v>178.0</v>
      </c>
      <c r="I85" s="61"/>
      <c r="J85" s="137">
        <v>10808.0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49">
        <v>275.0</v>
      </c>
      <c r="G86" s="61"/>
      <c r="H86" s="54">
        <v>275.0</v>
      </c>
      <c r="I86" s="61"/>
      <c r="J86" s="137">
        <v>10809.0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49">
        <v>99.0</v>
      </c>
      <c r="G87" s="54">
        <v>99.0</v>
      </c>
      <c r="H87" s="61"/>
      <c r="I87" s="61"/>
      <c r="J87" s="137">
        <v>10810.0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49">
        <v>323.0</v>
      </c>
      <c r="G88" s="61"/>
      <c r="H88" s="54">
        <v>323.0</v>
      </c>
      <c r="I88" s="61"/>
      <c r="J88" s="137">
        <v>10811.0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49">
        <v>180.0</v>
      </c>
      <c r="G89" s="54">
        <v>180.0</v>
      </c>
      <c r="H89" s="61"/>
      <c r="I89" s="61"/>
      <c r="J89" s="137">
        <v>10812.0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49">
        <v>681.0</v>
      </c>
      <c r="G90" s="54">
        <v>681.0</v>
      </c>
      <c r="H90" s="61"/>
      <c r="I90" s="61"/>
      <c r="J90" s="137">
        <v>10813.0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49">
        <v>107.0</v>
      </c>
      <c r="G91" s="61"/>
      <c r="H91" s="54">
        <v>107.0</v>
      </c>
      <c r="I91" s="61"/>
      <c r="J91" s="137">
        <v>10814.0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49">
        <v>1682.0</v>
      </c>
      <c r="G92" s="61"/>
      <c r="H92" s="54">
        <v>1682.0</v>
      </c>
      <c r="I92" s="61"/>
      <c r="J92" s="137">
        <v>10815.0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49">
        <v>1742.0</v>
      </c>
      <c r="G93" s="54">
        <v>1742.0</v>
      </c>
      <c r="H93" s="61"/>
      <c r="I93" s="61"/>
      <c r="J93" s="137">
        <v>10816.0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49">
        <v>430.0</v>
      </c>
      <c r="G94" s="54">
        <v>430.0</v>
      </c>
      <c r="H94" s="61"/>
      <c r="I94" s="61"/>
      <c r="J94" s="137">
        <v>10817.0</v>
      </c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49">
        <v>264.0</v>
      </c>
      <c r="G95" s="61"/>
      <c r="H95" s="54">
        <v>264.0</v>
      </c>
      <c r="I95" s="61"/>
      <c r="J95" s="137">
        <v>10818.0</v>
      </c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49">
        <v>148.0</v>
      </c>
      <c r="G96" s="54">
        <v>148.0</v>
      </c>
      <c r="H96" s="61"/>
      <c r="I96" s="61"/>
      <c r="J96" s="137">
        <v>10819.0</v>
      </c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24"/>
      <c r="E97" s="43">
        <v>88.0</v>
      </c>
      <c r="F97" s="149">
        <v>264.0</v>
      </c>
      <c r="G97" s="54">
        <v>264.0</v>
      </c>
      <c r="H97" s="61"/>
      <c r="I97" s="61"/>
      <c r="J97" s="137">
        <v>10820.0</v>
      </c>
      <c r="K97" s="24"/>
      <c r="L97" s="112"/>
      <c r="M97" s="112"/>
      <c r="N97" s="112"/>
      <c r="O97" s="112"/>
      <c r="P97" s="112"/>
      <c r="Q97" s="113"/>
      <c r="R97" s="114"/>
      <c r="S97" s="114"/>
      <c r="T97" s="114"/>
      <c r="U97" s="115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</row>
    <row r="98" ht="14.25" customHeight="1">
      <c r="A98" s="1"/>
      <c r="B98" s="1"/>
      <c r="C98" s="1"/>
      <c r="D98" s="24"/>
      <c r="E98" s="43">
        <v>89.0</v>
      </c>
      <c r="F98" s="149">
        <v>35.0</v>
      </c>
      <c r="G98" s="54">
        <v>35.0</v>
      </c>
      <c r="H98" s="61"/>
      <c r="I98" s="61"/>
      <c r="J98" s="137">
        <v>10821.0</v>
      </c>
      <c r="K98" s="24"/>
      <c r="L98" s="112"/>
      <c r="M98" s="112"/>
      <c r="N98" s="112"/>
      <c r="O98" s="112"/>
      <c r="P98" s="112"/>
      <c r="Q98" s="113"/>
      <c r="R98" s="114"/>
      <c r="S98" s="114"/>
      <c r="T98" s="114"/>
      <c r="U98" s="115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</row>
    <row r="99" ht="14.25" customHeight="1">
      <c r="A99" s="1"/>
      <c r="B99" s="1"/>
      <c r="C99" s="1"/>
      <c r="D99" s="24"/>
      <c r="E99" s="43">
        <v>90.0</v>
      </c>
      <c r="F99" s="149">
        <v>24.0</v>
      </c>
      <c r="G99" s="61"/>
      <c r="H99" s="54">
        <v>24.0</v>
      </c>
      <c r="I99" s="61"/>
      <c r="J99" s="137">
        <v>10822.0</v>
      </c>
      <c r="K99" s="24"/>
      <c r="L99" s="112"/>
      <c r="M99" s="112"/>
      <c r="N99" s="112"/>
      <c r="O99" s="112"/>
      <c r="P99" s="112"/>
      <c r="Q99" s="113"/>
      <c r="R99" s="114"/>
      <c r="S99" s="114"/>
      <c r="T99" s="114"/>
      <c r="U99" s="115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</row>
    <row r="100" ht="14.25" customHeight="1">
      <c r="A100" s="1"/>
      <c r="B100" s="1"/>
      <c r="C100" s="1"/>
      <c r="D100" s="24"/>
      <c r="E100" s="43">
        <v>91.0</v>
      </c>
      <c r="F100" s="149">
        <v>67.0</v>
      </c>
      <c r="G100" s="61"/>
      <c r="H100" s="54">
        <v>67.0</v>
      </c>
      <c r="I100" s="61"/>
      <c r="J100" s="137">
        <v>10823.0</v>
      </c>
      <c r="K100" s="24"/>
      <c r="L100" s="112"/>
      <c r="M100" s="112"/>
      <c r="N100" s="112"/>
      <c r="O100" s="112"/>
      <c r="P100" s="112"/>
      <c r="Q100" s="113"/>
      <c r="R100" s="114"/>
      <c r="S100" s="114"/>
      <c r="T100" s="114"/>
      <c r="U100" s="115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</row>
    <row r="101" ht="14.25" customHeight="1">
      <c r="A101" s="1"/>
      <c r="B101" s="1"/>
      <c r="C101" s="1"/>
      <c r="D101" s="24"/>
      <c r="E101" s="43">
        <v>92.0</v>
      </c>
      <c r="F101" s="149">
        <v>338.0</v>
      </c>
      <c r="G101" s="54">
        <v>338.0</v>
      </c>
      <c r="H101" s="61"/>
      <c r="I101" s="54"/>
      <c r="J101" s="137">
        <v>10824.0</v>
      </c>
      <c r="K101" s="24"/>
      <c r="L101" s="112"/>
      <c r="M101" s="112"/>
      <c r="N101" s="112"/>
      <c r="O101" s="112"/>
      <c r="P101" s="112"/>
      <c r="Q101" s="113"/>
      <c r="R101" s="114"/>
      <c r="S101" s="114"/>
      <c r="T101" s="114"/>
      <c r="U101" s="115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</row>
    <row r="102" ht="14.25" customHeight="1">
      <c r="A102" s="1"/>
      <c r="B102" s="1"/>
      <c r="C102" s="1"/>
      <c r="D102" s="24"/>
      <c r="E102" s="43">
        <v>93.0</v>
      </c>
      <c r="F102" s="149">
        <v>167.0</v>
      </c>
      <c r="G102" s="61"/>
      <c r="H102" s="54">
        <v>167.0</v>
      </c>
      <c r="I102" s="61"/>
      <c r="J102" s="137">
        <v>10825.0</v>
      </c>
      <c r="K102" s="24"/>
      <c r="L102" s="112"/>
      <c r="M102" s="112"/>
      <c r="N102" s="112"/>
      <c r="O102" s="112"/>
      <c r="P102" s="112"/>
      <c r="Q102" s="113"/>
      <c r="R102" s="114"/>
      <c r="S102" s="114"/>
      <c r="T102" s="114"/>
      <c r="U102" s="115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</row>
    <row r="103" ht="14.25" customHeight="1">
      <c r="A103" s="1"/>
      <c r="B103" s="1"/>
      <c r="C103" s="1"/>
      <c r="D103" s="24"/>
      <c r="E103" s="43">
        <v>94.0</v>
      </c>
      <c r="F103" s="149">
        <v>408.0</v>
      </c>
      <c r="G103" s="54">
        <v>408.0</v>
      </c>
      <c r="H103" s="61"/>
      <c r="I103" s="61"/>
      <c r="J103" s="137">
        <v>10826.0</v>
      </c>
      <c r="K103" s="24"/>
      <c r="L103" s="112"/>
      <c r="M103" s="112"/>
      <c r="N103" s="112"/>
      <c r="O103" s="112"/>
      <c r="P103" s="112"/>
      <c r="Q103" s="113"/>
      <c r="R103" s="114"/>
      <c r="S103" s="114"/>
      <c r="T103" s="114"/>
      <c r="U103" s="115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</row>
    <row r="104" ht="14.25" customHeight="1">
      <c r="A104" s="1"/>
      <c r="B104" s="1"/>
      <c r="C104" s="1"/>
      <c r="D104" s="24"/>
      <c r="E104" s="43">
        <v>95.0</v>
      </c>
      <c r="F104" s="149">
        <v>173.0</v>
      </c>
      <c r="G104" s="54">
        <v>173.0</v>
      </c>
      <c r="H104" s="61"/>
      <c r="I104" s="61"/>
      <c r="J104" s="137">
        <v>10827.0</v>
      </c>
      <c r="K104" s="24"/>
      <c r="L104" s="112"/>
      <c r="M104" s="112"/>
      <c r="N104" s="112"/>
      <c r="O104" s="112"/>
      <c r="P104" s="112"/>
      <c r="Q104" s="113"/>
      <c r="R104" s="114"/>
      <c r="S104" s="114"/>
      <c r="T104" s="114"/>
      <c r="U104" s="115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</row>
    <row r="105" ht="14.25" customHeight="1">
      <c r="A105" s="1"/>
      <c r="B105" s="1"/>
      <c r="C105" s="1"/>
      <c r="D105" s="24"/>
      <c r="E105" s="43">
        <v>96.0</v>
      </c>
      <c r="F105" s="149">
        <v>307.0</v>
      </c>
      <c r="G105" s="61"/>
      <c r="H105" s="54">
        <v>307.0</v>
      </c>
      <c r="I105" s="61"/>
      <c r="J105" s="137">
        <v>10828.0</v>
      </c>
      <c r="K105" s="24"/>
      <c r="L105" s="112"/>
      <c r="M105" s="112"/>
      <c r="N105" s="112"/>
      <c r="O105" s="112"/>
      <c r="P105" s="112"/>
      <c r="Q105" s="113"/>
      <c r="R105" s="114"/>
      <c r="S105" s="114"/>
      <c r="T105" s="114"/>
      <c r="U105" s="115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</row>
    <row r="106" ht="14.25" customHeight="1">
      <c r="A106" s="1"/>
      <c r="B106" s="1"/>
      <c r="C106" s="1"/>
      <c r="D106" s="24"/>
      <c r="E106" s="43">
        <v>97.0</v>
      </c>
      <c r="F106" s="149">
        <v>128.0</v>
      </c>
      <c r="G106" s="61"/>
      <c r="H106" s="54">
        <v>128.0</v>
      </c>
      <c r="I106" s="61"/>
      <c r="J106" s="137">
        <v>10829.0</v>
      </c>
      <c r="K106" s="24"/>
      <c r="L106" s="112"/>
      <c r="M106" s="112"/>
      <c r="N106" s="112"/>
      <c r="O106" s="112"/>
      <c r="P106" s="112"/>
      <c r="Q106" s="113"/>
      <c r="R106" s="114"/>
      <c r="S106" s="114"/>
      <c r="T106" s="114"/>
      <c r="U106" s="115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</row>
    <row r="107" ht="14.25" customHeight="1">
      <c r="A107" s="1"/>
      <c r="B107" s="1"/>
      <c r="C107" s="1"/>
      <c r="D107" s="24"/>
      <c r="E107" s="43">
        <v>98.0</v>
      </c>
      <c r="F107" s="149">
        <v>112.0</v>
      </c>
      <c r="G107" s="54"/>
      <c r="H107" s="61"/>
      <c r="I107" s="54">
        <v>112.0</v>
      </c>
      <c r="J107" s="137" t="s">
        <v>246</v>
      </c>
      <c r="K107" s="24"/>
      <c r="L107" s="112"/>
      <c r="M107" s="112"/>
      <c r="N107" s="112"/>
      <c r="O107" s="112"/>
      <c r="P107" s="112"/>
      <c r="Q107" s="113"/>
      <c r="R107" s="114"/>
      <c r="S107" s="114"/>
      <c r="T107" s="114"/>
      <c r="U107" s="115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</row>
    <row r="108" ht="14.25" customHeight="1">
      <c r="A108" s="1"/>
      <c r="B108" s="1"/>
      <c r="C108" s="1"/>
      <c r="D108" s="24"/>
      <c r="E108" s="43">
        <v>99.0</v>
      </c>
      <c r="F108" s="149">
        <v>10.0</v>
      </c>
      <c r="G108" s="61"/>
      <c r="H108" s="54">
        <v>10.0</v>
      </c>
      <c r="I108" s="61"/>
      <c r="J108" s="137">
        <v>10831.0</v>
      </c>
      <c r="K108" s="24"/>
      <c r="L108" s="112"/>
      <c r="M108" s="112"/>
      <c r="N108" s="112"/>
      <c r="O108" s="112"/>
      <c r="P108" s="112"/>
      <c r="Q108" s="113"/>
      <c r="R108" s="114"/>
      <c r="S108" s="114"/>
      <c r="T108" s="114"/>
      <c r="U108" s="115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</row>
    <row r="109" ht="14.25" customHeight="1">
      <c r="A109" s="1"/>
      <c r="B109" s="1"/>
      <c r="C109" s="1"/>
      <c r="D109" s="24"/>
      <c r="E109" s="43">
        <v>100.0</v>
      </c>
      <c r="F109" s="149">
        <v>515.0</v>
      </c>
      <c r="G109" s="54"/>
      <c r="H109" s="61"/>
      <c r="I109" s="54">
        <v>515.0</v>
      </c>
      <c r="J109" s="137" t="s">
        <v>247</v>
      </c>
      <c r="K109" s="24"/>
      <c r="L109" s="112"/>
      <c r="M109" s="112"/>
      <c r="N109" s="112"/>
      <c r="O109" s="112"/>
      <c r="P109" s="112"/>
      <c r="Q109" s="113"/>
      <c r="R109" s="114"/>
      <c r="S109" s="114"/>
      <c r="T109" s="114"/>
      <c r="U109" s="115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</row>
    <row r="110" ht="14.25" customHeight="1">
      <c r="A110" s="1"/>
      <c r="B110" s="1"/>
      <c r="C110" s="1"/>
      <c r="D110" s="24"/>
      <c r="E110" s="43">
        <v>101.0</v>
      </c>
      <c r="F110" s="149">
        <v>165.0</v>
      </c>
      <c r="G110" s="61"/>
      <c r="H110" s="54">
        <v>165.0</v>
      </c>
      <c r="I110" s="61"/>
      <c r="J110" s="137">
        <v>10833.0</v>
      </c>
      <c r="K110" s="24"/>
      <c r="L110" s="112"/>
      <c r="M110" s="112"/>
      <c r="N110" s="112"/>
      <c r="O110" s="112"/>
      <c r="P110" s="112"/>
      <c r="Q110" s="113"/>
      <c r="R110" s="114"/>
      <c r="S110" s="114"/>
      <c r="T110" s="114"/>
      <c r="U110" s="115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</row>
    <row r="111" ht="14.25" customHeight="1">
      <c r="A111" s="1"/>
      <c r="B111" s="1"/>
      <c r="C111" s="1"/>
      <c r="D111" s="24"/>
      <c r="E111" s="43">
        <v>102.0</v>
      </c>
      <c r="F111" s="149">
        <v>810.0</v>
      </c>
      <c r="G111" s="54">
        <v>500.0</v>
      </c>
      <c r="H111" s="54">
        <v>310.0</v>
      </c>
      <c r="I111" s="61"/>
      <c r="J111" s="137">
        <v>10834.0</v>
      </c>
      <c r="K111" s="24"/>
      <c r="L111" s="112"/>
      <c r="M111" s="112"/>
      <c r="N111" s="112"/>
      <c r="O111" s="112"/>
      <c r="P111" s="112"/>
      <c r="Q111" s="113"/>
      <c r="R111" s="114"/>
      <c r="S111" s="114"/>
      <c r="T111" s="114"/>
      <c r="U111" s="115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</row>
    <row r="112" ht="14.25" customHeight="1">
      <c r="A112" s="1"/>
      <c r="B112" s="1"/>
      <c r="C112" s="1"/>
      <c r="D112" s="24"/>
      <c r="E112" s="43">
        <v>103.0</v>
      </c>
      <c r="F112" s="149">
        <v>243.0</v>
      </c>
      <c r="G112" s="61"/>
      <c r="H112" s="61"/>
      <c r="I112" s="54">
        <v>243.0</v>
      </c>
      <c r="J112" s="137" t="s">
        <v>248</v>
      </c>
      <c r="K112" s="24"/>
      <c r="L112" s="112"/>
      <c r="M112" s="112"/>
      <c r="N112" s="112"/>
      <c r="O112" s="112"/>
      <c r="P112" s="112"/>
      <c r="Q112" s="113"/>
      <c r="R112" s="114"/>
      <c r="S112" s="114"/>
      <c r="T112" s="114"/>
      <c r="U112" s="115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</row>
    <row r="113" ht="14.25" customHeight="1">
      <c r="A113" s="1"/>
      <c r="B113" s="1"/>
      <c r="C113" s="1"/>
      <c r="D113" s="24"/>
      <c r="E113" s="43">
        <v>104.0</v>
      </c>
      <c r="F113" s="149">
        <v>355.0</v>
      </c>
      <c r="G113" s="61"/>
      <c r="H113" s="61"/>
      <c r="I113" s="54">
        <v>355.0</v>
      </c>
      <c r="J113" s="137" t="s">
        <v>249</v>
      </c>
      <c r="K113" s="24"/>
      <c r="L113" s="112"/>
      <c r="M113" s="112"/>
      <c r="N113" s="112"/>
      <c r="O113" s="112"/>
      <c r="P113" s="112"/>
      <c r="Q113" s="113"/>
      <c r="R113" s="114"/>
      <c r="S113" s="114"/>
      <c r="T113" s="114"/>
      <c r="U113" s="115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</row>
    <row r="114" ht="14.25" customHeight="1">
      <c r="A114" s="1"/>
      <c r="B114" s="1"/>
      <c r="C114" s="1"/>
      <c r="D114" s="24"/>
      <c r="E114" s="43">
        <v>105.0</v>
      </c>
      <c r="F114" s="149">
        <v>1760.0</v>
      </c>
      <c r="G114" s="61"/>
      <c r="H114" s="61"/>
      <c r="I114" s="54">
        <v>1760.0</v>
      </c>
      <c r="J114" s="137" t="s">
        <v>250</v>
      </c>
      <c r="K114" s="24"/>
      <c r="L114" s="112"/>
      <c r="M114" s="112"/>
      <c r="N114" s="112"/>
      <c r="O114" s="112"/>
      <c r="P114" s="112"/>
      <c r="Q114" s="113"/>
      <c r="R114" s="114"/>
      <c r="S114" s="114"/>
      <c r="T114" s="114"/>
      <c r="U114" s="115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</row>
    <row r="115" ht="14.25" customHeight="1">
      <c r="A115" s="1"/>
      <c r="B115" s="1"/>
      <c r="C115" s="1"/>
      <c r="D115" s="24"/>
      <c r="E115" s="43">
        <v>106.0</v>
      </c>
      <c r="F115" s="149">
        <v>83.0</v>
      </c>
      <c r="G115" s="61"/>
      <c r="H115" s="54">
        <v>83.0</v>
      </c>
      <c r="I115" s="61"/>
      <c r="J115" s="137">
        <v>10838.0</v>
      </c>
      <c r="K115" s="24"/>
      <c r="L115" s="112"/>
      <c r="M115" s="112"/>
      <c r="N115" s="112"/>
      <c r="O115" s="112"/>
      <c r="P115" s="112"/>
      <c r="Q115" s="113"/>
      <c r="R115" s="114"/>
      <c r="S115" s="114"/>
      <c r="T115" s="114"/>
      <c r="U115" s="115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</row>
    <row r="116" ht="14.25" customHeight="1">
      <c r="A116" s="1"/>
      <c r="B116" s="1"/>
      <c r="C116" s="1"/>
      <c r="D116" s="24"/>
      <c r="E116" s="43">
        <v>107.0</v>
      </c>
      <c r="F116" s="121"/>
      <c r="G116" s="61"/>
      <c r="H116" s="61"/>
      <c r="I116" s="61"/>
      <c r="J116" s="137">
        <v>10839.0</v>
      </c>
      <c r="K116" s="24"/>
      <c r="L116" s="112"/>
      <c r="M116" s="112"/>
      <c r="N116" s="112"/>
      <c r="O116" s="112"/>
      <c r="P116" s="112"/>
      <c r="Q116" s="113"/>
      <c r="R116" s="114"/>
      <c r="S116" s="114"/>
      <c r="T116" s="114"/>
      <c r="U116" s="115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</row>
    <row r="117" ht="14.25" customHeight="1">
      <c r="A117" s="1"/>
      <c r="B117" s="1"/>
      <c r="C117" s="1"/>
      <c r="D117" s="24"/>
      <c r="E117" s="43">
        <v>108.0</v>
      </c>
      <c r="F117" s="121"/>
      <c r="G117" s="61"/>
      <c r="H117" s="61"/>
      <c r="I117" s="61"/>
      <c r="J117" s="137">
        <v>10840.0</v>
      </c>
      <c r="K117" s="24"/>
      <c r="L117" s="112"/>
      <c r="M117" s="112"/>
      <c r="N117" s="112"/>
      <c r="O117" s="112"/>
      <c r="P117" s="112"/>
      <c r="Q117" s="113"/>
      <c r="R117" s="114"/>
      <c r="S117" s="114"/>
      <c r="T117" s="114"/>
      <c r="U117" s="115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</row>
    <row r="118" ht="14.25" customHeight="1">
      <c r="A118" s="1"/>
      <c r="B118" s="1"/>
      <c r="C118" s="1"/>
      <c r="D118" s="24"/>
      <c r="E118" s="43">
        <v>109.0</v>
      </c>
      <c r="F118" s="121"/>
      <c r="G118" s="61"/>
      <c r="H118" s="61"/>
      <c r="I118" s="61"/>
      <c r="J118" s="137">
        <v>10841.0</v>
      </c>
      <c r="K118" s="24"/>
      <c r="L118" s="112"/>
      <c r="M118" s="112"/>
      <c r="N118" s="112"/>
      <c r="O118" s="112"/>
      <c r="P118" s="112"/>
      <c r="Q118" s="113"/>
      <c r="R118" s="114"/>
      <c r="S118" s="114"/>
      <c r="T118" s="114"/>
      <c r="U118" s="115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</row>
    <row r="119" ht="14.25" customHeight="1">
      <c r="A119" s="1"/>
      <c r="B119" s="1"/>
      <c r="C119" s="1"/>
      <c r="D119" s="24"/>
      <c r="E119" s="43">
        <v>110.0</v>
      </c>
      <c r="F119" s="121"/>
      <c r="G119" s="61"/>
      <c r="H119" s="61"/>
      <c r="I119" s="61"/>
      <c r="J119" s="137">
        <v>10842.0</v>
      </c>
      <c r="K119" s="24"/>
      <c r="L119" s="112"/>
      <c r="M119" s="112"/>
      <c r="N119" s="112"/>
      <c r="O119" s="112"/>
      <c r="P119" s="112"/>
      <c r="Q119" s="113"/>
      <c r="R119" s="114"/>
      <c r="S119" s="114"/>
      <c r="T119" s="114"/>
      <c r="U119" s="115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</row>
    <row r="120" ht="14.25" customHeight="1">
      <c r="A120" s="1"/>
      <c r="B120" s="1"/>
      <c r="C120" s="1"/>
      <c r="D120" s="24"/>
      <c r="E120" s="43">
        <v>111.0</v>
      </c>
      <c r="F120" s="121"/>
      <c r="G120" s="61"/>
      <c r="H120" s="61"/>
      <c r="I120" s="61"/>
      <c r="J120" s="137">
        <v>10843.0</v>
      </c>
      <c r="K120" s="24"/>
      <c r="L120" s="112"/>
      <c r="M120" s="112"/>
      <c r="N120" s="112"/>
      <c r="O120" s="112"/>
      <c r="P120" s="112"/>
      <c r="Q120" s="113"/>
      <c r="R120" s="114"/>
      <c r="S120" s="114"/>
      <c r="T120" s="114"/>
      <c r="U120" s="115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</row>
    <row r="121" ht="14.25" customHeight="1">
      <c r="A121" s="1"/>
      <c r="B121" s="1"/>
      <c r="C121" s="1"/>
      <c r="D121" s="24"/>
      <c r="E121" s="43">
        <v>112.0</v>
      </c>
      <c r="F121" s="121"/>
      <c r="G121" s="61"/>
      <c r="H121" s="61"/>
      <c r="I121" s="61"/>
      <c r="J121" s="137">
        <v>10844.0</v>
      </c>
      <c r="K121" s="24"/>
      <c r="L121" s="112"/>
      <c r="M121" s="112"/>
      <c r="N121" s="112"/>
      <c r="O121" s="112"/>
      <c r="P121" s="112"/>
      <c r="Q121" s="113"/>
      <c r="R121" s="114"/>
      <c r="S121" s="114"/>
      <c r="T121" s="114"/>
      <c r="U121" s="115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</row>
    <row r="122" ht="14.25" customHeight="1">
      <c r="A122" s="1"/>
      <c r="B122" s="1"/>
      <c r="C122" s="1"/>
      <c r="D122" s="24"/>
      <c r="E122" s="43">
        <v>113.0</v>
      </c>
      <c r="F122" s="121"/>
      <c r="G122" s="61"/>
      <c r="H122" s="61"/>
      <c r="I122" s="61"/>
      <c r="J122" s="137">
        <v>10845.0</v>
      </c>
      <c r="K122" s="24"/>
      <c r="L122" s="112"/>
      <c r="M122" s="112"/>
      <c r="N122" s="112"/>
      <c r="O122" s="112"/>
      <c r="P122" s="112"/>
      <c r="Q122" s="113"/>
      <c r="R122" s="114"/>
      <c r="S122" s="114"/>
      <c r="T122" s="114"/>
      <c r="U122" s="115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</row>
    <row r="123" ht="14.25" customHeight="1">
      <c r="A123" s="1"/>
      <c r="B123" s="1"/>
      <c r="C123" s="1"/>
      <c r="D123" s="24"/>
      <c r="E123" s="43">
        <v>114.0</v>
      </c>
      <c r="F123" s="121"/>
      <c r="G123" s="61"/>
      <c r="H123" s="61"/>
      <c r="I123" s="61"/>
      <c r="J123" s="137">
        <v>10846.0</v>
      </c>
      <c r="K123" s="24"/>
      <c r="L123" s="112"/>
      <c r="M123" s="112"/>
      <c r="N123" s="112"/>
      <c r="O123" s="112"/>
      <c r="P123" s="112"/>
      <c r="Q123" s="113"/>
      <c r="R123" s="114"/>
      <c r="S123" s="114"/>
      <c r="T123" s="114"/>
      <c r="U123" s="115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</row>
    <row r="124" ht="14.25" customHeight="1">
      <c r="A124" s="1"/>
      <c r="B124" s="1"/>
      <c r="C124" s="1"/>
      <c r="D124" s="24"/>
      <c r="E124" s="43">
        <v>115.0</v>
      </c>
      <c r="F124" s="121"/>
      <c r="G124" s="61"/>
      <c r="H124" s="61"/>
      <c r="I124" s="61"/>
      <c r="J124" s="137">
        <v>10847.0</v>
      </c>
      <c r="K124" s="24"/>
      <c r="L124" s="112"/>
      <c r="M124" s="112"/>
      <c r="N124" s="112"/>
      <c r="O124" s="112"/>
      <c r="P124" s="112"/>
      <c r="Q124" s="113"/>
      <c r="R124" s="114"/>
      <c r="S124" s="114"/>
      <c r="T124" s="114"/>
      <c r="U124" s="115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</row>
    <row r="125" ht="14.25" customHeight="1">
      <c r="A125" s="1"/>
      <c r="B125" s="1"/>
      <c r="C125" s="1"/>
      <c r="D125" s="24"/>
      <c r="E125" s="43">
        <v>116.0</v>
      </c>
      <c r="F125" s="121"/>
      <c r="G125" s="61"/>
      <c r="H125" s="61"/>
      <c r="I125" s="54">
        <v>-552.0</v>
      </c>
      <c r="J125" s="137">
        <v>10848.0</v>
      </c>
      <c r="K125" s="24"/>
      <c r="L125" s="112"/>
      <c r="M125" s="112"/>
      <c r="N125" s="112"/>
      <c r="O125" s="112"/>
      <c r="P125" s="112"/>
      <c r="Q125" s="113"/>
      <c r="R125" s="114"/>
      <c r="S125" s="114"/>
      <c r="T125" s="114"/>
      <c r="U125" s="115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</row>
    <row r="126" ht="14.25" customHeight="1">
      <c r="A126" s="1"/>
      <c r="B126" s="1"/>
      <c r="C126" s="1"/>
      <c r="D126" s="24"/>
      <c r="E126" s="43">
        <v>117.0</v>
      </c>
      <c r="F126" s="121"/>
      <c r="G126" s="61"/>
      <c r="H126" s="61"/>
      <c r="I126" s="61"/>
      <c r="J126" s="137">
        <v>10849.0</v>
      </c>
      <c r="K126" s="24"/>
      <c r="L126" s="112"/>
      <c r="M126" s="112"/>
      <c r="N126" s="112"/>
      <c r="O126" s="112"/>
      <c r="P126" s="112"/>
      <c r="Q126" s="113"/>
      <c r="R126" s="114"/>
      <c r="S126" s="114"/>
      <c r="T126" s="114"/>
      <c r="U126" s="115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</row>
    <row r="127" ht="14.25" customHeight="1">
      <c r="A127" s="1"/>
      <c r="B127" s="1"/>
      <c r="C127" s="1"/>
      <c r="D127" s="24"/>
      <c r="E127" s="43">
        <v>118.0</v>
      </c>
      <c r="F127" s="121"/>
      <c r="G127" s="61"/>
      <c r="H127" s="61"/>
      <c r="I127" s="61"/>
      <c r="J127" s="137">
        <v>10850.0</v>
      </c>
      <c r="K127" s="24"/>
      <c r="L127" s="112"/>
      <c r="M127" s="112"/>
      <c r="N127" s="112"/>
      <c r="O127" s="112"/>
      <c r="P127" s="112"/>
      <c r="Q127" s="113"/>
      <c r="R127" s="114"/>
      <c r="S127" s="114"/>
      <c r="T127" s="114"/>
      <c r="U127" s="115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</row>
    <row r="128" ht="14.25" customHeight="1">
      <c r="A128" s="1"/>
      <c r="B128" s="1"/>
      <c r="C128" s="1"/>
      <c r="D128" s="24"/>
      <c r="E128" s="43">
        <v>119.0</v>
      </c>
      <c r="F128" s="121"/>
      <c r="G128" s="61"/>
      <c r="H128" s="61"/>
      <c r="I128" s="61"/>
      <c r="J128" s="137">
        <v>10851.0</v>
      </c>
      <c r="K128" s="24"/>
      <c r="L128" s="112"/>
      <c r="M128" s="112"/>
      <c r="N128" s="112"/>
      <c r="O128" s="112"/>
      <c r="P128" s="112"/>
      <c r="Q128" s="113"/>
      <c r="R128" s="114"/>
      <c r="S128" s="114"/>
      <c r="T128" s="114"/>
      <c r="U128" s="115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</row>
    <row r="129" ht="14.25" customHeight="1">
      <c r="A129" s="1"/>
      <c r="B129" s="1"/>
      <c r="C129" s="1"/>
      <c r="D129" s="1"/>
      <c r="E129" s="122"/>
      <c r="F129" s="123">
        <f t="shared" ref="F129:I129" si="4">SUM(F10:F128)</f>
        <v>35825</v>
      </c>
      <c r="G129" s="123">
        <f t="shared" si="4"/>
        <v>18865</v>
      </c>
      <c r="H129" s="123">
        <f t="shared" si="4"/>
        <v>12662</v>
      </c>
      <c r="I129" s="123">
        <f t="shared" si="4"/>
        <v>3746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18"/>
      <c r="C130" s="118"/>
      <c r="D130" s="1"/>
      <c r="E130" s="124"/>
      <c r="F130" s="124"/>
      <c r="G130" s="124"/>
      <c r="H130" s="124"/>
      <c r="I130" s="125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18"/>
      <c r="C131" s="1"/>
      <c r="D131" s="1"/>
      <c r="E131" s="8"/>
      <c r="F131" s="8"/>
      <c r="G131" s="8"/>
      <c r="H131" s="8"/>
      <c r="I131" s="8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8"/>
      <c r="F132" s="8"/>
      <c r="G132" s="8"/>
      <c r="H132" s="8"/>
      <c r="I132" s="8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8"/>
      <c r="F133" s="8"/>
      <c r="G133" s="8"/>
      <c r="H133" s="8"/>
      <c r="I133" s="8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8"/>
      <c r="F134" s="8"/>
      <c r="G134" s="8"/>
      <c r="H134" s="8"/>
      <c r="I134" s="8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8"/>
      <c r="F135" s="8"/>
      <c r="G135" s="8"/>
      <c r="H135" s="8"/>
      <c r="I135" s="8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 ht="14.25" customHeight="1">
      <c r="A142" s="1"/>
      <c r="B142" s="1"/>
      <c r="C142" s="1"/>
      <c r="D142" s="1"/>
      <c r="E142" s="1"/>
      <c r="F142" s="1"/>
      <c r="G142" s="126"/>
      <c r="H142" s="12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32">
        <v>45989.0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67303.0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17631.0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65765.0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F115-C15</f>
        <v>30742.55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G115-W33</f>
        <v>15259.55</v>
      </c>
      <c r="D10" s="24"/>
      <c r="E10" s="43">
        <v>1.0</v>
      </c>
      <c r="F10" s="44">
        <v>149.0</v>
      </c>
      <c r="G10" s="45"/>
      <c r="H10" s="133">
        <v>149.0</v>
      </c>
      <c r="I10" s="45"/>
      <c r="J10" s="137">
        <v>10839.0</v>
      </c>
      <c r="K10" s="24"/>
      <c r="L10" s="47"/>
      <c r="M10" s="47"/>
      <c r="N10" s="48"/>
      <c r="O10" s="49"/>
      <c r="P10" s="85" t="s">
        <v>251</v>
      </c>
      <c r="Q10" s="51"/>
      <c r="R10" s="52">
        <v>100.0</v>
      </c>
      <c r="S10" s="53"/>
      <c r="T10" s="54"/>
      <c r="U10" s="55"/>
      <c r="V10" s="24"/>
      <c r="W10" s="47">
        <v>60.0</v>
      </c>
      <c r="X10" s="47"/>
      <c r="Y10" s="47">
        <v>145.0</v>
      </c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H115-X33</f>
        <v>13493</v>
      </c>
      <c r="D11" s="24"/>
      <c r="E11" s="43">
        <v>2.0</v>
      </c>
      <c r="F11" s="56">
        <v>154.0</v>
      </c>
      <c r="G11" s="57">
        <v>154.0</v>
      </c>
      <c r="H11" s="58"/>
      <c r="I11" s="59"/>
      <c r="J11" s="137">
        <v>10840.0</v>
      </c>
      <c r="K11" s="24"/>
      <c r="L11" s="48"/>
      <c r="M11" s="48"/>
      <c r="N11" s="48"/>
      <c r="O11" s="49"/>
      <c r="P11" s="72" t="s">
        <v>252</v>
      </c>
      <c r="Q11" s="51"/>
      <c r="R11" s="52">
        <v>150.0</v>
      </c>
      <c r="S11" s="53"/>
      <c r="T11" s="61"/>
      <c r="U11" s="62"/>
      <c r="V11" s="24"/>
      <c r="W11" s="47">
        <v>225.45</v>
      </c>
      <c r="X11" s="47"/>
      <c r="Y11" s="47">
        <v>146.0</v>
      </c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I115</f>
        <v>1990</v>
      </c>
      <c r="D12" s="24"/>
      <c r="E12" s="43">
        <v>3.0</v>
      </c>
      <c r="F12" s="63">
        <v>149.0</v>
      </c>
      <c r="G12" s="64"/>
      <c r="H12" s="139">
        <v>149.0</v>
      </c>
      <c r="I12" s="65"/>
      <c r="J12" s="137">
        <v>10841.0</v>
      </c>
      <c r="K12" s="24"/>
      <c r="L12" s="48"/>
      <c r="M12" s="48"/>
      <c r="N12" s="48"/>
      <c r="O12" s="49"/>
      <c r="P12" s="72" t="s">
        <v>253</v>
      </c>
      <c r="Q12" s="51"/>
      <c r="R12" s="52">
        <v>500.0</v>
      </c>
      <c r="S12" s="52"/>
      <c r="T12" s="61"/>
      <c r="U12" s="62"/>
      <c r="V12" s="24"/>
      <c r="W12" s="47">
        <v>376.0</v>
      </c>
      <c r="X12" s="48"/>
      <c r="Y12" s="47">
        <v>147.0</v>
      </c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>
        <v>203.0</v>
      </c>
      <c r="G13" s="64">
        <v>203.0</v>
      </c>
      <c r="H13" s="65"/>
      <c r="I13" s="65"/>
      <c r="J13" s="137">
        <v>10842.0</v>
      </c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>
        <v>625.0</v>
      </c>
      <c r="G14" s="64"/>
      <c r="H14" s="139">
        <v>625.0</v>
      </c>
      <c r="I14" s="65"/>
      <c r="J14" s="137">
        <v>10843.0</v>
      </c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661.45</v>
      </c>
      <c r="D15" s="24"/>
      <c r="E15" s="43">
        <v>6.0</v>
      </c>
      <c r="F15" s="56">
        <v>740.0</v>
      </c>
      <c r="G15" s="64">
        <v>740.0</v>
      </c>
      <c r="H15" s="140"/>
      <c r="I15" s="65"/>
      <c r="J15" s="137">
        <v>10844.0</v>
      </c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750</v>
      </c>
      <c r="D16" s="24"/>
      <c r="E16" s="43">
        <v>7.0</v>
      </c>
      <c r="F16" s="56">
        <v>113.0</v>
      </c>
      <c r="G16" s="64">
        <v>113.0</v>
      </c>
      <c r="H16" s="64"/>
      <c r="I16" s="65"/>
      <c r="J16" s="137">
        <v>10845.0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750</v>
      </c>
      <c r="D17" s="24"/>
      <c r="E17" s="43">
        <v>8.0</v>
      </c>
      <c r="F17" s="56">
        <v>451.0</v>
      </c>
      <c r="G17" s="64">
        <v>451.0</v>
      </c>
      <c r="H17" s="64"/>
      <c r="I17" s="65"/>
      <c r="J17" s="137">
        <v>10846.0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629.0</v>
      </c>
      <c r="G18" s="64"/>
      <c r="H18" s="139">
        <v>629.0</v>
      </c>
      <c r="I18" s="65"/>
      <c r="J18" s="137">
        <v>10847.0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223.0</v>
      </c>
      <c r="G19" s="64">
        <v>223.0</v>
      </c>
      <c r="H19" s="65"/>
      <c r="I19" s="65"/>
      <c r="J19" s="137">
        <v>10848.0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67755</v>
      </c>
      <c r="D20" s="24"/>
      <c r="E20" s="43">
        <v>11.0</v>
      </c>
      <c r="F20" s="56">
        <v>1350.0</v>
      </c>
      <c r="G20" s="65"/>
      <c r="H20" s="139">
        <v>1350.0</v>
      </c>
      <c r="I20" s="65"/>
      <c r="J20" s="137">
        <v>10849.0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13493</v>
      </c>
      <c r="D21" s="24"/>
      <c r="E21" s="43">
        <v>12.0</v>
      </c>
      <c r="F21" s="56">
        <v>307.0</v>
      </c>
      <c r="G21" s="64">
        <v>307.0</v>
      </c>
      <c r="H21" s="64"/>
      <c r="I21" s="65"/>
      <c r="J21" s="137">
        <v>10850.0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78312.55</v>
      </c>
      <c r="D22" s="24"/>
      <c r="E22" s="43">
        <v>13.0</v>
      </c>
      <c r="F22" s="56">
        <v>403.0</v>
      </c>
      <c r="G22" s="64">
        <v>403.0</v>
      </c>
      <c r="H22" s="64"/>
      <c r="I22" s="65"/>
      <c r="J22" s="137">
        <v>10851.0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41">
        <v>77760.55</v>
      </c>
      <c r="D23" s="24"/>
      <c r="E23" s="43">
        <v>14.0</v>
      </c>
      <c r="F23" s="56">
        <v>637.0</v>
      </c>
      <c r="G23" s="64">
        <v>637.0</v>
      </c>
      <c r="H23" s="65"/>
      <c r="I23" s="65"/>
      <c r="J23" s="137">
        <v>10852.0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552</v>
      </c>
      <c r="D24" s="24"/>
      <c r="E24" s="43">
        <v>15.0</v>
      </c>
      <c r="F24" s="56">
        <v>45.0</v>
      </c>
      <c r="G24" s="64"/>
      <c r="H24" s="139">
        <v>45.0</v>
      </c>
      <c r="I24" s="65"/>
      <c r="J24" s="137">
        <v>10853.0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364.0</v>
      </c>
      <c r="G25" s="64">
        <v>364.0</v>
      </c>
      <c r="H25" s="65"/>
      <c r="I25" s="65"/>
      <c r="J25" s="137">
        <v>10854.0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F115</f>
        <v>31404</v>
      </c>
      <c r="D26" s="24"/>
      <c r="E26" s="43">
        <v>17.0</v>
      </c>
      <c r="F26" s="56">
        <v>1505.0</v>
      </c>
      <c r="G26" s="64"/>
      <c r="H26" s="139">
        <v>1505.0</v>
      </c>
      <c r="I26" s="65"/>
      <c r="J26" s="137">
        <v>10855.0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93.0</v>
      </c>
      <c r="D27" s="24"/>
      <c r="E27" s="43">
        <v>18.0</v>
      </c>
      <c r="F27" s="56">
        <v>713.0</v>
      </c>
      <c r="G27" s="64"/>
      <c r="H27" s="139">
        <v>713.0</v>
      </c>
      <c r="I27" s="65"/>
      <c r="J27" s="137">
        <v>10856.0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337.6774194</v>
      </c>
      <c r="D28" s="24"/>
      <c r="E28" s="43">
        <v>19.0</v>
      </c>
      <c r="F28" s="56">
        <v>147.0</v>
      </c>
      <c r="G28" s="64">
        <v>147.0</v>
      </c>
      <c r="H28" s="65"/>
      <c r="I28" s="65"/>
      <c r="J28" s="137">
        <v>10857.0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61.0</v>
      </c>
      <c r="G29" s="64">
        <v>61.0</v>
      </c>
      <c r="H29" s="65"/>
      <c r="I29" s="65"/>
      <c r="J29" s="137">
        <v>10858.0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221.0</v>
      </c>
      <c r="G30" s="92"/>
      <c r="H30" s="143">
        <v>221.0</v>
      </c>
      <c r="I30" s="93"/>
      <c r="J30" s="137">
        <v>10859.0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>
        <f>S33</f>
        <v>17631</v>
      </c>
      <c r="D31" s="24"/>
      <c r="E31" s="43">
        <v>22.0</v>
      </c>
      <c r="F31" s="56">
        <v>233.0</v>
      </c>
      <c r="G31" s="93"/>
      <c r="H31" s="143">
        <v>233.0</v>
      </c>
      <c r="I31" s="92"/>
      <c r="J31" s="137">
        <v>10860.0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750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>
        <f>R34</f>
        <v>3500</v>
      </c>
      <c r="D32" s="24"/>
      <c r="E32" s="43">
        <v>23.0</v>
      </c>
      <c r="F32" s="56">
        <v>620.0</v>
      </c>
      <c r="G32" s="93"/>
      <c r="H32" s="143">
        <v>620.0</v>
      </c>
      <c r="I32" s="92"/>
      <c r="J32" s="137">
        <v>10861.0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410.0</v>
      </c>
      <c r="G33" s="93">
        <v>410.0</v>
      </c>
      <c r="H33" s="92"/>
      <c r="I33" s="92"/>
      <c r="J33" s="137">
        <v>10862.0</v>
      </c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>
        <v>17631.0</v>
      </c>
      <c r="T33" s="101"/>
      <c r="U33" s="55"/>
      <c r="V33" s="24"/>
      <c r="W33" s="104">
        <f t="shared" ref="W33:X33" si="3">sum(W10:W32)</f>
        <v>661.45</v>
      </c>
      <c r="X33" s="104">
        <f t="shared" si="3"/>
        <v>0</v>
      </c>
      <c r="Y33" s="104">
        <f>W33+X33</f>
        <v>661.45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584.0</v>
      </c>
      <c r="G34" s="93">
        <v>584.0</v>
      </c>
      <c r="H34" s="92"/>
      <c r="I34" s="92"/>
      <c r="J34" s="137">
        <v>10863.0</v>
      </c>
      <c r="K34" s="24"/>
      <c r="L34" s="106"/>
      <c r="M34" s="106"/>
      <c r="N34" s="106"/>
      <c r="O34" s="106"/>
      <c r="P34" s="85" t="s">
        <v>40</v>
      </c>
      <c r="Q34" s="107"/>
      <c r="R34" s="144">
        <v>3500.0</v>
      </c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660.0</v>
      </c>
      <c r="G35" s="93">
        <v>660.0</v>
      </c>
      <c r="H35" s="93"/>
      <c r="I35" s="92"/>
      <c r="J35" s="137">
        <v>10864.0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330.0</v>
      </c>
      <c r="G36" s="93">
        <v>330.0</v>
      </c>
      <c r="H36" s="93"/>
      <c r="I36" s="92"/>
      <c r="J36" s="137">
        <v>10865.0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500.0</v>
      </c>
      <c r="G37" s="93">
        <v>500.0</v>
      </c>
      <c r="H37" s="92"/>
      <c r="I37" s="92"/>
      <c r="J37" s="137">
        <v>10866.0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222.0</v>
      </c>
      <c r="G38" s="93"/>
      <c r="H38" s="143">
        <v>222.0</v>
      </c>
      <c r="I38" s="92"/>
      <c r="J38" s="137">
        <v>10867.0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260.0</v>
      </c>
      <c r="G39" s="93">
        <v>260.0</v>
      </c>
      <c r="H39" s="93"/>
      <c r="I39" s="92"/>
      <c r="J39" s="137">
        <v>10868.0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237.0</v>
      </c>
      <c r="G40" s="93">
        <v>237.0</v>
      </c>
      <c r="H40" s="93"/>
      <c r="I40" s="92"/>
      <c r="J40" s="137">
        <v>10869.0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110.0</v>
      </c>
      <c r="G41" s="93">
        <v>110.0</v>
      </c>
      <c r="H41" s="93"/>
      <c r="I41" s="92"/>
      <c r="J41" s="137">
        <v>10870.0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189.0</v>
      </c>
      <c r="G42" s="93">
        <v>189.0</v>
      </c>
      <c r="H42" s="93"/>
      <c r="I42" s="92"/>
      <c r="J42" s="137">
        <v>10871.0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35.0</v>
      </c>
      <c r="G43" s="93"/>
      <c r="H43" s="143">
        <v>35.0</v>
      </c>
      <c r="I43" s="92"/>
      <c r="J43" s="137">
        <v>10872.0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114.0</v>
      </c>
      <c r="G44" s="93">
        <v>114.0</v>
      </c>
      <c r="H44" s="93"/>
      <c r="I44" s="92"/>
      <c r="J44" s="137">
        <v>10873.0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600.0</v>
      </c>
      <c r="G45" s="93"/>
      <c r="H45" s="143">
        <v>600.0</v>
      </c>
      <c r="I45" s="92"/>
      <c r="J45" s="137">
        <v>10874.0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6.0</v>
      </c>
      <c r="G46" s="93">
        <v>6.0</v>
      </c>
      <c r="H46" s="167"/>
      <c r="I46" s="92"/>
      <c r="J46" s="137">
        <v>10875.0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133.0</v>
      </c>
      <c r="G47" s="92"/>
      <c r="H47" s="143">
        <v>133.0</v>
      </c>
      <c r="I47" s="92"/>
      <c r="J47" s="137">
        <v>10876.0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967.0</v>
      </c>
      <c r="G48" s="92"/>
      <c r="H48" s="143">
        <v>967.0</v>
      </c>
      <c r="I48" s="92"/>
      <c r="J48" s="137">
        <v>10877.0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237.0</v>
      </c>
      <c r="G49" s="93">
        <v>237.0</v>
      </c>
      <c r="H49" s="167"/>
      <c r="I49" s="92"/>
      <c r="J49" s="137">
        <v>10878.0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192.0</v>
      </c>
      <c r="G50" s="92"/>
      <c r="H50" s="143">
        <v>192.0</v>
      </c>
      <c r="I50" s="92"/>
      <c r="J50" s="137">
        <v>10879.0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145.0</v>
      </c>
      <c r="G51" s="93">
        <v>145.0</v>
      </c>
      <c r="H51" s="167"/>
      <c r="I51" s="92"/>
      <c r="J51" s="137">
        <v>10880.0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430.0</v>
      </c>
      <c r="G52" s="92"/>
      <c r="H52" s="143">
        <v>430.0</v>
      </c>
      <c r="I52" s="92"/>
      <c r="J52" s="137">
        <v>10881.0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100.0</v>
      </c>
      <c r="G53" s="92"/>
      <c r="H53" s="143">
        <v>100.0</v>
      </c>
      <c r="I53" s="92"/>
      <c r="J53" s="137">
        <v>10882.0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285.0</v>
      </c>
      <c r="G54" s="93">
        <v>285.0</v>
      </c>
      <c r="H54" s="167"/>
      <c r="I54" s="92"/>
      <c r="J54" s="137">
        <v>10883.0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199.0</v>
      </c>
      <c r="G55" s="93">
        <v>199.0</v>
      </c>
      <c r="H55" s="167"/>
      <c r="I55" s="92"/>
      <c r="J55" s="137">
        <v>10884.0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40.0</v>
      </c>
      <c r="G56" s="93">
        <v>40.0</v>
      </c>
      <c r="H56" s="167"/>
      <c r="I56" s="92"/>
      <c r="J56" s="137">
        <v>10885.0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116.0</v>
      </c>
      <c r="G57" s="93">
        <v>116.0</v>
      </c>
      <c r="H57" s="167"/>
      <c r="I57" s="92"/>
      <c r="J57" s="137">
        <v>10886.0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923.0</v>
      </c>
      <c r="G58" s="93">
        <v>58.0</v>
      </c>
      <c r="H58" s="153">
        <v>865.0</v>
      </c>
      <c r="I58" s="92"/>
      <c r="J58" s="137">
        <v>10887.0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11.0</v>
      </c>
      <c r="G59" s="93">
        <v>11.0</v>
      </c>
      <c r="H59" s="167"/>
      <c r="I59" s="92"/>
      <c r="J59" s="137">
        <v>10888.0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145.0</v>
      </c>
      <c r="G60" s="93">
        <v>145.0</v>
      </c>
      <c r="H60" s="167"/>
      <c r="I60" s="92"/>
      <c r="J60" s="137">
        <v>10889.0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1033.0</v>
      </c>
      <c r="G61" s="93">
        <v>1033.0</v>
      </c>
      <c r="H61" s="167"/>
      <c r="I61" s="92"/>
      <c r="J61" s="137">
        <v>10890.0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35.0</v>
      </c>
      <c r="G62" s="93">
        <v>35.0</v>
      </c>
      <c r="H62" s="167"/>
      <c r="I62" s="92"/>
      <c r="J62" s="137">
        <v>10891.0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21.0</v>
      </c>
      <c r="G63" s="93">
        <v>21.0</v>
      </c>
      <c r="H63" s="167"/>
      <c r="I63" s="92"/>
      <c r="J63" s="137">
        <v>10892.0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184.0</v>
      </c>
      <c r="G64" s="92"/>
      <c r="H64" s="143">
        <v>184.0</v>
      </c>
      <c r="I64" s="92"/>
      <c r="J64" s="137">
        <v>10893.0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166.0</v>
      </c>
      <c r="G65" s="93">
        <v>166.0</v>
      </c>
      <c r="H65" s="167"/>
      <c r="I65" s="92"/>
      <c r="J65" s="137">
        <v>10894.0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350.0</v>
      </c>
      <c r="G66" s="93">
        <v>320.0</v>
      </c>
      <c r="H66" s="143">
        <v>30.0</v>
      </c>
      <c r="I66" s="92"/>
      <c r="J66" s="137">
        <v>10895.0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100.0</v>
      </c>
      <c r="G67" s="92"/>
      <c r="H67" s="143">
        <v>100.0</v>
      </c>
      <c r="I67" s="92"/>
      <c r="J67" s="137">
        <v>10896.0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618.0</v>
      </c>
      <c r="G68" s="93">
        <v>618.0</v>
      </c>
      <c r="H68" s="167"/>
      <c r="I68" s="92"/>
      <c r="J68" s="137">
        <v>10897.0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111.0</v>
      </c>
      <c r="G69" s="93">
        <v>111.0</v>
      </c>
      <c r="H69" s="167"/>
      <c r="I69" s="92"/>
      <c r="J69" s="137">
        <v>10898.0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769.0</v>
      </c>
      <c r="G70" s="93">
        <v>769.0</v>
      </c>
      <c r="H70" s="167"/>
      <c r="I70" s="92"/>
      <c r="J70" s="137">
        <v>10899.0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56">
        <v>109.0</v>
      </c>
      <c r="G71" s="93">
        <v>109.0</v>
      </c>
      <c r="H71" s="167"/>
      <c r="I71" s="92"/>
      <c r="J71" s="137">
        <v>10900.0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56">
        <v>139.0</v>
      </c>
      <c r="G72" s="93">
        <v>139.0</v>
      </c>
      <c r="H72" s="167"/>
      <c r="I72" s="92"/>
      <c r="J72" s="137">
        <v>10901.0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56">
        <v>99.0</v>
      </c>
      <c r="G73" s="92"/>
      <c r="H73" s="143">
        <v>99.0</v>
      </c>
      <c r="I73" s="92"/>
      <c r="J73" s="137">
        <v>10902.0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56">
        <v>45.0</v>
      </c>
      <c r="G74" s="93">
        <v>45.0</v>
      </c>
      <c r="H74" s="167"/>
      <c r="I74" s="92"/>
      <c r="J74" s="137">
        <v>10903.0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56">
        <v>46.0</v>
      </c>
      <c r="G75" s="93">
        <v>46.0</v>
      </c>
      <c r="H75" s="167"/>
      <c r="I75" s="92"/>
      <c r="J75" s="137">
        <v>10904.0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56">
        <v>1257.0</v>
      </c>
      <c r="G76" s="93">
        <v>1257.0</v>
      </c>
      <c r="H76" s="167"/>
      <c r="I76" s="92"/>
      <c r="J76" s="137">
        <v>10905.0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56">
        <v>60.0</v>
      </c>
      <c r="G77" s="93">
        <v>60.0</v>
      </c>
      <c r="H77" s="167"/>
      <c r="I77" s="92"/>
      <c r="J77" s="137">
        <v>10906.0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56">
        <v>323.0</v>
      </c>
      <c r="G78" s="93">
        <v>323.0</v>
      </c>
      <c r="H78" s="167"/>
      <c r="I78" s="92"/>
      <c r="J78" s="137">
        <v>10907.0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56">
        <v>555.0</v>
      </c>
      <c r="G79" s="92"/>
      <c r="H79" s="167"/>
      <c r="I79" s="93">
        <v>555.0</v>
      </c>
      <c r="J79" s="137" t="s">
        <v>254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56">
        <v>468.0</v>
      </c>
      <c r="G80" s="93">
        <v>468.0</v>
      </c>
      <c r="H80" s="167"/>
      <c r="I80" s="92"/>
      <c r="J80" s="137">
        <v>10909.0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56">
        <v>41.0</v>
      </c>
      <c r="G81" s="92"/>
      <c r="H81" s="143">
        <v>41.0</v>
      </c>
      <c r="I81" s="92"/>
      <c r="J81" s="137">
        <v>10910.0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49">
        <v>114.0</v>
      </c>
      <c r="G82" s="54">
        <v>114.0</v>
      </c>
      <c r="H82" s="167"/>
      <c r="I82" s="61"/>
      <c r="J82" s="137">
        <v>10911.0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49">
        <v>234.0</v>
      </c>
      <c r="G83" s="54">
        <v>234.0</v>
      </c>
      <c r="H83" s="167"/>
      <c r="I83" s="61"/>
      <c r="J83" s="137">
        <v>10912.0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49">
        <v>89.0</v>
      </c>
      <c r="G84" s="54">
        <v>89.0</v>
      </c>
      <c r="H84" s="167"/>
      <c r="I84" s="61"/>
      <c r="J84" s="137">
        <v>10913.0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49">
        <v>428.0</v>
      </c>
      <c r="G85" s="61"/>
      <c r="H85" s="143">
        <v>428.0</v>
      </c>
      <c r="I85" s="61"/>
      <c r="J85" s="137">
        <v>10914.0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49">
        <v>125.0</v>
      </c>
      <c r="G86" s="61"/>
      <c r="H86" s="143">
        <v>125.0</v>
      </c>
      <c r="I86" s="61"/>
      <c r="J86" s="137">
        <v>10915.0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49">
        <v>12.0</v>
      </c>
      <c r="G87" s="54">
        <v>12.0</v>
      </c>
      <c r="H87" s="167"/>
      <c r="I87" s="61"/>
      <c r="J87" s="137">
        <v>10916.0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49">
        <v>323.0</v>
      </c>
      <c r="G88" s="61"/>
      <c r="H88" s="143">
        <v>323.0</v>
      </c>
      <c r="I88" s="61"/>
      <c r="J88" s="137">
        <v>10917.0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49">
        <v>253.0</v>
      </c>
      <c r="G89" s="61"/>
      <c r="H89" s="143">
        <v>253.0</v>
      </c>
      <c r="I89" s="61"/>
      <c r="J89" s="137">
        <v>10918.0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49">
        <v>333.0</v>
      </c>
      <c r="G90" s="61"/>
      <c r="H90" s="143">
        <v>333.0</v>
      </c>
      <c r="I90" s="61"/>
      <c r="J90" s="137">
        <v>10919.0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49">
        <v>25.0</v>
      </c>
      <c r="G91" s="54">
        <v>25.0</v>
      </c>
      <c r="H91" s="167"/>
      <c r="I91" s="61"/>
      <c r="J91" s="137">
        <v>10920.0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49">
        <v>400.0</v>
      </c>
      <c r="G92" s="61"/>
      <c r="H92" s="143">
        <v>400.0</v>
      </c>
      <c r="I92" s="61"/>
      <c r="J92" s="137">
        <v>10921.0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49">
        <v>33.0</v>
      </c>
      <c r="G93" s="61"/>
      <c r="H93" s="143">
        <v>33.0</v>
      </c>
      <c r="I93" s="61"/>
      <c r="J93" s="137">
        <v>10922.0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49">
        <v>156.0</v>
      </c>
      <c r="G94" s="61"/>
      <c r="H94" s="143">
        <v>156.0</v>
      </c>
      <c r="I94" s="61"/>
      <c r="J94" s="137">
        <v>10923.0</v>
      </c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49">
        <v>963.0</v>
      </c>
      <c r="G95" s="54">
        <v>963.0</v>
      </c>
      <c r="H95" s="167"/>
      <c r="I95" s="61"/>
      <c r="J95" s="137">
        <v>10924.0</v>
      </c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49">
        <v>149.0</v>
      </c>
      <c r="G96" s="54">
        <v>149.0</v>
      </c>
      <c r="H96" s="167"/>
      <c r="I96" s="61"/>
      <c r="J96" s="137">
        <v>10925.0</v>
      </c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24"/>
      <c r="E97" s="43">
        <v>88.0</v>
      </c>
      <c r="F97" s="149">
        <v>133.0</v>
      </c>
      <c r="G97" s="61"/>
      <c r="H97" s="143">
        <v>133.0</v>
      </c>
      <c r="I97" s="61"/>
      <c r="J97" s="137">
        <v>10926.0</v>
      </c>
      <c r="K97" s="24"/>
      <c r="L97" s="112"/>
      <c r="M97" s="112"/>
      <c r="N97" s="112"/>
      <c r="O97" s="112"/>
      <c r="P97" s="112"/>
      <c r="Q97" s="113"/>
      <c r="R97" s="114"/>
      <c r="S97" s="114"/>
      <c r="T97" s="114"/>
      <c r="U97" s="115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</row>
    <row r="98" ht="14.25" customHeight="1">
      <c r="A98" s="1"/>
      <c r="B98" s="1"/>
      <c r="C98" s="1"/>
      <c r="D98" s="24"/>
      <c r="E98" s="43">
        <v>89.0</v>
      </c>
      <c r="F98" s="149">
        <v>376.0</v>
      </c>
      <c r="G98" s="54">
        <v>376.0</v>
      </c>
      <c r="H98" s="167"/>
      <c r="I98" s="61"/>
      <c r="J98" s="137">
        <v>10927.0</v>
      </c>
      <c r="K98" s="24"/>
      <c r="L98" s="112"/>
      <c r="M98" s="112"/>
      <c r="N98" s="112"/>
      <c r="O98" s="112"/>
      <c r="P98" s="112"/>
      <c r="Q98" s="113"/>
      <c r="R98" s="114"/>
      <c r="S98" s="114"/>
      <c r="T98" s="114"/>
      <c r="U98" s="115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</row>
    <row r="99" ht="14.25" customHeight="1">
      <c r="A99" s="1"/>
      <c r="B99" s="1"/>
      <c r="C99" s="1"/>
      <c r="D99" s="24"/>
      <c r="E99" s="43">
        <v>90.0</v>
      </c>
      <c r="F99" s="149">
        <v>107.0</v>
      </c>
      <c r="G99" s="61"/>
      <c r="H99" s="143">
        <v>107.0</v>
      </c>
      <c r="I99" s="61"/>
      <c r="J99" s="137">
        <v>10928.0</v>
      </c>
      <c r="K99" s="24"/>
      <c r="L99" s="112"/>
      <c r="M99" s="112"/>
      <c r="N99" s="112"/>
      <c r="O99" s="112"/>
      <c r="P99" s="112"/>
      <c r="Q99" s="113"/>
      <c r="R99" s="114"/>
      <c r="S99" s="114"/>
      <c r="T99" s="114"/>
      <c r="U99" s="115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</row>
    <row r="100" ht="14.25" customHeight="1">
      <c r="A100" s="1"/>
      <c r="B100" s="1"/>
      <c r="C100" s="1"/>
      <c r="D100" s="24"/>
      <c r="E100" s="43">
        <v>91.0</v>
      </c>
      <c r="F100" s="149">
        <v>1435.0</v>
      </c>
      <c r="G100" s="61"/>
      <c r="H100" s="61"/>
      <c r="I100" s="54">
        <v>1435.0</v>
      </c>
      <c r="J100" s="137" t="s">
        <v>255</v>
      </c>
      <c r="K100" s="24"/>
      <c r="L100" s="112"/>
      <c r="M100" s="112"/>
      <c r="N100" s="112"/>
      <c r="O100" s="112"/>
      <c r="P100" s="112"/>
      <c r="Q100" s="113"/>
      <c r="R100" s="114"/>
      <c r="S100" s="114"/>
      <c r="T100" s="114"/>
      <c r="U100" s="115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</row>
    <row r="101" ht="14.25" customHeight="1">
      <c r="A101" s="1"/>
      <c r="B101" s="1"/>
      <c r="C101" s="1"/>
      <c r="D101" s="24"/>
      <c r="E101" s="43">
        <v>92.0</v>
      </c>
      <c r="F101" s="149">
        <v>918.0</v>
      </c>
      <c r="G101" s="61"/>
      <c r="H101" s="143">
        <v>918.0</v>
      </c>
      <c r="I101" s="61"/>
      <c r="J101" s="137">
        <v>10930.0</v>
      </c>
      <c r="K101" s="24"/>
      <c r="L101" s="112"/>
      <c r="M101" s="112"/>
      <c r="N101" s="112"/>
      <c r="O101" s="112"/>
      <c r="P101" s="112"/>
      <c r="Q101" s="113"/>
      <c r="R101" s="114"/>
      <c r="S101" s="114"/>
      <c r="T101" s="114"/>
      <c r="U101" s="115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</row>
    <row r="102" ht="14.25" customHeight="1">
      <c r="A102" s="1"/>
      <c r="B102" s="1"/>
      <c r="C102" s="1"/>
      <c r="D102" s="24"/>
      <c r="E102" s="43">
        <v>93.0</v>
      </c>
      <c r="F102" s="149">
        <v>47.0</v>
      </c>
      <c r="G102" s="61"/>
      <c r="H102" s="143">
        <v>47.0</v>
      </c>
      <c r="I102" s="61"/>
      <c r="J102" s="137">
        <v>10931.0</v>
      </c>
      <c r="K102" s="24"/>
      <c r="L102" s="112"/>
      <c r="M102" s="112"/>
      <c r="N102" s="112"/>
      <c r="O102" s="112"/>
      <c r="P102" s="112"/>
      <c r="Q102" s="113"/>
      <c r="R102" s="114"/>
      <c r="S102" s="114"/>
      <c r="T102" s="114"/>
      <c r="U102" s="115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</row>
    <row r="103" ht="14.25" customHeight="1">
      <c r="A103" s="1"/>
      <c r="B103" s="1"/>
      <c r="C103" s="1"/>
      <c r="D103" s="24"/>
      <c r="E103" s="43">
        <v>94.0</v>
      </c>
      <c r="F103" s="121"/>
      <c r="G103" s="61"/>
      <c r="H103" s="61"/>
      <c r="I103" s="61"/>
      <c r="J103" s="137">
        <v>10932.0</v>
      </c>
      <c r="K103" s="24"/>
      <c r="L103" s="112"/>
      <c r="M103" s="112"/>
      <c r="N103" s="112"/>
      <c r="O103" s="112"/>
      <c r="P103" s="112"/>
      <c r="Q103" s="113"/>
      <c r="R103" s="114"/>
      <c r="S103" s="114"/>
      <c r="T103" s="114"/>
      <c r="U103" s="115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</row>
    <row r="104" ht="14.25" customHeight="1">
      <c r="A104" s="1"/>
      <c r="B104" s="1"/>
      <c r="C104" s="1"/>
      <c r="D104" s="24"/>
      <c r="E104" s="43">
        <v>95.0</v>
      </c>
      <c r="F104" s="121"/>
      <c r="G104" s="61"/>
      <c r="H104" s="61"/>
      <c r="I104" s="61"/>
      <c r="J104" s="137">
        <v>10933.0</v>
      </c>
      <c r="K104" s="24"/>
      <c r="L104" s="112"/>
      <c r="M104" s="112"/>
      <c r="N104" s="112"/>
      <c r="O104" s="112"/>
      <c r="P104" s="112"/>
      <c r="Q104" s="113"/>
      <c r="R104" s="114"/>
      <c r="S104" s="114"/>
      <c r="T104" s="114"/>
      <c r="U104" s="115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</row>
    <row r="105" ht="14.25" customHeight="1">
      <c r="A105" s="1"/>
      <c r="B105" s="1"/>
      <c r="C105" s="1"/>
      <c r="D105" s="24"/>
      <c r="E105" s="43">
        <v>96.0</v>
      </c>
      <c r="F105" s="121"/>
      <c r="G105" s="61"/>
      <c r="H105" s="61"/>
      <c r="I105" s="61"/>
      <c r="J105" s="137">
        <v>10934.0</v>
      </c>
      <c r="K105" s="24"/>
      <c r="L105" s="112"/>
      <c r="M105" s="112"/>
      <c r="N105" s="112"/>
      <c r="O105" s="112"/>
      <c r="P105" s="112"/>
      <c r="Q105" s="113"/>
      <c r="R105" s="114"/>
      <c r="S105" s="114"/>
      <c r="T105" s="114"/>
      <c r="U105" s="115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</row>
    <row r="106" ht="14.25" customHeight="1">
      <c r="A106" s="1"/>
      <c r="B106" s="1"/>
      <c r="C106" s="1"/>
      <c r="D106" s="24"/>
      <c r="E106" s="43">
        <v>97.0</v>
      </c>
      <c r="F106" s="121"/>
      <c r="G106" s="61"/>
      <c r="H106" s="61"/>
      <c r="I106" s="61"/>
      <c r="J106" s="137">
        <v>10935.0</v>
      </c>
      <c r="K106" s="24"/>
      <c r="L106" s="112"/>
      <c r="M106" s="112"/>
      <c r="N106" s="112"/>
      <c r="O106" s="112"/>
      <c r="P106" s="112"/>
      <c r="Q106" s="113"/>
      <c r="R106" s="114"/>
      <c r="S106" s="114"/>
      <c r="T106" s="114"/>
      <c r="U106" s="115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</row>
    <row r="107" ht="14.25" customHeight="1">
      <c r="A107" s="1"/>
      <c r="B107" s="1"/>
      <c r="C107" s="1"/>
      <c r="D107" s="24"/>
      <c r="E107" s="43">
        <v>98.0</v>
      </c>
      <c r="F107" s="121"/>
      <c r="G107" s="61"/>
      <c r="H107" s="61"/>
      <c r="I107" s="61"/>
      <c r="J107" s="137">
        <v>10936.0</v>
      </c>
      <c r="K107" s="24"/>
      <c r="L107" s="112"/>
      <c r="M107" s="112"/>
      <c r="N107" s="112"/>
      <c r="O107" s="112"/>
      <c r="P107" s="112"/>
      <c r="Q107" s="113"/>
      <c r="R107" s="114"/>
      <c r="S107" s="114"/>
      <c r="T107" s="114"/>
      <c r="U107" s="115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</row>
    <row r="108" ht="14.25" customHeight="1">
      <c r="A108" s="1"/>
      <c r="B108" s="1"/>
      <c r="C108" s="1"/>
      <c r="D108" s="24"/>
      <c r="E108" s="43">
        <v>99.0</v>
      </c>
      <c r="F108" s="121"/>
      <c r="G108" s="61"/>
      <c r="H108" s="61"/>
      <c r="I108" s="61"/>
      <c r="J108" s="137">
        <v>10937.0</v>
      </c>
      <c r="K108" s="24"/>
      <c r="L108" s="112"/>
      <c r="M108" s="112"/>
      <c r="N108" s="112"/>
      <c r="O108" s="112"/>
      <c r="P108" s="112"/>
      <c r="Q108" s="113"/>
      <c r="R108" s="114"/>
      <c r="S108" s="114"/>
      <c r="T108" s="114"/>
      <c r="U108" s="115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</row>
    <row r="109" ht="14.25" customHeight="1">
      <c r="A109" s="1"/>
      <c r="B109" s="1"/>
      <c r="C109" s="1"/>
      <c r="D109" s="24"/>
      <c r="E109" s="43">
        <v>100.0</v>
      </c>
      <c r="F109" s="121"/>
      <c r="G109" s="61"/>
      <c r="H109" s="61"/>
      <c r="I109" s="61"/>
      <c r="J109" s="137">
        <v>10938.0</v>
      </c>
      <c r="K109" s="24"/>
      <c r="L109" s="112"/>
      <c r="M109" s="112"/>
      <c r="N109" s="112"/>
      <c r="O109" s="112"/>
      <c r="P109" s="112"/>
      <c r="Q109" s="113"/>
      <c r="R109" s="114"/>
      <c r="S109" s="114"/>
      <c r="T109" s="114"/>
      <c r="U109" s="115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</row>
    <row r="110" ht="14.25" customHeight="1">
      <c r="A110" s="1"/>
      <c r="B110" s="1"/>
      <c r="C110" s="1"/>
      <c r="D110" s="24"/>
      <c r="E110" s="43">
        <v>101.0</v>
      </c>
      <c r="F110" s="121"/>
      <c r="G110" s="61"/>
      <c r="H110" s="61"/>
      <c r="I110" s="61"/>
      <c r="J110" s="137">
        <v>10939.0</v>
      </c>
      <c r="K110" s="24"/>
      <c r="L110" s="112"/>
      <c r="M110" s="112"/>
      <c r="N110" s="112"/>
      <c r="O110" s="112"/>
      <c r="P110" s="112"/>
      <c r="Q110" s="113"/>
      <c r="R110" s="114"/>
      <c r="S110" s="114"/>
      <c r="T110" s="114"/>
      <c r="U110" s="115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</row>
    <row r="111" ht="14.25" customHeight="1">
      <c r="A111" s="1"/>
      <c r="B111" s="1"/>
      <c r="C111" s="1"/>
      <c r="D111" s="24"/>
      <c r="E111" s="43">
        <v>102.0</v>
      </c>
      <c r="F111" s="121"/>
      <c r="G111" s="61"/>
      <c r="H111" s="61"/>
      <c r="I111" s="61"/>
      <c r="J111" s="137">
        <v>10940.0</v>
      </c>
      <c r="K111" s="24"/>
      <c r="L111" s="112"/>
      <c r="M111" s="112"/>
      <c r="N111" s="112"/>
      <c r="O111" s="112"/>
      <c r="P111" s="112"/>
      <c r="Q111" s="113"/>
      <c r="R111" s="114"/>
      <c r="S111" s="114"/>
      <c r="T111" s="114"/>
      <c r="U111" s="115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</row>
    <row r="112" ht="14.25" customHeight="1">
      <c r="A112" s="1"/>
      <c r="B112" s="1"/>
      <c r="C112" s="1"/>
      <c r="D112" s="24"/>
      <c r="E112" s="43">
        <v>103.0</v>
      </c>
      <c r="F112" s="121"/>
      <c r="G112" s="61"/>
      <c r="H112" s="61"/>
      <c r="I112" s="61"/>
      <c r="J112" s="137">
        <v>10941.0</v>
      </c>
      <c r="K112" s="24"/>
      <c r="L112" s="112"/>
      <c r="M112" s="112"/>
      <c r="N112" s="112"/>
      <c r="O112" s="112"/>
      <c r="P112" s="112"/>
      <c r="Q112" s="113"/>
      <c r="R112" s="114"/>
      <c r="S112" s="114"/>
      <c r="T112" s="114"/>
      <c r="U112" s="115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</row>
    <row r="113" ht="14.25" customHeight="1">
      <c r="A113" s="1"/>
      <c r="B113" s="1"/>
      <c r="C113" s="1"/>
      <c r="D113" s="24"/>
      <c r="E113" s="43">
        <v>104.0</v>
      </c>
      <c r="F113" s="121"/>
      <c r="G113" s="61"/>
      <c r="H113" s="61"/>
      <c r="I113" s="61"/>
      <c r="J113" s="137">
        <v>10942.0</v>
      </c>
      <c r="K113" s="24"/>
      <c r="L113" s="112"/>
      <c r="M113" s="112"/>
      <c r="N113" s="112"/>
      <c r="O113" s="112"/>
      <c r="P113" s="112"/>
      <c r="Q113" s="113"/>
      <c r="R113" s="114"/>
      <c r="S113" s="114"/>
      <c r="T113" s="114"/>
      <c r="U113" s="115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</row>
    <row r="114" ht="14.25" customHeight="1">
      <c r="A114" s="1"/>
      <c r="B114" s="1"/>
      <c r="C114" s="1"/>
      <c r="D114" s="24"/>
      <c r="E114" s="43">
        <v>105.0</v>
      </c>
      <c r="F114" s="121"/>
      <c r="G114" s="61"/>
      <c r="H114" s="61"/>
      <c r="I114" s="61"/>
      <c r="J114" s="137">
        <v>10943.0</v>
      </c>
      <c r="K114" s="24"/>
      <c r="L114" s="112"/>
      <c r="M114" s="112"/>
      <c r="N114" s="112"/>
      <c r="O114" s="112"/>
      <c r="P114" s="112"/>
      <c r="Q114" s="113"/>
      <c r="R114" s="114"/>
      <c r="S114" s="114"/>
      <c r="T114" s="114"/>
      <c r="U114" s="115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</row>
    <row r="115" ht="14.25" customHeight="1">
      <c r="A115" s="1"/>
      <c r="B115" s="1"/>
      <c r="C115" s="1"/>
      <c r="D115" s="1"/>
      <c r="E115" s="122"/>
      <c r="F115" s="123">
        <f t="shared" ref="F115:I115" si="4">SUM(F10:F114)</f>
        <v>31404</v>
      </c>
      <c r="G115" s="123">
        <f t="shared" si="4"/>
        <v>15921</v>
      </c>
      <c r="H115" s="123">
        <f t="shared" si="4"/>
        <v>13493</v>
      </c>
      <c r="I115" s="123">
        <f t="shared" si="4"/>
        <v>1990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18"/>
      <c r="C116" s="118"/>
      <c r="D116" s="1"/>
      <c r="E116" s="124"/>
      <c r="F116" s="124"/>
      <c r="G116" s="124"/>
      <c r="H116" s="124"/>
      <c r="I116" s="125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18"/>
      <c r="C117" s="1"/>
      <c r="D117" s="1"/>
      <c r="E117" s="8"/>
      <c r="F117" s="8"/>
      <c r="G117" s="8"/>
      <c r="H117" s="8"/>
      <c r="I117" s="8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8"/>
      <c r="F118" s="8"/>
      <c r="G118" s="8"/>
      <c r="H118" s="8"/>
      <c r="I118" s="8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8"/>
      <c r="F119" s="8"/>
      <c r="G119" s="8"/>
      <c r="H119" s="8"/>
      <c r="I119" s="8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8"/>
      <c r="F120" s="8"/>
      <c r="G120" s="8"/>
      <c r="H120" s="8"/>
      <c r="I120" s="8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8"/>
      <c r="F121" s="8"/>
      <c r="G121" s="8"/>
      <c r="H121" s="8"/>
      <c r="I121" s="8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26"/>
      <c r="H128" s="12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32">
        <v>45990.0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77760.55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13493.0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68307.0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F113-C15</f>
        <v>33862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G113-W33</f>
        <v>21849</v>
      </c>
      <c r="D10" s="24"/>
      <c r="E10" s="43">
        <v>1.0</v>
      </c>
      <c r="F10" s="44">
        <v>20.0</v>
      </c>
      <c r="G10" s="45"/>
      <c r="H10" s="45">
        <v>20.0</v>
      </c>
      <c r="I10" s="45"/>
      <c r="J10" s="137">
        <v>10932.0</v>
      </c>
      <c r="K10" s="24"/>
      <c r="L10" s="47">
        <v>399.0</v>
      </c>
      <c r="M10" s="47"/>
      <c r="N10" s="47">
        <v>9902.0</v>
      </c>
      <c r="O10" s="49"/>
      <c r="P10" s="85" t="s">
        <v>256</v>
      </c>
      <c r="Q10" s="51"/>
      <c r="R10" s="52">
        <v>100.0</v>
      </c>
      <c r="S10" s="53"/>
      <c r="T10" s="54"/>
      <c r="U10" s="55"/>
      <c r="V10" s="24"/>
      <c r="W10" s="47">
        <v>533.0</v>
      </c>
      <c r="X10" s="47"/>
      <c r="Y10" s="47">
        <v>148.0</v>
      </c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H113-X33</f>
        <v>9856</v>
      </c>
      <c r="D11" s="24"/>
      <c r="E11" s="43">
        <v>2.0</v>
      </c>
      <c r="F11" s="56">
        <v>150.0</v>
      </c>
      <c r="G11" s="57">
        <v>150.0</v>
      </c>
      <c r="H11" s="58"/>
      <c r="I11" s="59"/>
      <c r="J11" s="137">
        <v>10933.0</v>
      </c>
      <c r="K11" s="24"/>
      <c r="L11" s="47">
        <v>555.0</v>
      </c>
      <c r="M11" s="48"/>
      <c r="N11" s="47">
        <v>10908.0</v>
      </c>
      <c r="O11" s="49"/>
      <c r="P11" s="72" t="s">
        <v>204</v>
      </c>
      <c r="Q11" s="51"/>
      <c r="R11" s="52">
        <v>1000.0</v>
      </c>
      <c r="S11" s="53"/>
      <c r="T11" s="61"/>
      <c r="U11" s="62"/>
      <c r="V11" s="24"/>
      <c r="W11" s="47">
        <v>72.0</v>
      </c>
      <c r="X11" s="47"/>
      <c r="Y11" s="47">
        <v>149.0</v>
      </c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I113</f>
        <v>2157</v>
      </c>
      <c r="D12" s="24"/>
      <c r="E12" s="43">
        <v>3.0</v>
      </c>
      <c r="F12" s="63">
        <v>248.0</v>
      </c>
      <c r="G12" s="64">
        <v>248.0</v>
      </c>
      <c r="H12" s="64"/>
      <c r="I12" s="65"/>
      <c r="J12" s="137">
        <v>10934.0</v>
      </c>
      <c r="K12" s="24"/>
      <c r="L12" s="48"/>
      <c r="M12" s="48"/>
      <c r="N12" s="48"/>
      <c r="O12" s="49"/>
      <c r="P12" s="72" t="s">
        <v>252</v>
      </c>
      <c r="Q12" s="51"/>
      <c r="R12" s="52">
        <v>100.0</v>
      </c>
      <c r="S12" s="52"/>
      <c r="T12" s="61"/>
      <c r="U12" s="62"/>
      <c r="V12" s="24"/>
      <c r="W12" s="47">
        <v>73.0</v>
      </c>
      <c r="X12" s="48"/>
      <c r="Y12" s="47">
        <v>150.0</v>
      </c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954</v>
      </c>
      <c r="D13" s="24"/>
      <c r="E13" s="43">
        <v>4.0</v>
      </c>
      <c r="F13" s="56">
        <v>366.0</v>
      </c>
      <c r="G13" s="64">
        <v>366.0</v>
      </c>
      <c r="H13" s="65"/>
      <c r="I13" s="65"/>
      <c r="J13" s="174">
        <v>10935.0</v>
      </c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>
        <v>11.0</v>
      </c>
      <c r="G14" s="64">
        <v>11.0</v>
      </c>
      <c r="H14" s="65"/>
      <c r="I14" s="65"/>
      <c r="J14" s="137">
        <v>10936.0</v>
      </c>
      <c r="K14" s="24"/>
      <c r="L14" s="48"/>
      <c r="M14" s="48"/>
      <c r="N14" s="48"/>
      <c r="O14" s="49"/>
      <c r="P14" s="60"/>
      <c r="Q14" s="51"/>
      <c r="R14" s="52" t="s">
        <v>257</v>
      </c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678</v>
      </c>
      <c r="D15" s="24"/>
      <c r="E15" s="43">
        <v>6.0</v>
      </c>
      <c r="F15" s="56">
        <v>1790.0</v>
      </c>
      <c r="G15" s="64"/>
      <c r="H15" s="64">
        <v>1790.0</v>
      </c>
      <c r="I15" s="65"/>
      <c r="J15" s="137">
        <v>10937.0</v>
      </c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1200</v>
      </c>
      <c r="D16" s="24"/>
      <c r="E16" s="43">
        <v>7.0</v>
      </c>
      <c r="F16" s="56">
        <v>284.0</v>
      </c>
      <c r="G16" s="64"/>
      <c r="H16" s="64">
        <v>284.0</v>
      </c>
      <c r="I16" s="65"/>
      <c r="J16" s="174">
        <v>10938.0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1200</v>
      </c>
      <c r="D17" s="24"/>
      <c r="E17" s="43">
        <v>8.0</v>
      </c>
      <c r="F17" s="56">
        <v>143.0</v>
      </c>
      <c r="G17" s="64">
        <v>143.0</v>
      </c>
      <c r="H17" s="64"/>
      <c r="I17" s="65"/>
      <c r="J17" s="137">
        <v>10939.0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130.0</v>
      </c>
      <c r="G18" s="64">
        <v>130.0</v>
      </c>
      <c r="H18" s="64"/>
      <c r="I18" s="65"/>
      <c r="J18" s="137">
        <v>10940.0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145.0</v>
      </c>
      <c r="G19" s="64"/>
      <c r="H19" s="64">
        <v>145.0</v>
      </c>
      <c r="I19" s="65"/>
      <c r="J19" s="174">
        <v>10941.0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69510</v>
      </c>
      <c r="D20" s="24"/>
      <c r="E20" s="43">
        <v>11.0</v>
      </c>
      <c r="F20" s="56">
        <v>285.0</v>
      </c>
      <c r="G20" s="64">
        <v>285.0</v>
      </c>
      <c r="H20" s="64"/>
      <c r="I20" s="65"/>
      <c r="J20" s="137">
        <v>10942.0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23349</v>
      </c>
      <c r="D21" s="24"/>
      <c r="E21" s="43">
        <v>12.0</v>
      </c>
      <c r="F21" s="56">
        <v>42.0</v>
      </c>
      <c r="G21" s="65"/>
      <c r="H21" s="64">
        <v>42.0</v>
      </c>
      <c r="I21" s="65"/>
      <c r="J21" s="137">
        <v>10943.0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95863.55</v>
      </c>
      <c r="D22" s="24"/>
      <c r="E22" s="43">
        <v>13.0</v>
      </c>
      <c r="F22" s="56">
        <v>1734.0</v>
      </c>
      <c r="G22" s="64">
        <v>1734.0</v>
      </c>
      <c r="H22" s="64"/>
      <c r="I22" s="65"/>
      <c r="J22" s="174">
        <v>10944.0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41">
        <v>95863.0</v>
      </c>
      <c r="D23" s="24"/>
      <c r="E23" s="43">
        <v>14.0</v>
      </c>
      <c r="F23" s="56">
        <v>21.0</v>
      </c>
      <c r="G23" s="65"/>
      <c r="H23" s="64">
        <v>21.0</v>
      </c>
      <c r="I23" s="65"/>
      <c r="J23" s="137">
        <v>10945.0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0.55</v>
      </c>
      <c r="D24" s="24"/>
      <c r="E24" s="43">
        <v>15.0</v>
      </c>
      <c r="F24" s="56">
        <v>85.0</v>
      </c>
      <c r="G24" s="64">
        <v>85.0</v>
      </c>
      <c r="H24" s="65"/>
      <c r="I24" s="65"/>
      <c r="J24" s="137">
        <v>10946.0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135.0</v>
      </c>
      <c r="G25" s="64">
        <v>135.0</v>
      </c>
      <c r="H25" s="65"/>
      <c r="I25" s="65"/>
      <c r="J25" s="174">
        <v>10947.0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F113</f>
        <v>34540</v>
      </c>
      <c r="D26" s="24"/>
      <c r="E26" s="43">
        <v>17.0</v>
      </c>
      <c r="F26" s="56">
        <v>139.0</v>
      </c>
      <c r="G26" s="64">
        <v>139.0</v>
      </c>
      <c r="H26" s="65"/>
      <c r="I26" s="65"/>
      <c r="J26" s="137">
        <v>10948.0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95.0</v>
      </c>
      <c r="D27" s="24"/>
      <c r="E27" s="43">
        <v>18.0</v>
      </c>
      <c r="F27" s="56">
        <v>328.0</v>
      </c>
      <c r="G27" s="64">
        <v>328.0</v>
      </c>
      <c r="H27" s="65"/>
      <c r="I27" s="65"/>
      <c r="J27" s="137">
        <v>10949.0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363.5789474</v>
      </c>
      <c r="D28" s="24"/>
      <c r="E28" s="43">
        <v>19.0</v>
      </c>
      <c r="F28" s="56">
        <v>348.0</v>
      </c>
      <c r="G28" s="64"/>
      <c r="H28" s="65"/>
      <c r="I28" s="64">
        <v>348.0</v>
      </c>
      <c r="J28" s="137" t="s">
        <v>258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1375.0</v>
      </c>
      <c r="G29" s="64"/>
      <c r="H29" s="64">
        <v>1375.0</v>
      </c>
      <c r="I29" s="65"/>
      <c r="J29" s="137">
        <v>10951.0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238.0</v>
      </c>
      <c r="G30" s="93">
        <v>238.0</v>
      </c>
      <c r="H30" s="92"/>
      <c r="I30" s="93"/>
      <c r="J30" s="137">
        <v>10952.0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>
        <v>84.0</v>
      </c>
      <c r="G31" s="93"/>
      <c r="H31" s="93">
        <v>84.0</v>
      </c>
      <c r="I31" s="92"/>
      <c r="J31" s="137">
        <v>10953.0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1200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>
        <f>R34</f>
        <v>3500</v>
      </c>
      <c r="D32" s="24"/>
      <c r="E32" s="43">
        <v>23.0</v>
      </c>
      <c r="F32" s="56">
        <v>153.0</v>
      </c>
      <c r="G32" s="93">
        <v>153.0</v>
      </c>
      <c r="H32" s="92"/>
      <c r="I32" s="92"/>
      <c r="J32" s="137">
        <v>10954.0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915.0</v>
      </c>
      <c r="G33" s="93"/>
      <c r="H33" s="93">
        <v>915.0</v>
      </c>
      <c r="I33" s="92"/>
      <c r="J33" s="137">
        <v>10955.0</v>
      </c>
      <c r="K33" s="24"/>
      <c r="L33" s="104">
        <f t="shared" ref="L33:M33" si="2">sum(L10:L32)</f>
        <v>954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678</v>
      </c>
      <c r="X33" s="104">
        <f t="shared" si="3"/>
        <v>0</v>
      </c>
      <c r="Y33" s="104">
        <f>W33+X33</f>
        <v>678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248.0</v>
      </c>
      <c r="G34" s="93">
        <v>248.0</v>
      </c>
      <c r="H34" s="92"/>
      <c r="I34" s="92"/>
      <c r="J34" s="174">
        <v>10956.0</v>
      </c>
      <c r="K34" s="24"/>
      <c r="L34" s="106"/>
      <c r="M34" s="106"/>
      <c r="N34" s="106"/>
      <c r="O34" s="106"/>
      <c r="P34" s="85" t="s">
        <v>40</v>
      </c>
      <c r="Q34" s="107"/>
      <c r="R34" s="144">
        <v>3500.0</v>
      </c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63.0</v>
      </c>
      <c r="G35" s="93">
        <v>63.0</v>
      </c>
      <c r="H35" s="93"/>
      <c r="I35" s="92"/>
      <c r="J35" s="137">
        <v>10957.0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22.0</v>
      </c>
      <c r="G36" s="93">
        <v>22.0</v>
      </c>
      <c r="H36" s="93"/>
      <c r="I36" s="92"/>
      <c r="J36" s="137">
        <v>10958.0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187.0</v>
      </c>
      <c r="G37" s="93">
        <v>187.0</v>
      </c>
      <c r="H37" s="92"/>
      <c r="I37" s="92"/>
      <c r="J37" s="174">
        <v>10959.0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39.0</v>
      </c>
      <c r="G38" s="93">
        <v>5.0</v>
      </c>
      <c r="H38" s="93">
        <v>34.0</v>
      </c>
      <c r="I38" s="92"/>
      <c r="J38" s="137">
        <v>10960.0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110.0</v>
      </c>
      <c r="G39" s="93"/>
      <c r="H39" s="93">
        <v>110.0</v>
      </c>
      <c r="I39" s="92"/>
      <c r="J39" s="137">
        <v>10961.0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382.0</v>
      </c>
      <c r="G40" s="92"/>
      <c r="H40" s="93">
        <v>382.0</v>
      </c>
      <c r="I40" s="92"/>
      <c r="J40" s="174">
        <v>10962.0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245.0</v>
      </c>
      <c r="G41" s="93">
        <v>245.0</v>
      </c>
      <c r="H41" s="93"/>
      <c r="I41" s="92"/>
      <c r="J41" s="137">
        <v>10963.0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131.0</v>
      </c>
      <c r="G42" s="93">
        <v>131.0</v>
      </c>
      <c r="H42" s="93"/>
      <c r="I42" s="92"/>
      <c r="J42" s="137">
        <v>10964.0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142.0</v>
      </c>
      <c r="G43" s="93"/>
      <c r="H43" s="93">
        <v>142.0</v>
      </c>
      <c r="I43" s="92"/>
      <c r="J43" s="174">
        <v>10965.0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82.0</v>
      </c>
      <c r="G44" s="92"/>
      <c r="H44" s="93">
        <v>82.0</v>
      </c>
      <c r="I44" s="92"/>
      <c r="J44" s="174">
        <v>10966.0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18.0</v>
      </c>
      <c r="G45" s="93">
        <v>18.0</v>
      </c>
      <c r="H45" s="92"/>
      <c r="I45" s="92"/>
      <c r="J45" s="137">
        <v>10967.0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145.0</v>
      </c>
      <c r="G46" s="93">
        <v>145.0</v>
      </c>
      <c r="H46" s="92"/>
      <c r="I46" s="92"/>
      <c r="J46" s="137">
        <v>10968.0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822.0</v>
      </c>
      <c r="G47" s="92"/>
      <c r="H47" s="93">
        <v>822.0</v>
      </c>
      <c r="I47" s="92"/>
      <c r="J47" s="174">
        <v>10969.0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40.0</v>
      </c>
      <c r="G48" s="93">
        <v>40.0</v>
      </c>
      <c r="H48" s="92"/>
      <c r="I48" s="92"/>
      <c r="J48" s="137">
        <v>10970.0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30.0</v>
      </c>
      <c r="G49" s="93">
        <v>30.0</v>
      </c>
      <c r="H49" s="92"/>
      <c r="I49" s="92"/>
      <c r="J49" s="137">
        <v>10971.0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383.0</v>
      </c>
      <c r="G50" s="92"/>
      <c r="H50" s="93">
        <v>383.0</v>
      </c>
      <c r="I50" s="92"/>
      <c r="J50" s="174">
        <v>10972.0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776.0</v>
      </c>
      <c r="G51" s="93">
        <v>776.0</v>
      </c>
      <c r="H51" s="92"/>
      <c r="I51" s="92"/>
      <c r="J51" s="137">
        <v>10973.0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157.0</v>
      </c>
      <c r="G52" s="93">
        <v>157.0</v>
      </c>
      <c r="H52" s="92"/>
      <c r="I52" s="92"/>
      <c r="J52" s="137">
        <v>10974.0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110.0</v>
      </c>
      <c r="G53" s="92"/>
      <c r="H53" s="93">
        <v>110.0</v>
      </c>
      <c r="I53" s="92"/>
      <c r="J53" s="174">
        <v>10975.0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1080.0</v>
      </c>
      <c r="G54" s="93">
        <v>1080.0</v>
      </c>
      <c r="H54" s="92"/>
      <c r="I54" s="92"/>
      <c r="J54" s="137">
        <v>10976.0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635.0</v>
      </c>
      <c r="G55" s="93">
        <v>635.0</v>
      </c>
      <c r="H55" s="92"/>
      <c r="I55" s="92"/>
      <c r="J55" s="137">
        <v>10977.0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149.0</v>
      </c>
      <c r="G56" s="93">
        <v>149.0</v>
      </c>
      <c r="H56" s="92"/>
      <c r="I56" s="92"/>
      <c r="J56" s="174">
        <v>10978.0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779.0</v>
      </c>
      <c r="G57" s="93">
        <v>779.0</v>
      </c>
      <c r="H57" s="92"/>
      <c r="I57" s="92"/>
      <c r="J57" s="137">
        <v>10979.0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198.0</v>
      </c>
      <c r="G58" s="93">
        <v>198.0</v>
      </c>
      <c r="H58" s="92"/>
      <c r="I58" s="92"/>
      <c r="J58" s="137">
        <v>10980.0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38.0</v>
      </c>
      <c r="G59" s="93">
        <v>38.0</v>
      </c>
      <c r="H59" s="92"/>
      <c r="I59" s="92"/>
      <c r="J59" s="174">
        <v>10981.0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910.0</v>
      </c>
      <c r="G60" s="93">
        <v>910.0</v>
      </c>
      <c r="H60" s="92"/>
      <c r="I60" s="92"/>
      <c r="J60" s="137">
        <v>10982.0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145.0</v>
      </c>
      <c r="G61" s="93">
        <v>0.0</v>
      </c>
      <c r="H61" s="93">
        <v>145.0</v>
      </c>
      <c r="I61" s="92"/>
      <c r="J61" s="137">
        <v>10983.0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184.0</v>
      </c>
      <c r="G62" s="93">
        <v>184.0</v>
      </c>
      <c r="H62" s="92"/>
      <c r="I62" s="92"/>
      <c r="J62" s="174">
        <v>10984.0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466.0</v>
      </c>
      <c r="G63" s="93">
        <v>466.0</v>
      </c>
      <c r="H63" s="92"/>
      <c r="I63" s="92"/>
      <c r="J63" s="137">
        <v>10985.0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5.0</v>
      </c>
      <c r="G64" s="93">
        <v>5.0</v>
      </c>
      <c r="H64" s="92"/>
      <c r="I64" s="92"/>
      <c r="J64" s="137">
        <v>10986.0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283.0</v>
      </c>
      <c r="G65" s="93">
        <v>283.0</v>
      </c>
      <c r="H65" s="92"/>
      <c r="I65" s="92"/>
      <c r="J65" s="174">
        <v>10987.0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91.0</v>
      </c>
      <c r="G66" s="93">
        <v>91.0</v>
      </c>
      <c r="H66" s="92"/>
      <c r="I66" s="92"/>
      <c r="J66" s="137">
        <v>10988.0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64.0</v>
      </c>
      <c r="G67" s="93">
        <v>64.0</v>
      </c>
      <c r="H67" s="92"/>
      <c r="I67" s="92"/>
      <c r="J67" s="137">
        <v>10989.0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65.0</v>
      </c>
      <c r="G68" s="93">
        <v>65.0</v>
      </c>
      <c r="H68" s="92"/>
      <c r="I68" s="92"/>
      <c r="J68" s="174">
        <v>10990.0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57.0</v>
      </c>
      <c r="G69" s="93">
        <v>57.0</v>
      </c>
      <c r="H69" s="92"/>
      <c r="I69" s="92"/>
      <c r="J69" s="137">
        <v>10991.0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368.0</v>
      </c>
      <c r="G70" s="92"/>
      <c r="H70" s="92"/>
      <c r="I70" s="93">
        <v>368.0</v>
      </c>
      <c r="J70" s="137" t="s">
        <v>259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56">
        <v>87.0</v>
      </c>
      <c r="G71" s="93">
        <v>87.0</v>
      </c>
      <c r="H71" s="92"/>
      <c r="I71" s="92"/>
      <c r="J71" s="174">
        <v>10993.0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56">
        <v>572.0</v>
      </c>
      <c r="G72" s="92"/>
      <c r="H72" s="92"/>
      <c r="I72" s="93">
        <v>572.0</v>
      </c>
      <c r="J72" s="137" t="s">
        <v>260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56">
        <v>4.0</v>
      </c>
      <c r="G73" s="93">
        <v>4.0</v>
      </c>
      <c r="H73" s="92"/>
      <c r="I73" s="92"/>
      <c r="J73" s="137">
        <v>10995.0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56">
        <v>1958.0</v>
      </c>
      <c r="G74" s="93">
        <v>1958.0</v>
      </c>
      <c r="H74" s="92"/>
      <c r="I74" s="92"/>
      <c r="J74" s="174">
        <v>10996.0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56">
        <v>80.0</v>
      </c>
      <c r="G75" s="93">
        <v>80.0</v>
      </c>
      <c r="H75" s="92"/>
      <c r="I75" s="92"/>
      <c r="J75" s="137">
        <v>10997.0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56">
        <v>507.0</v>
      </c>
      <c r="G76" s="93">
        <v>507.0</v>
      </c>
      <c r="H76" s="92"/>
      <c r="I76" s="92"/>
      <c r="J76" s="137">
        <v>10998.0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56">
        <v>188.0</v>
      </c>
      <c r="G77" s="93">
        <v>188.0</v>
      </c>
      <c r="H77" s="92"/>
      <c r="I77" s="92"/>
      <c r="J77" s="174">
        <v>10999.0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56">
        <v>668.0</v>
      </c>
      <c r="G78" s="93">
        <v>668.0</v>
      </c>
      <c r="H78" s="92"/>
      <c r="I78" s="92"/>
      <c r="J78" s="174">
        <v>11000.0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56">
        <v>37.0</v>
      </c>
      <c r="G79" s="92"/>
      <c r="H79" s="93">
        <v>37.0</v>
      </c>
      <c r="I79" s="92"/>
      <c r="J79" s="137">
        <v>11001.0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56">
        <v>40.0</v>
      </c>
      <c r="G80" s="92"/>
      <c r="H80" s="93">
        <v>40.0</v>
      </c>
      <c r="I80" s="92"/>
      <c r="J80" s="137">
        <v>11002.0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56">
        <v>1983.0</v>
      </c>
      <c r="G81" s="93">
        <v>1983.0</v>
      </c>
      <c r="H81" s="92"/>
      <c r="I81" s="92"/>
      <c r="J81" s="174">
        <v>11003.0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49">
        <v>639.0</v>
      </c>
      <c r="G82" s="54">
        <v>639.0</v>
      </c>
      <c r="H82" s="61"/>
      <c r="I82" s="61"/>
      <c r="J82" s="137">
        <v>11004.0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49">
        <v>959.0</v>
      </c>
      <c r="G83" s="54">
        <v>959.0</v>
      </c>
      <c r="H83" s="61"/>
      <c r="I83" s="61"/>
      <c r="J83" s="137">
        <v>11005.0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49">
        <v>432.0</v>
      </c>
      <c r="G84" s="54"/>
      <c r="H84" s="54">
        <v>432.0</v>
      </c>
      <c r="I84" s="61"/>
      <c r="J84" s="174">
        <v>11006.0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49">
        <v>571.0</v>
      </c>
      <c r="G85" s="54">
        <v>571.0</v>
      </c>
      <c r="H85" s="61"/>
      <c r="I85" s="61"/>
      <c r="J85" s="137">
        <v>11007.0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49">
        <v>510.0</v>
      </c>
      <c r="G86" s="54">
        <v>510.0</v>
      </c>
      <c r="H86" s="61"/>
      <c r="I86" s="61"/>
      <c r="J86" s="137">
        <v>11008.0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49">
        <v>45.0</v>
      </c>
      <c r="G87" s="54">
        <v>45.0</v>
      </c>
      <c r="H87" s="61"/>
      <c r="I87" s="61"/>
      <c r="J87" s="174">
        <v>11009.0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49">
        <v>14.0</v>
      </c>
      <c r="G88" s="54">
        <v>14.0</v>
      </c>
      <c r="H88" s="61"/>
      <c r="I88" s="61"/>
      <c r="J88" s="137">
        <v>11010.0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49">
        <v>224.0</v>
      </c>
      <c r="G89" s="54"/>
      <c r="H89" s="54">
        <v>224.0</v>
      </c>
      <c r="I89" s="61"/>
      <c r="J89" s="137">
        <v>11011.0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49">
        <v>161.0</v>
      </c>
      <c r="G90" s="54">
        <v>161.0</v>
      </c>
      <c r="H90" s="61"/>
      <c r="I90" s="61"/>
      <c r="J90" s="174">
        <v>11012.0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49">
        <v>1000.0</v>
      </c>
      <c r="G91" s="61"/>
      <c r="H91" s="54">
        <v>1000.0</v>
      </c>
      <c r="I91" s="54"/>
      <c r="J91" s="137">
        <v>11013.0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49">
        <v>2036.0</v>
      </c>
      <c r="G92" s="54">
        <v>2036.0</v>
      </c>
      <c r="H92" s="61"/>
      <c r="I92" s="54"/>
      <c r="J92" s="137">
        <v>11014.0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49">
        <v>134.0</v>
      </c>
      <c r="G93" s="54"/>
      <c r="H93" s="54">
        <v>134.0</v>
      </c>
      <c r="I93" s="61"/>
      <c r="J93" s="174">
        <v>11015.0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49">
        <v>231.0</v>
      </c>
      <c r="G94" s="54">
        <v>231.0</v>
      </c>
      <c r="H94" s="54"/>
      <c r="I94" s="61"/>
      <c r="J94" s="137">
        <v>11016.0</v>
      </c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49">
        <v>201.0</v>
      </c>
      <c r="G95" s="54"/>
      <c r="H95" s="61"/>
      <c r="I95" s="54">
        <v>201.0</v>
      </c>
      <c r="J95" s="137">
        <v>11017.0</v>
      </c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49">
        <v>335.0</v>
      </c>
      <c r="G96" s="54"/>
      <c r="H96" s="54"/>
      <c r="I96" s="54">
        <v>335.0</v>
      </c>
      <c r="J96" s="174">
        <v>11018.0</v>
      </c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24"/>
      <c r="E97" s="43">
        <v>88.0</v>
      </c>
      <c r="F97" s="149">
        <v>333.0</v>
      </c>
      <c r="G97" s="61"/>
      <c r="H97" s="61"/>
      <c r="I97" s="54">
        <v>333.0</v>
      </c>
      <c r="J97" s="137" t="s">
        <v>261</v>
      </c>
      <c r="K97" s="24"/>
      <c r="L97" s="112"/>
      <c r="M97" s="112"/>
      <c r="N97" s="112"/>
      <c r="O97" s="112"/>
      <c r="P97" s="112"/>
      <c r="Q97" s="113"/>
      <c r="R97" s="114"/>
      <c r="S97" s="114"/>
      <c r="T97" s="114"/>
      <c r="U97" s="115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</row>
    <row r="98" ht="14.25" customHeight="1">
      <c r="A98" s="1"/>
      <c r="B98" s="1"/>
      <c r="C98" s="1"/>
      <c r="D98" s="24"/>
      <c r="E98" s="43">
        <v>89.0</v>
      </c>
      <c r="F98" s="149">
        <v>249.0</v>
      </c>
      <c r="G98" s="54">
        <v>249.0</v>
      </c>
      <c r="H98" s="61"/>
      <c r="I98" s="61"/>
      <c r="J98" s="137">
        <v>11020.0</v>
      </c>
      <c r="K98" s="24"/>
      <c r="L98" s="112"/>
      <c r="M98" s="112"/>
      <c r="N98" s="112"/>
      <c r="O98" s="112"/>
      <c r="P98" s="112"/>
      <c r="Q98" s="113"/>
      <c r="R98" s="114"/>
      <c r="S98" s="114"/>
      <c r="T98" s="114"/>
      <c r="U98" s="115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</row>
    <row r="99" ht="14.25" customHeight="1">
      <c r="A99" s="1"/>
      <c r="B99" s="1"/>
      <c r="C99" s="1"/>
      <c r="D99" s="24"/>
      <c r="E99" s="43">
        <v>90.0</v>
      </c>
      <c r="F99" s="149">
        <v>315.0</v>
      </c>
      <c r="G99" s="61"/>
      <c r="H99" s="54">
        <v>315.0</v>
      </c>
      <c r="I99" s="61"/>
      <c r="J99" s="174">
        <v>11021.0</v>
      </c>
      <c r="K99" s="24"/>
      <c r="L99" s="112"/>
      <c r="M99" s="112"/>
      <c r="N99" s="112"/>
      <c r="O99" s="112"/>
      <c r="P99" s="112"/>
      <c r="Q99" s="113"/>
      <c r="R99" s="114"/>
      <c r="S99" s="114"/>
      <c r="T99" s="114"/>
      <c r="U99" s="115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</row>
    <row r="100" ht="14.25" customHeight="1">
      <c r="A100" s="1"/>
      <c r="B100" s="1"/>
      <c r="C100" s="1"/>
      <c r="D100" s="24"/>
      <c r="E100" s="43">
        <v>91.0</v>
      </c>
      <c r="F100" s="149">
        <v>190.0</v>
      </c>
      <c r="G100" s="54">
        <v>190.0</v>
      </c>
      <c r="H100" s="61"/>
      <c r="I100" s="61"/>
      <c r="J100" s="137">
        <v>11022.0</v>
      </c>
      <c r="K100" s="24"/>
      <c r="L100" s="112"/>
      <c r="M100" s="112"/>
      <c r="N100" s="112"/>
      <c r="O100" s="112"/>
      <c r="P100" s="112"/>
      <c r="Q100" s="113"/>
      <c r="R100" s="114"/>
      <c r="S100" s="114"/>
      <c r="T100" s="114"/>
      <c r="U100" s="115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</row>
    <row r="101" ht="14.25" customHeight="1">
      <c r="A101" s="1"/>
      <c r="B101" s="1"/>
      <c r="C101" s="1"/>
      <c r="D101" s="24"/>
      <c r="E101" s="43">
        <v>92.0</v>
      </c>
      <c r="F101" s="149">
        <v>145.0</v>
      </c>
      <c r="G101" s="61"/>
      <c r="H101" s="54">
        <v>145.0</v>
      </c>
      <c r="I101" s="61"/>
      <c r="J101" s="137">
        <v>11023.0</v>
      </c>
      <c r="K101" s="24"/>
      <c r="L101" s="112"/>
      <c r="M101" s="112"/>
      <c r="N101" s="112"/>
      <c r="O101" s="112"/>
      <c r="P101" s="112"/>
      <c r="Q101" s="113"/>
      <c r="R101" s="114"/>
      <c r="S101" s="114"/>
      <c r="T101" s="114"/>
      <c r="U101" s="115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</row>
    <row r="102" ht="14.25" customHeight="1">
      <c r="A102" s="1"/>
      <c r="B102" s="1"/>
      <c r="C102" s="1"/>
      <c r="D102" s="24"/>
      <c r="E102" s="43">
        <v>93.0</v>
      </c>
      <c r="F102" s="149">
        <v>231.0</v>
      </c>
      <c r="G102" s="54">
        <v>231.0</v>
      </c>
      <c r="H102" s="61"/>
      <c r="I102" s="61"/>
      <c r="J102" s="174">
        <v>11024.0</v>
      </c>
      <c r="K102" s="24"/>
      <c r="L102" s="112"/>
      <c r="M102" s="112"/>
      <c r="N102" s="112"/>
      <c r="O102" s="112"/>
      <c r="P102" s="112"/>
      <c r="Q102" s="113"/>
      <c r="R102" s="114"/>
      <c r="S102" s="114"/>
      <c r="T102" s="114"/>
      <c r="U102" s="115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</row>
    <row r="103" ht="14.25" customHeight="1">
      <c r="A103" s="1"/>
      <c r="B103" s="1"/>
      <c r="C103" s="1"/>
      <c r="D103" s="24"/>
      <c r="E103" s="43">
        <v>94.0</v>
      </c>
      <c r="F103" s="149">
        <v>346.0</v>
      </c>
      <c r="G103" s="61"/>
      <c r="H103" s="54">
        <v>346.0</v>
      </c>
      <c r="I103" s="61"/>
      <c r="J103" s="137">
        <v>11025.0</v>
      </c>
      <c r="K103" s="24"/>
      <c r="L103" s="112"/>
      <c r="M103" s="112"/>
      <c r="N103" s="112"/>
      <c r="O103" s="112"/>
      <c r="P103" s="112"/>
      <c r="Q103" s="113"/>
      <c r="R103" s="114"/>
      <c r="S103" s="114"/>
      <c r="T103" s="114"/>
      <c r="U103" s="115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</row>
    <row r="104" ht="14.25" customHeight="1">
      <c r="A104" s="1"/>
      <c r="B104" s="1"/>
      <c r="C104" s="1"/>
      <c r="D104" s="24"/>
      <c r="E104" s="43">
        <v>95.0</v>
      </c>
      <c r="F104" s="149">
        <v>297.0</v>
      </c>
      <c r="G104" s="61"/>
      <c r="H104" s="54">
        <v>297.0</v>
      </c>
      <c r="I104" s="61"/>
      <c r="J104" s="137">
        <v>11026.0</v>
      </c>
      <c r="K104" s="24"/>
      <c r="L104" s="112"/>
      <c r="M104" s="112"/>
      <c r="N104" s="112"/>
      <c r="O104" s="112"/>
      <c r="P104" s="112"/>
      <c r="Q104" s="113"/>
      <c r="R104" s="114"/>
      <c r="S104" s="114"/>
      <c r="T104" s="114"/>
      <c r="U104" s="115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</row>
    <row r="105" ht="14.25" customHeight="1">
      <c r="A105" s="1"/>
      <c r="B105" s="1"/>
      <c r="C105" s="1"/>
      <c r="D105" s="24"/>
      <c r="E105" s="43">
        <v>96.0</v>
      </c>
      <c r="F105" s="121"/>
      <c r="G105" s="61"/>
      <c r="H105" s="61"/>
      <c r="I105" s="61"/>
      <c r="J105" s="137">
        <v>11027.0</v>
      </c>
      <c r="K105" s="24"/>
      <c r="L105" s="112"/>
      <c r="M105" s="112"/>
      <c r="N105" s="112"/>
      <c r="O105" s="112"/>
      <c r="P105" s="112"/>
      <c r="Q105" s="113"/>
      <c r="R105" s="114"/>
      <c r="S105" s="114"/>
      <c r="T105" s="114"/>
      <c r="U105" s="115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</row>
    <row r="106" ht="14.25" customHeight="1">
      <c r="A106" s="1"/>
      <c r="B106" s="1"/>
      <c r="C106" s="1"/>
      <c r="D106" s="24"/>
      <c r="E106" s="43">
        <v>97.0</v>
      </c>
      <c r="F106" s="121"/>
      <c r="G106" s="61"/>
      <c r="H106" s="61"/>
      <c r="I106" s="61"/>
      <c r="J106" s="137">
        <v>11028.0</v>
      </c>
      <c r="K106" s="24"/>
      <c r="L106" s="112"/>
      <c r="M106" s="112"/>
      <c r="N106" s="112"/>
      <c r="O106" s="112"/>
      <c r="P106" s="112"/>
      <c r="Q106" s="113"/>
      <c r="R106" s="114"/>
      <c r="S106" s="114"/>
      <c r="T106" s="114"/>
      <c r="U106" s="115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</row>
    <row r="107" ht="14.25" customHeight="1">
      <c r="A107" s="1"/>
      <c r="B107" s="1"/>
      <c r="C107" s="1"/>
      <c r="D107" s="24"/>
      <c r="E107" s="43">
        <v>98.0</v>
      </c>
      <c r="F107" s="121"/>
      <c r="G107" s="61"/>
      <c r="H107" s="61"/>
      <c r="I107" s="61"/>
      <c r="J107" s="137">
        <v>11029.0</v>
      </c>
      <c r="K107" s="24"/>
      <c r="L107" s="112"/>
      <c r="M107" s="112"/>
      <c r="N107" s="112"/>
      <c r="O107" s="112"/>
      <c r="P107" s="112"/>
      <c r="Q107" s="113"/>
      <c r="R107" s="114"/>
      <c r="S107" s="114"/>
      <c r="T107" s="114"/>
      <c r="U107" s="115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</row>
    <row r="108" ht="14.25" customHeight="1">
      <c r="A108" s="1"/>
      <c r="B108" s="1"/>
      <c r="C108" s="1"/>
      <c r="D108" s="24"/>
      <c r="E108" s="43">
        <v>99.0</v>
      </c>
      <c r="F108" s="121"/>
      <c r="G108" s="61"/>
      <c r="H108" s="61"/>
      <c r="I108" s="61"/>
      <c r="J108" s="174">
        <v>11030.0</v>
      </c>
      <c r="K108" s="24"/>
      <c r="L108" s="112"/>
      <c r="M108" s="112"/>
      <c r="N108" s="112"/>
      <c r="O108" s="112"/>
      <c r="P108" s="112"/>
      <c r="Q108" s="113"/>
      <c r="R108" s="114"/>
      <c r="S108" s="114"/>
      <c r="T108" s="114"/>
      <c r="U108" s="115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</row>
    <row r="109" ht="14.25" customHeight="1">
      <c r="A109" s="1"/>
      <c r="B109" s="1"/>
      <c r="C109" s="1"/>
      <c r="D109" s="24"/>
      <c r="E109" s="43">
        <v>100.0</v>
      </c>
      <c r="F109" s="121"/>
      <c r="G109" s="61"/>
      <c r="H109" s="61"/>
      <c r="I109" s="61"/>
      <c r="J109" s="137">
        <v>11031.0</v>
      </c>
      <c r="K109" s="24"/>
      <c r="L109" s="112"/>
      <c r="M109" s="112"/>
      <c r="N109" s="112"/>
      <c r="O109" s="112"/>
      <c r="P109" s="112"/>
      <c r="Q109" s="113"/>
      <c r="R109" s="114"/>
      <c r="S109" s="114"/>
      <c r="T109" s="114"/>
      <c r="U109" s="115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</row>
    <row r="110" ht="14.25" customHeight="1">
      <c r="A110" s="1"/>
      <c r="B110" s="1"/>
      <c r="C110" s="1"/>
      <c r="D110" s="24"/>
      <c r="E110" s="43">
        <v>101.0</v>
      </c>
      <c r="F110" s="121"/>
      <c r="G110" s="61"/>
      <c r="H110" s="61"/>
      <c r="I110" s="61"/>
      <c r="J110" s="137">
        <v>11032.0</v>
      </c>
      <c r="K110" s="24"/>
      <c r="L110" s="112"/>
      <c r="M110" s="112"/>
      <c r="N110" s="112"/>
      <c r="O110" s="112"/>
      <c r="P110" s="112"/>
      <c r="Q110" s="113"/>
      <c r="R110" s="114"/>
      <c r="S110" s="114"/>
      <c r="T110" s="114"/>
      <c r="U110" s="115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</row>
    <row r="111" ht="14.25" customHeight="1">
      <c r="A111" s="1"/>
      <c r="B111" s="1"/>
      <c r="C111" s="1"/>
      <c r="D111" s="24"/>
      <c r="E111" s="43">
        <v>102.0</v>
      </c>
      <c r="F111" s="121"/>
      <c r="G111" s="61"/>
      <c r="H111" s="61"/>
      <c r="I111" s="61"/>
      <c r="J111" s="174">
        <v>11033.0</v>
      </c>
      <c r="K111" s="24"/>
      <c r="L111" s="112"/>
      <c r="M111" s="112"/>
      <c r="N111" s="112"/>
      <c r="O111" s="112"/>
      <c r="P111" s="112"/>
      <c r="Q111" s="113"/>
      <c r="R111" s="114"/>
      <c r="S111" s="114"/>
      <c r="T111" s="114"/>
      <c r="U111" s="115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</row>
    <row r="112" ht="14.25" customHeight="1">
      <c r="A112" s="1"/>
      <c r="B112" s="1"/>
      <c r="C112" s="1"/>
      <c r="D112" s="24"/>
      <c r="E112" s="43">
        <v>103.0</v>
      </c>
      <c r="F112" s="121"/>
      <c r="G112" s="61"/>
      <c r="H112" s="61"/>
      <c r="I112" s="61"/>
      <c r="J112" s="137">
        <v>11034.0</v>
      </c>
      <c r="K112" s="24"/>
      <c r="L112" s="112"/>
      <c r="M112" s="112"/>
      <c r="N112" s="112"/>
      <c r="O112" s="112"/>
      <c r="P112" s="112"/>
      <c r="Q112" s="113"/>
      <c r="R112" s="114"/>
      <c r="S112" s="114"/>
      <c r="T112" s="114"/>
      <c r="U112" s="115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</row>
    <row r="113" ht="14.25" customHeight="1">
      <c r="A113" s="1"/>
      <c r="B113" s="1"/>
      <c r="C113" s="1"/>
      <c r="D113" s="1"/>
      <c r="E113" s="122"/>
      <c r="F113" s="123">
        <f t="shared" ref="F113:I113" si="4">SUM(F10:F112)</f>
        <v>34540</v>
      </c>
      <c r="G113" s="123">
        <f t="shared" si="4"/>
        <v>22527</v>
      </c>
      <c r="H113" s="123">
        <f t="shared" si="4"/>
        <v>9856</v>
      </c>
      <c r="I113" s="123">
        <f t="shared" si="4"/>
        <v>2157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18"/>
      <c r="C114" s="118"/>
      <c r="D114" s="1"/>
      <c r="E114" s="124"/>
      <c r="F114" s="124"/>
      <c r="G114" s="124"/>
      <c r="H114" s="124"/>
      <c r="I114" s="125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18"/>
      <c r="C115" s="1"/>
      <c r="D115" s="1"/>
      <c r="E115" s="8"/>
      <c r="F115" s="8"/>
      <c r="G115" s="8"/>
      <c r="H115" s="8"/>
      <c r="I115" s="8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8"/>
      <c r="F116" s="8"/>
      <c r="G116" s="8"/>
      <c r="H116" s="8"/>
      <c r="I116" s="8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8"/>
      <c r="F117" s="8"/>
      <c r="G117" s="8"/>
      <c r="H117" s="8"/>
      <c r="I117" s="8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8"/>
      <c r="F118" s="8"/>
      <c r="G118" s="8"/>
      <c r="H118" s="8"/>
      <c r="I118" s="8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8"/>
      <c r="F119" s="8"/>
      <c r="G119" s="8"/>
      <c r="H119" s="8"/>
      <c r="I119" s="8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26"/>
      <c r="H126" s="12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32">
        <v>45991.0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95863.0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23349.0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69510.0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25152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8912</v>
      </c>
      <c r="D10" s="24"/>
      <c r="E10" s="43">
        <v>1.0</v>
      </c>
      <c r="F10" s="44">
        <v>56.0</v>
      </c>
      <c r="G10" s="45">
        <v>56.0</v>
      </c>
      <c r="H10" s="45"/>
      <c r="I10" s="45"/>
      <c r="J10" s="137">
        <v>11027.0</v>
      </c>
      <c r="K10" s="24"/>
      <c r="L10" s="47">
        <v>1435.0</v>
      </c>
      <c r="M10" s="47"/>
      <c r="N10" s="48">
        <v>10929.0</v>
      </c>
      <c r="O10" s="49"/>
      <c r="P10" s="85" t="s">
        <v>252</v>
      </c>
      <c r="Q10" s="51"/>
      <c r="R10" s="52">
        <v>100.0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13735</v>
      </c>
      <c r="D11" s="24"/>
      <c r="E11" s="43">
        <v>2.0</v>
      </c>
      <c r="F11" s="56">
        <v>141.0</v>
      </c>
      <c r="G11" s="57">
        <v>141.0</v>
      </c>
      <c r="H11" s="58"/>
      <c r="I11" s="59"/>
      <c r="J11" s="137">
        <v>11028.0</v>
      </c>
      <c r="K11" s="24"/>
      <c r="L11" s="47">
        <v>65.0</v>
      </c>
      <c r="M11" s="48"/>
      <c r="N11" s="47" t="s">
        <v>262</v>
      </c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2505</v>
      </c>
      <c r="D12" s="24"/>
      <c r="E12" s="43">
        <v>3.0</v>
      </c>
      <c r="F12" s="63">
        <v>53.0</v>
      </c>
      <c r="G12" s="64"/>
      <c r="H12" s="139">
        <v>53.0</v>
      </c>
      <c r="I12" s="65"/>
      <c r="J12" s="137">
        <v>11029.0</v>
      </c>
      <c r="K12" s="24"/>
      <c r="L12" s="48"/>
      <c r="M12" s="48"/>
      <c r="N12" s="48"/>
      <c r="O12" s="49"/>
      <c r="P12" s="72" t="s">
        <v>204</v>
      </c>
      <c r="Q12" s="51"/>
      <c r="R12" s="52">
        <v>300.0</v>
      </c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1500</v>
      </c>
      <c r="D13" s="24"/>
      <c r="E13" s="43">
        <v>4.0</v>
      </c>
      <c r="F13" s="56">
        <v>476.0</v>
      </c>
      <c r="G13" s="64">
        <v>476.0</v>
      </c>
      <c r="H13" s="65"/>
      <c r="I13" s="65"/>
      <c r="J13" s="137">
        <v>11030.0</v>
      </c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>
        <v>313.0</v>
      </c>
      <c r="G14" s="64">
        <v>313.0</v>
      </c>
      <c r="H14" s="65"/>
      <c r="I14" s="65"/>
      <c r="J14" s="137">
        <v>11031.0</v>
      </c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>
        <v>3.0</v>
      </c>
      <c r="G15" s="64">
        <v>3.0</v>
      </c>
      <c r="H15" s="64"/>
      <c r="I15" s="65"/>
      <c r="J15" s="137">
        <v>11032.0</v>
      </c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400</v>
      </c>
      <c r="D16" s="24"/>
      <c r="E16" s="43">
        <v>7.0</v>
      </c>
      <c r="F16" s="56">
        <v>132.0</v>
      </c>
      <c r="G16" s="64">
        <v>132.0</v>
      </c>
      <c r="H16" s="64"/>
      <c r="I16" s="65"/>
      <c r="J16" s="137">
        <v>11033.0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400</v>
      </c>
      <c r="D17" s="24"/>
      <c r="E17" s="43">
        <v>8.0</v>
      </c>
      <c r="F17" s="56">
        <v>631.0</v>
      </c>
      <c r="G17" s="64"/>
      <c r="H17" s="64"/>
      <c r="I17" s="138">
        <v>631.0</v>
      </c>
      <c r="J17" s="161" t="s">
        <v>263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851.0</v>
      </c>
      <c r="G18" s="64">
        <v>851.0</v>
      </c>
      <c r="H18" s="64"/>
      <c r="I18" s="65"/>
      <c r="J18" s="137">
        <v>11035.0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140.0</v>
      </c>
      <c r="G19" s="64"/>
      <c r="H19" s="139">
        <v>140.0</v>
      </c>
      <c r="I19" s="65"/>
      <c r="J19" s="137">
        <v>11036.0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70515</v>
      </c>
      <c r="D20" s="24"/>
      <c r="E20" s="43">
        <v>11.0</v>
      </c>
      <c r="F20" s="56">
        <v>669.0</v>
      </c>
      <c r="G20" s="65"/>
      <c r="H20" s="139">
        <v>669.0</v>
      </c>
      <c r="I20" s="65"/>
      <c r="J20" s="137">
        <v>11037.0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37084</v>
      </c>
      <c r="D21" s="24"/>
      <c r="E21" s="43">
        <v>12.0</v>
      </c>
      <c r="F21" s="56">
        <v>464.0</v>
      </c>
      <c r="G21" s="64">
        <v>464.0</v>
      </c>
      <c r="H21" s="64"/>
      <c r="I21" s="65"/>
      <c r="J21" s="137">
        <v>11038.0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105875</v>
      </c>
      <c r="D22" s="24"/>
      <c r="E22" s="43">
        <v>13.0</v>
      </c>
      <c r="F22" s="56">
        <v>138.0</v>
      </c>
      <c r="G22" s="64">
        <v>138.0</v>
      </c>
      <c r="H22" s="64"/>
      <c r="I22" s="65"/>
      <c r="J22" s="137">
        <v>11039.0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41">
        <v>105875.0</v>
      </c>
      <c r="D23" s="24"/>
      <c r="E23" s="43">
        <v>14.0</v>
      </c>
      <c r="F23" s="56">
        <v>256.0</v>
      </c>
      <c r="G23" s="64">
        <v>256.0</v>
      </c>
      <c r="H23" s="65"/>
      <c r="I23" s="65"/>
      <c r="J23" s="137">
        <v>11040.0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>
        <v>544.0</v>
      </c>
      <c r="G24" s="64"/>
      <c r="H24" s="139">
        <v>544.0</v>
      </c>
      <c r="I24" s="65"/>
      <c r="J24" s="137">
        <v>11041.0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2270.0</v>
      </c>
      <c r="G25" s="64"/>
      <c r="H25" s="139">
        <v>2270.0</v>
      </c>
      <c r="I25" s="65"/>
      <c r="J25" s="137">
        <v>11042.0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25152</v>
      </c>
      <c r="D26" s="24"/>
      <c r="E26" s="43">
        <v>17.0</v>
      </c>
      <c r="F26" s="56">
        <v>13.0</v>
      </c>
      <c r="G26" s="64">
        <v>13.0</v>
      </c>
      <c r="H26" s="65"/>
      <c r="I26" s="65"/>
      <c r="J26" s="137">
        <v>11043.0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80.0</v>
      </c>
      <c r="D27" s="24"/>
      <c r="E27" s="43">
        <v>18.0</v>
      </c>
      <c r="F27" s="56">
        <v>118.0</v>
      </c>
      <c r="G27" s="64">
        <v>118.0</v>
      </c>
      <c r="H27" s="65"/>
      <c r="I27" s="65"/>
      <c r="J27" s="137">
        <v>11044.0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314.4</v>
      </c>
      <c r="D28" s="24"/>
      <c r="E28" s="43">
        <v>19.0</v>
      </c>
      <c r="F28" s="56">
        <v>731.0</v>
      </c>
      <c r="G28" s="64"/>
      <c r="H28" s="139">
        <v>731.0</v>
      </c>
      <c r="I28" s="65"/>
      <c r="J28" s="137">
        <v>11045.0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102.0</v>
      </c>
      <c r="G29" s="64">
        <v>102.0</v>
      </c>
      <c r="H29" s="65"/>
      <c r="I29" s="65"/>
      <c r="J29" s="137">
        <v>11046.0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137.0</v>
      </c>
      <c r="G30" s="93">
        <v>130.0</v>
      </c>
      <c r="H30" s="143">
        <v>7.0</v>
      </c>
      <c r="I30" s="93"/>
      <c r="J30" s="137">
        <v>11047.0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>
        <v>571.0</v>
      </c>
      <c r="G31" s="93"/>
      <c r="H31" s="143">
        <v>571.0</v>
      </c>
      <c r="I31" s="92"/>
      <c r="J31" s="137">
        <v>11048.0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400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>
        <v>238.0</v>
      </c>
      <c r="G32" s="93">
        <v>238.0</v>
      </c>
      <c r="H32" s="92"/>
      <c r="I32" s="92"/>
      <c r="J32" s="137">
        <v>11049.0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714.0</v>
      </c>
      <c r="G33" s="93"/>
      <c r="H33" s="143">
        <v>714.0</v>
      </c>
      <c r="I33" s="92"/>
      <c r="J33" s="137">
        <v>11050.0</v>
      </c>
      <c r="K33" s="24"/>
      <c r="L33" s="104">
        <f t="shared" ref="L33:M33" si="2">sum(L10:L32)</f>
        <v>1500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399.0</v>
      </c>
      <c r="G34" s="93"/>
      <c r="H34" s="143">
        <v>399.0</v>
      </c>
      <c r="I34" s="92"/>
      <c r="J34" s="137">
        <v>11051.0</v>
      </c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45.0</v>
      </c>
      <c r="G35" s="93">
        <v>45.0</v>
      </c>
      <c r="H35" s="93"/>
      <c r="I35" s="92"/>
      <c r="J35" s="137">
        <v>11052.0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630.0</v>
      </c>
      <c r="G36" s="92"/>
      <c r="H36" s="93"/>
      <c r="I36" s="142">
        <v>630.0</v>
      </c>
      <c r="J36" s="161" t="s">
        <v>264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13.0</v>
      </c>
      <c r="G37" s="93"/>
      <c r="H37" s="143">
        <v>13.0</v>
      </c>
      <c r="I37" s="92"/>
      <c r="J37" s="137">
        <v>11054.0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107.0</v>
      </c>
      <c r="G38" s="93">
        <v>107.0</v>
      </c>
      <c r="H38" s="92"/>
      <c r="I38" s="92"/>
      <c r="J38" s="137">
        <v>11055.0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468.0</v>
      </c>
      <c r="G39" s="93"/>
      <c r="H39" s="145">
        <v>468.0</v>
      </c>
      <c r="I39" s="92"/>
      <c r="J39" s="146" t="s">
        <v>265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91.0</v>
      </c>
      <c r="G40" s="93">
        <v>91.0</v>
      </c>
      <c r="H40" s="93"/>
      <c r="I40" s="92"/>
      <c r="J40" s="137">
        <v>11057.0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134.0</v>
      </c>
      <c r="G41" s="93">
        <v>134.0</v>
      </c>
      <c r="H41" s="93"/>
      <c r="I41" s="92"/>
      <c r="J41" s="137">
        <v>11058.0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5.0</v>
      </c>
      <c r="G42" s="93">
        <v>5.0</v>
      </c>
      <c r="H42" s="93"/>
      <c r="I42" s="92"/>
      <c r="J42" s="137">
        <v>11059.0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390.0</v>
      </c>
      <c r="G43" s="93">
        <v>390.0</v>
      </c>
      <c r="H43" s="92"/>
      <c r="I43" s="92"/>
      <c r="J43" s="137">
        <v>11060.0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90.0</v>
      </c>
      <c r="G44" s="93">
        <v>90.0</v>
      </c>
      <c r="H44" s="93"/>
      <c r="I44" s="92"/>
      <c r="J44" s="137">
        <v>11061.0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65.0</v>
      </c>
      <c r="G45" s="93"/>
      <c r="H45" s="143">
        <v>65.0</v>
      </c>
      <c r="I45" s="92"/>
      <c r="J45" s="137">
        <v>11062.0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339.0</v>
      </c>
      <c r="G46" s="93"/>
      <c r="H46" s="92"/>
      <c r="I46" s="142">
        <v>339.0</v>
      </c>
      <c r="J46" s="161" t="s">
        <v>266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1117.0</v>
      </c>
      <c r="G47" s="93">
        <v>100.0</v>
      </c>
      <c r="H47" s="143">
        <v>1017.0</v>
      </c>
      <c r="I47" s="92"/>
      <c r="J47" s="137">
        <v>11064.0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132.0</v>
      </c>
      <c r="G48" s="93">
        <v>132.0</v>
      </c>
      <c r="H48" s="92"/>
      <c r="I48" s="92"/>
      <c r="J48" s="137">
        <v>11065.0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82.0</v>
      </c>
      <c r="G49" s="93">
        <v>82.0</v>
      </c>
      <c r="H49" s="92"/>
      <c r="I49" s="92"/>
      <c r="J49" s="137">
        <v>11066.0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434.0</v>
      </c>
      <c r="G50" s="92"/>
      <c r="H50" s="145">
        <v>434.0</v>
      </c>
      <c r="I50" s="92"/>
      <c r="J50" s="146" t="s">
        <v>267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355.0</v>
      </c>
      <c r="G51" s="93">
        <v>355.0</v>
      </c>
      <c r="H51" s="92"/>
      <c r="I51" s="92"/>
      <c r="J51" s="137">
        <v>11068.0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656.0</v>
      </c>
      <c r="G52" s="92"/>
      <c r="H52" s="143">
        <v>656.0</v>
      </c>
      <c r="I52" s="92"/>
      <c r="J52" s="137">
        <v>11069.0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636.0</v>
      </c>
      <c r="G53" s="92"/>
      <c r="H53" s="143">
        <v>636.0</v>
      </c>
      <c r="I53" s="92"/>
      <c r="J53" s="137">
        <v>11070.0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147.0</v>
      </c>
      <c r="G54" s="92"/>
      <c r="H54" s="143">
        <v>147.0</v>
      </c>
      <c r="I54" s="92"/>
      <c r="J54" s="137">
        <v>11071.0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108.0</v>
      </c>
      <c r="G55" s="93">
        <v>108.0</v>
      </c>
      <c r="H55" s="92"/>
      <c r="I55" s="92"/>
      <c r="J55" s="137">
        <v>11072.0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87.0</v>
      </c>
      <c r="G56" s="93">
        <v>87.0</v>
      </c>
      <c r="H56" s="92"/>
      <c r="I56" s="92"/>
      <c r="J56" s="137">
        <v>11073.0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871.0</v>
      </c>
      <c r="G57" s="93">
        <v>871.0</v>
      </c>
      <c r="H57" s="92"/>
      <c r="I57" s="92"/>
      <c r="J57" s="137">
        <v>11074.0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254.0</v>
      </c>
      <c r="G58" s="92"/>
      <c r="H58" s="92"/>
      <c r="I58" s="142">
        <v>254.0</v>
      </c>
      <c r="J58" s="161" t="s">
        <v>268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399.0</v>
      </c>
      <c r="G59" s="92"/>
      <c r="H59" s="143">
        <v>399.0</v>
      </c>
      <c r="I59" s="92"/>
      <c r="J59" s="137">
        <v>11076.0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228.0</v>
      </c>
      <c r="G60" s="93">
        <v>228.0</v>
      </c>
      <c r="H60" s="92"/>
      <c r="I60" s="92"/>
      <c r="J60" s="137">
        <v>11077.0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25.0</v>
      </c>
      <c r="G61" s="93">
        <v>25.0</v>
      </c>
      <c r="H61" s="92"/>
      <c r="I61" s="92"/>
      <c r="J61" s="137">
        <v>11078.0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126.0</v>
      </c>
      <c r="G62" s="93">
        <v>126.0</v>
      </c>
      <c r="H62" s="92"/>
      <c r="I62" s="92"/>
      <c r="J62" s="137">
        <v>11079.0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136.0</v>
      </c>
      <c r="G63" s="93">
        <v>136.0</v>
      </c>
      <c r="H63" s="92"/>
      <c r="I63" s="92"/>
      <c r="J63" s="137">
        <v>11080.0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232.0</v>
      </c>
      <c r="G64" s="93">
        <v>232.0</v>
      </c>
      <c r="H64" s="92"/>
      <c r="I64" s="92"/>
      <c r="J64" s="137">
        <v>11081.0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1180.0</v>
      </c>
      <c r="G65" s="93">
        <v>180.0</v>
      </c>
      <c r="H65" s="143">
        <v>1000.0</v>
      </c>
      <c r="I65" s="92"/>
      <c r="J65" s="137">
        <v>11082.0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115.0</v>
      </c>
      <c r="G66" s="93">
        <v>110.0</v>
      </c>
      <c r="H66" s="143">
        <v>5.0</v>
      </c>
      <c r="I66" s="92"/>
      <c r="J66" s="137">
        <v>11083.0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145.0</v>
      </c>
      <c r="G67" s="93">
        <v>145.0</v>
      </c>
      <c r="H67" s="92"/>
      <c r="I67" s="92"/>
      <c r="J67" s="137">
        <v>11084.0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25.0</v>
      </c>
      <c r="G68" s="92"/>
      <c r="H68" s="143">
        <v>25.0</v>
      </c>
      <c r="I68" s="92"/>
      <c r="J68" s="137">
        <v>11085.0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154.0</v>
      </c>
      <c r="G69" s="92"/>
      <c r="H69" s="143">
        <v>154.0</v>
      </c>
      <c r="I69" s="92"/>
      <c r="J69" s="137">
        <v>11086.0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249.0</v>
      </c>
      <c r="G70" s="93">
        <v>100.0</v>
      </c>
      <c r="H70" s="143">
        <v>149.0</v>
      </c>
      <c r="I70" s="92"/>
      <c r="J70" s="137">
        <v>11087.0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56">
        <v>607.0</v>
      </c>
      <c r="G71" s="93">
        <v>607.0</v>
      </c>
      <c r="H71" s="92"/>
      <c r="I71" s="92"/>
      <c r="J71" s="137">
        <v>11088.0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56">
        <v>56.0</v>
      </c>
      <c r="G72" s="93">
        <v>56.0</v>
      </c>
      <c r="H72" s="92"/>
      <c r="I72" s="92"/>
      <c r="J72" s="137">
        <v>11089.0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56">
        <v>573.0</v>
      </c>
      <c r="G73" s="92"/>
      <c r="H73" s="145">
        <v>573.0</v>
      </c>
      <c r="I73" s="92"/>
      <c r="J73" s="146" t="s">
        <v>269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56">
        <v>651.0</v>
      </c>
      <c r="G74" s="92"/>
      <c r="H74" s="92"/>
      <c r="I74" s="142">
        <v>651.0</v>
      </c>
      <c r="J74" s="161" t="s">
        <v>270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56">
        <v>139.0</v>
      </c>
      <c r="G75" s="93">
        <v>139.0</v>
      </c>
      <c r="H75" s="92"/>
      <c r="I75" s="92"/>
      <c r="J75" s="137">
        <v>11092.0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56">
        <v>210.0</v>
      </c>
      <c r="G76" s="92"/>
      <c r="H76" s="143">
        <v>210.0</v>
      </c>
      <c r="I76" s="92"/>
      <c r="J76" s="137">
        <v>11093.0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56">
        <v>149.0</v>
      </c>
      <c r="G77" s="92"/>
      <c r="H77" s="143">
        <v>149.0</v>
      </c>
      <c r="I77" s="92"/>
      <c r="J77" s="137">
        <v>11094.0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56">
        <v>295.0</v>
      </c>
      <c r="G78" s="92"/>
      <c r="H78" s="143">
        <v>295.0</v>
      </c>
      <c r="I78" s="92"/>
      <c r="J78" s="137">
        <v>11095.0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56">
        <v>25.0</v>
      </c>
      <c r="G79" s="93">
        <v>25.0</v>
      </c>
      <c r="H79" s="92"/>
      <c r="I79" s="92"/>
      <c r="J79" s="137">
        <v>11096.0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56">
        <v>440.0</v>
      </c>
      <c r="G80" s="92"/>
      <c r="H80" s="143">
        <v>440.0</v>
      </c>
      <c r="I80" s="92"/>
      <c r="J80" s="137">
        <v>11097.0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56">
        <v>30.0</v>
      </c>
      <c r="G81" s="93">
        <v>30.0</v>
      </c>
      <c r="H81" s="92"/>
      <c r="I81" s="92"/>
      <c r="J81" s="137">
        <v>11098.0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49">
        <v>272.0</v>
      </c>
      <c r="G82" s="54">
        <v>272.0</v>
      </c>
      <c r="H82" s="61"/>
      <c r="I82" s="61"/>
      <c r="J82" s="137">
        <v>11099.0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49">
        <v>106.0</v>
      </c>
      <c r="G83" s="54">
        <v>106.0</v>
      </c>
      <c r="H83" s="61"/>
      <c r="I83" s="61"/>
      <c r="J83" s="137">
        <v>11100.0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49">
        <v>78.0</v>
      </c>
      <c r="G84" s="61"/>
      <c r="H84" s="143">
        <v>78.0</v>
      </c>
      <c r="I84" s="61"/>
      <c r="J84" s="137">
        <v>11101.0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49">
        <v>152.0</v>
      </c>
      <c r="G85" s="61"/>
      <c r="H85" s="143">
        <v>152.0</v>
      </c>
      <c r="I85" s="61"/>
      <c r="J85" s="137">
        <v>11102.0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49">
        <v>223.0</v>
      </c>
      <c r="G86" s="54">
        <v>223.0</v>
      </c>
      <c r="H86" s="61"/>
      <c r="I86" s="61"/>
      <c r="J86" s="137">
        <v>11103.0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49">
        <v>25.0</v>
      </c>
      <c r="G87" s="54">
        <v>25.0</v>
      </c>
      <c r="H87" s="61"/>
      <c r="I87" s="61"/>
      <c r="J87" s="137">
        <v>11104.0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49">
        <v>90.0</v>
      </c>
      <c r="G88" s="61"/>
      <c r="H88" s="54">
        <v>90.0</v>
      </c>
      <c r="I88" s="61"/>
      <c r="J88" s="137">
        <v>11105.0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49">
        <v>119.0</v>
      </c>
      <c r="G89" s="54">
        <v>119.0</v>
      </c>
      <c r="H89" s="61"/>
      <c r="I89" s="61"/>
      <c r="J89" s="137">
        <v>11106.0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49">
        <v>482.0</v>
      </c>
      <c r="G90" s="61"/>
      <c r="H90" s="54">
        <v>482.0</v>
      </c>
      <c r="I90" s="61"/>
      <c r="J90" s="137">
        <v>11107.0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137">
        <v>11108.0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137">
        <v>11109.0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137">
        <v>11110.0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137">
        <v>11111.0</v>
      </c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137">
        <v>11112.0</v>
      </c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137">
        <v>11113.0</v>
      </c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25152</v>
      </c>
      <c r="G97" s="123">
        <f t="shared" si="4"/>
        <v>8912</v>
      </c>
      <c r="H97" s="123">
        <f t="shared" si="4"/>
        <v>13735</v>
      </c>
      <c r="I97" s="123">
        <f t="shared" si="4"/>
        <v>2505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